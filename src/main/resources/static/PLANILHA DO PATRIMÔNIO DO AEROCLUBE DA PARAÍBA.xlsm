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lana\Downloads\"/>
    </mc:Choice>
  </mc:AlternateContent>
  <xr:revisionPtr revIDLastSave="0" documentId="8_{9FC1CB91-0C1C-4310-B7CE-8E375E8733C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nu" sheetId="5" r:id="rId1"/>
    <sheet name="Cadastros" sheetId="1" r:id="rId2"/>
    <sheet name="Imobilizado" sheetId="2" r:id="rId3"/>
    <sheet name="Relatório" sheetId="4" r:id="rId4"/>
  </sheets>
  <definedNames>
    <definedName name="Categoria">Tabela1[Categoria]</definedName>
    <definedName name="Departamento">Tabela2[Departamento]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" l="1"/>
  <c r="O2022" i="2"/>
  <c r="R2022" i="2" s="1"/>
  <c r="P2022" i="2"/>
  <c r="N2022" i="2"/>
  <c r="O2021" i="2"/>
  <c r="R2021" i="2" s="1"/>
  <c r="P2021" i="2"/>
  <c r="N2021" i="2"/>
  <c r="O2020" i="2"/>
  <c r="R2020" i="2" s="1"/>
  <c r="P2020" i="2"/>
  <c r="N2020" i="2"/>
  <c r="O2019" i="2"/>
  <c r="R2019" i="2" s="1"/>
  <c r="P2019" i="2"/>
  <c r="N2019" i="2"/>
  <c r="O2018" i="2"/>
  <c r="R2018" i="2" s="1"/>
  <c r="P2018" i="2"/>
  <c r="N2018" i="2"/>
  <c r="O2017" i="2"/>
  <c r="R2017" i="2" s="1"/>
  <c r="P2017" i="2"/>
  <c r="N2017" i="2"/>
  <c r="O2016" i="2"/>
  <c r="R2016" i="2" s="1"/>
  <c r="P2016" i="2"/>
  <c r="N2016" i="2"/>
  <c r="O2015" i="2"/>
  <c r="P2015" i="2"/>
  <c r="N2015" i="2"/>
  <c r="O2014" i="2"/>
  <c r="R2014" i="2" s="1"/>
  <c r="P2014" i="2"/>
  <c r="N2014" i="2"/>
  <c r="O2013" i="2"/>
  <c r="R2013" i="2" s="1"/>
  <c r="P2013" i="2"/>
  <c r="N2013" i="2"/>
  <c r="O2012" i="2"/>
  <c r="R2012" i="2" s="1"/>
  <c r="P2012" i="2"/>
  <c r="N2012" i="2"/>
  <c r="O2011" i="2"/>
  <c r="P2011" i="2"/>
  <c r="N2011" i="2"/>
  <c r="O2010" i="2"/>
  <c r="R2010" i="2" s="1"/>
  <c r="P2010" i="2"/>
  <c r="N2010" i="2"/>
  <c r="O2009" i="2"/>
  <c r="R2009" i="2" s="1"/>
  <c r="P2009" i="2"/>
  <c r="N2009" i="2"/>
  <c r="O2008" i="2"/>
  <c r="R2008" i="2" s="1"/>
  <c r="P2008" i="2"/>
  <c r="N2008" i="2"/>
  <c r="O2007" i="2"/>
  <c r="P2007" i="2"/>
  <c r="N2007" i="2"/>
  <c r="O2006" i="2"/>
  <c r="R2006" i="2" s="1"/>
  <c r="P2006" i="2"/>
  <c r="N2006" i="2"/>
  <c r="O2005" i="2"/>
  <c r="R2005" i="2" s="1"/>
  <c r="P2005" i="2"/>
  <c r="N2005" i="2"/>
  <c r="O2004" i="2"/>
  <c r="R2004" i="2" s="1"/>
  <c r="P2004" i="2"/>
  <c r="N2004" i="2"/>
  <c r="O2003" i="2"/>
  <c r="P2003" i="2"/>
  <c r="N2003" i="2"/>
  <c r="O2002" i="2"/>
  <c r="R2002" i="2" s="1"/>
  <c r="P2002" i="2"/>
  <c r="N2002" i="2"/>
  <c r="O2001" i="2"/>
  <c r="R2001" i="2" s="1"/>
  <c r="P2001" i="2"/>
  <c r="N2001" i="2"/>
  <c r="O2000" i="2"/>
  <c r="R2000" i="2" s="1"/>
  <c r="P2000" i="2"/>
  <c r="N2000" i="2"/>
  <c r="O1999" i="2"/>
  <c r="R1999" i="2" s="1"/>
  <c r="P1999" i="2"/>
  <c r="N1999" i="2"/>
  <c r="O1998" i="2"/>
  <c r="R1998" i="2" s="1"/>
  <c r="P1998" i="2"/>
  <c r="N1998" i="2"/>
  <c r="O1997" i="2"/>
  <c r="R1997" i="2" s="1"/>
  <c r="P1997" i="2"/>
  <c r="N1997" i="2"/>
  <c r="O1996" i="2"/>
  <c r="R1996" i="2" s="1"/>
  <c r="P1996" i="2"/>
  <c r="N1996" i="2"/>
  <c r="O1995" i="2"/>
  <c r="R1995" i="2" s="1"/>
  <c r="P1995" i="2"/>
  <c r="N1995" i="2"/>
  <c r="O1994" i="2"/>
  <c r="R1994" i="2" s="1"/>
  <c r="P1994" i="2"/>
  <c r="N1994" i="2"/>
  <c r="O1993" i="2"/>
  <c r="R1993" i="2" s="1"/>
  <c r="P1993" i="2"/>
  <c r="N1993" i="2"/>
  <c r="O1992" i="2"/>
  <c r="R1992" i="2" s="1"/>
  <c r="P1992" i="2"/>
  <c r="N1992" i="2"/>
  <c r="O1991" i="2"/>
  <c r="R1991" i="2" s="1"/>
  <c r="P1991" i="2"/>
  <c r="N1991" i="2"/>
  <c r="O1990" i="2"/>
  <c r="R1990" i="2" s="1"/>
  <c r="P1990" i="2"/>
  <c r="N1990" i="2"/>
  <c r="O1989" i="2"/>
  <c r="R1989" i="2" s="1"/>
  <c r="P1989" i="2"/>
  <c r="N1989" i="2"/>
  <c r="O1988" i="2"/>
  <c r="R1988" i="2" s="1"/>
  <c r="P1988" i="2"/>
  <c r="N1988" i="2"/>
  <c r="O1987" i="2"/>
  <c r="R1987" i="2" s="1"/>
  <c r="P1987" i="2"/>
  <c r="N1987" i="2"/>
  <c r="O1986" i="2"/>
  <c r="R1986" i="2" s="1"/>
  <c r="P1986" i="2"/>
  <c r="N1986" i="2"/>
  <c r="O1985" i="2"/>
  <c r="R1985" i="2" s="1"/>
  <c r="P1985" i="2"/>
  <c r="N1985" i="2"/>
  <c r="O1984" i="2"/>
  <c r="R1984" i="2" s="1"/>
  <c r="P1984" i="2"/>
  <c r="N1984" i="2"/>
  <c r="O1983" i="2"/>
  <c r="R1983" i="2" s="1"/>
  <c r="P1983" i="2"/>
  <c r="N1983" i="2"/>
  <c r="O1982" i="2"/>
  <c r="R1982" i="2" s="1"/>
  <c r="P1982" i="2"/>
  <c r="N1982" i="2"/>
  <c r="O1981" i="2"/>
  <c r="R1981" i="2" s="1"/>
  <c r="P1981" i="2"/>
  <c r="N1981" i="2"/>
  <c r="O1980" i="2"/>
  <c r="R1980" i="2" s="1"/>
  <c r="P1980" i="2"/>
  <c r="N1980" i="2"/>
  <c r="O1979" i="2"/>
  <c r="R1979" i="2" s="1"/>
  <c r="P1979" i="2"/>
  <c r="N1979" i="2"/>
  <c r="O1978" i="2"/>
  <c r="R1978" i="2" s="1"/>
  <c r="P1978" i="2"/>
  <c r="N1978" i="2"/>
  <c r="O1977" i="2"/>
  <c r="R1977" i="2" s="1"/>
  <c r="P1977" i="2"/>
  <c r="N1977" i="2"/>
  <c r="O1976" i="2"/>
  <c r="R1976" i="2" s="1"/>
  <c r="P1976" i="2"/>
  <c r="N1976" i="2"/>
  <c r="O1975" i="2"/>
  <c r="R1975" i="2" s="1"/>
  <c r="P1975" i="2"/>
  <c r="N1975" i="2"/>
  <c r="O1974" i="2"/>
  <c r="R1974" i="2" s="1"/>
  <c r="P1974" i="2"/>
  <c r="N1974" i="2"/>
  <c r="O1973" i="2"/>
  <c r="R1973" i="2" s="1"/>
  <c r="P1973" i="2"/>
  <c r="N1973" i="2"/>
  <c r="O1972" i="2"/>
  <c r="R1972" i="2" s="1"/>
  <c r="P1972" i="2"/>
  <c r="N1972" i="2"/>
  <c r="O1971" i="2"/>
  <c r="R1971" i="2" s="1"/>
  <c r="P1971" i="2"/>
  <c r="N1971" i="2"/>
  <c r="O1970" i="2"/>
  <c r="R1970" i="2" s="1"/>
  <c r="P1970" i="2"/>
  <c r="N1970" i="2"/>
  <c r="O1969" i="2"/>
  <c r="R1969" i="2" s="1"/>
  <c r="P1969" i="2"/>
  <c r="N1969" i="2"/>
  <c r="O1968" i="2"/>
  <c r="R1968" i="2" s="1"/>
  <c r="P1968" i="2"/>
  <c r="N1968" i="2"/>
  <c r="O1967" i="2"/>
  <c r="R1967" i="2" s="1"/>
  <c r="P1967" i="2"/>
  <c r="N1967" i="2"/>
  <c r="O1966" i="2"/>
  <c r="R1966" i="2" s="1"/>
  <c r="P1966" i="2"/>
  <c r="N1966" i="2"/>
  <c r="O1965" i="2"/>
  <c r="R1965" i="2" s="1"/>
  <c r="P1965" i="2"/>
  <c r="N1965" i="2"/>
  <c r="O1964" i="2"/>
  <c r="R1964" i="2" s="1"/>
  <c r="P1964" i="2"/>
  <c r="N1964" i="2"/>
  <c r="O1963" i="2"/>
  <c r="R1963" i="2" s="1"/>
  <c r="P1963" i="2"/>
  <c r="N1963" i="2"/>
  <c r="O1962" i="2"/>
  <c r="R1962" i="2" s="1"/>
  <c r="P1962" i="2"/>
  <c r="N1962" i="2"/>
  <c r="O1961" i="2"/>
  <c r="R1961" i="2" s="1"/>
  <c r="P1961" i="2"/>
  <c r="N1961" i="2"/>
  <c r="O1960" i="2"/>
  <c r="R1960" i="2" s="1"/>
  <c r="P1960" i="2"/>
  <c r="N1960" i="2"/>
  <c r="O1959" i="2"/>
  <c r="R1959" i="2" s="1"/>
  <c r="P1959" i="2"/>
  <c r="N1959" i="2"/>
  <c r="O1958" i="2"/>
  <c r="R1958" i="2" s="1"/>
  <c r="P1958" i="2"/>
  <c r="N1958" i="2"/>
  <c r="O1957" i="2"/>
  <c r="R1957" i="2" s="1"/>
  <c r="P1957" i="2"/>
  <c r="N1957" i="2"/>
  <c r="O1956" i="2"/>
  <c r="R1956" i="2" s="1"/>
  <c r="P1956" i="2"/>
  <c r="N1956" i="2"/>
  <c r="O1955" i="2"/>
  <c r="R1955" i="2" s="1"/>
  <c r="P1955" i="2"/>
  <c r="N1955" i="2"/>
  <c r="O1954" i="2"/>
  <c r="R1954" i="2" s="1"/>
  <c r="P1954" i="2"/>
  <c r="N1954" i="2"/>
  <c r="O1953" i="2"/>
  <c r="R1953" i="2" s="1"/>
  <c r="P1953" i="2"/>
  <c r="N1953" i="2"/>
  <c r="O1952" i="2"/>
  <c r="R1952" i="2" s="1"/>
  <c r="P1952" i="2"/>
  <c r="N1952" i="2"/>
  <c r="O1951" i="2"/>
  <c r="R1951" i="2" s="1"/>
  <c r="P1951" i="2"/>
  <c r="N1951" i="2"/>
  <c r="O1950" i="2"/>
  <c r="R1950" i="2" s="1"/>
  <c r="P1950" i="2"/>
  <c r="N1950" i="2"/>
  <c r="O1949" i="2"/>
  <c r="R1949" i="2" s="1"/>
  <c r="P1949" i="2"/>
  <c r="N1949" i="2"/>
  <c r="O1948" i="2"/>
  <c r="R1948" i="2" s="1"/>
  <c r="P1948" i="2"/>
  <c r="N1948" i="2"/>
  <c r="O1947" i="2"/>
  <c r="R1947" i="2" s="1"/>
  <c r="P1947" i="2"/>
  <c r="N1947" i="2"/>
  <c r="O1946" i="2"/>
  <c r="R1946" i="2" s="1"/>
  <c r="P1946" i="2"/>
  <c r="N1946" i="2"/>
  <c r="O1945" i="2"/>
  <c r="R1945" i="2" s="1"/>
  <c r="P1945" i="2"/>
  <c r="N1945" i="2"/>
  <c r="O1944" i="2"/>
  <c r="R1944" i="2" s="1"/>
  <c r="P1944" i="2"/>
  <c r="N1944" i="2"/>
  <c r="O1943" i="2"/>
  <c r="R1943" i="2" s="1"/>
  <c r="P1943" i="2"/>
  <c r="N1943" i="2"/>
  <c r="O1942" i="2"/>
  <c r="R1942" i="2" s="1"/>
  <c r="P1942" i="2"/>
  <c r="N1942" i="2"/>
  <c r="O1941" i="2"/>
  <c r="R1941" i="2" s="1"/>
  <c r="P1941" i="2"/>
  <c r="N1941" i="2"/>
  <c r="O1940" i="2"/>
  <c r="R1940" i="2" s="1"/>
  <c r="P1940" i="2"/>
  <c r="N1940" i="2"/>
  <c r="O1939" i="2"/>
  <c r="R1939" i="2" s="1"/>
  <c r="P1939" i="2"/>
  <c r="N1939" i="2"/>
  <c r="O1938" i="2"/>
  <c r="R1938" i="2" s="1"/>
  <c r="P1938" i="2"/>
  <c r="N1938" i="2"/>
  <c r="O1937" i="2"/>
  <c r="R1937" i="2" s="1"/>
  <c r="P1937" i="2"/>
  <c r="N1937" i="2"/>
  <c r="O1936" i="2"/>
  <c r="R1936" i="2" s="1"/>
  <c r="P1936" i="2"/>
  <c r="N1936" i="2"/>
  <c r="O1935" i="2"/>
  <c r="R1935" i="2" s="1"/>
  <c r="P1935" i="2"/>
  <c r="N1935" i="2"/>
  <c r="O1934" i="2"/>
  <c r="R1934" i="2" s="1"/>
  <c r="P1934" i="2"/>
  <c r="N1934" i="2"/>
  <c r="O1933" i="2"/>
  <c r="R1933" i="2" s="1"/>
  <c r="P1933" i="2"/>
  <c r="N1933" i="2"/>
  <c r="O1932" i="2"/>
  <c r="R1932" i="2" s="1"/>
  <c r="P1932" i="2"/>
  <c r="N1932" i="2"/>
  <c r="O1931" i="2"/>
  <c r="R1931" i="2" s="1"/>
  <c r="P1931" i="2"/>
  <c r="N1931" i="2"/>
  <c r="O1930" i="2"/>
  <c r="R1930" i="2" s="1"/>
  <c r="P1930" i="2"/>
  <c r="N1930" i="2"/>
  <c r="O1929" i="2"/>
  <c r="R1929" i="2" s="1"/>
  <c r="P1929" i="2"/>
  <c r="N1929" i="2"/>
  <c r="O1928" i="2"/>
  <c r="R1928" i="2" s="1"/>
  <c r="P1928" i="2"/>
  <c r="N1928" i="2"/>
  <c r="O1927" i="2"/>
  <c r="R1927" i="2" s="1"/>
  <c r="P1927" i="2"/>
  <c r="N1927" i="2"/>
  <c r="O1926" i="2"/>
  <c r="R1926" i="2" s="1"/>
  <c r="P1926" i="2"/>
  <c r="N1926" i="2"/>
  <c r="O1925" i="2"/>
  <c r="R1925" i="2" s="1"/>
  <c r="P1925" i="2"/>
  <c r="N1925" i="2"/>
  <c r="O1924" i="2"/>
  <c r="R1924" i="2" s="1"/>
  <c r="P1924" i="2"/>
  <c r="N1924" i="2"/>
  <c r="O1923" i="2"/>
  <c r="R1923" i="2" s="1"/>
  <c r="P1923" i="2"/>
  <c r="N1923" i="2"/>
  <c r="O1922" i="2"/>
  <c r="R1922" i="2" s="1"/>
  <c r="P1922" i="2"/>
  <c r="N1922" i="2"/>
  <c r="O1921" i="2"/>
  <c r="R1921" i="2" s="1"/>
  <c r="P1921" i="2"/>
  <c r="N1921" i="2"/>
  <c r="O1920" i="2"/>
  <c r="R1920" i="2" s="1"/>
  <c r="P1920" i="2"/>
  <c r="N1920" i="2"/>
  <c r="O1919" i="2"/>
  <c r="P1919" i="2"/>
  <c r="N1919" i="2"/>
  <c r="O1918" i="2"/>
  <c r="R1918" i="2" s="1"/>
  <c r="P1918" i="2"/>
  <c r="N1918" i="2"/>
  <c r="O1917" i="2"/>
  <c r="R1917" i="2" s="1"/>
  <c r="P1917" i="2"/>
  <c r="N1917" i="2"/>
  <c r="O1916" i="2"/>
  <c r="R1916" i="2" s="1"/>
  <c r="P1916" i="2"/>
  <c r="N1916" i="2"/>
  <c r="O1915" i="2"/>
  <c r="P1915" i="2"/>
  <c r="N1915" i="2"/>
  <c r="O1914" i="2"/>
  <c r="R1914" i="2" s="1"/>
  <c r="P1914" i="2"/>
  <c r="N1914" i="2"/>
  <c r="O1913" i="2"/>
  <c r="R1913" i="2" s="1"/>
  <c r="P1913" i="2"/>
  <c r="N1913" i="2"/>
  <c r="O1912" i="2"/>
  <c r="R1912" i="2" s="1"/>
  <c r="P1912" i="2"/>
  <c r="N1912" i="2"/>
  <c r="O1911" i="2"/>
  <c r="P1911" i="2"/>
  <c r="N1911" i="2"/>
  <c r="O1910" i="2"/>
  <c r="R1910" i="2" s="1"/>
  <c r="P1910" i="2"/>
  <c r="N1910" i="2"/>
  <c r="O1909" i="2"/>
  <c r="R1909" i="2" s="1"/>
  <c r="P1909" i="2"/>
  <c r="N1909" i="2"/>
  <c r="O1908" i="2"/>
  <c r="R1908" i="2" s="1"/>
  <c r="P1908" i="2"/>
  <c r="N1908" i="2"/>
  <c r="O1907" i="2"/>
  <c r="P1907" i="2"/>
  <c r="N1907" i="2"/>
  <c r="O1906" i="2"/>
  <c r="R1906" i="2" s="1"/>
  <c r="P1906" i="2"/>
  <c r="N1906" i="2"/>
  <c r="O1905" i="2"/>
  <c r="R1905" i="2" s="1"/>
  <c r="P1905" i="2"/>
  <c r="N1905" i="2"/>
  <c r="O1904" i="2"/>
  <c r="R1904" i="2" s="1"/>
  <c r="P1904" i="2"/>
  <c r="N1904" i="2"/>
  <c r="O1903" i="2"/>
  <c r="P1903" i="2"/>
  <c r="N1903" i="2"/>
  <c r="O1902" i="2"/>
  <c r="P1902" i="2"/>
  <c r="N1902" i="2"/>
  <c r="O1901" i="2"/>
  <c r="R1901" i="2" s="1"/>
  <c r="P1901" i="2"/>
  <c r="N1901" i="2"/>
  <c r="O1900" i="2"/>
  <c r="P1900" i="2"/>
  <c r="N1900" i="2"/>
  <c r="O1899" i="2"/>
  <c r="P1899" i="2"/>
  <c r="N1899" i="2"/>
  <c r="O1898" i="2"/>
  <c r="P1898" i="2"/>
  <c r="N1898" i="2"/>
  <c r="O1897" i="2"/>
  <c r="R1897" i="2" s="1"/>
  <c r="P1897" i="2"/>
  <c r="N1897" i="2"/>
  <c r="O1896" i="2"/>
  <c r="P1896" i="2"/>
  <c r="N1896" i="2"/>
  <c r="O1895" i="2"/>
  <c r="P1895" i="2"/>
  <c r="N1895" i="2"/>
  <c r="O1894" i="2"/>
  <c r="R1894" i="2" s="1"/>
  <c r="P1894" i="2"/>
  <c r="N1894" i="2"/>
  <c r="O1893" i="2"/>
  <c r="R1893" i="2" s="1"/>
  <c r="P1893" i="2"/>
  <c r="N1893" i="2"/>
  <c r="O1892" i="2"/>
  <c r="P1892" i="2"/>
  <c r="N1892" i="2"/>
  <c r="O1891" i="2"/>
  <c r="R1891" i="2" s="1"/>
  <c r="P1891" i="2"/>
  <c r="N1891" i="2"/>
  <c r="O1890" i="2"/>
  <c r="P1890" i="2"/>
  <c r="N1890" i="2"/>
  <c r="O1889" i="2"/>
  <c r="R1889" i="2" s="1"/>
  <c r="P1889" i="2"/>
  <c r="N1889" i="2"/>
  <c r="O1888" i="2"/>
  <c r="P1888" i="2"/>
  <c r="N1888" i="2"/>
  <c r="O1887" i="2"/>
  <c r="P1887" i="2"/>
  <c r="N1887" i="2"/>
  <c r="O1886" i="2"/>
  <c r="R1886" i="2" s="1"/>
  <c r="P1886" i="2"/>
  <c r="N1886" i="2"/>
  <c r="O1885" i="2"/>
  <c r="R1885" i="2" s="1"/>
  <c r="P1885" i="2"/>
  <c r="N1885" i="2"/>
  <c r="O1884" i="2"/>
  <c r="P1884" i="2"/>
  <c r="N1884" i="2"/>
  <c r="O1883" i="2"/>
  <c r="R1883" i="2" s="1"/>
  <c r="P1883" i="2"/>
  <c r="N1883" i="2"/>
  <c r="O1882" i="2"/>
  <c r="P1882" i="2"/>
  <c r="N1882" i="2"/>
  <c r="O1881" i="2"/>
  <c r="R1881" i="2" s="1"/>
  <c r="P1881" i="2"/>
  <c r="N1881" i="2"/>
  <c r="O1880" i="2"/>
  <c r="P1880" i="2"/>
  <c r="N1880" i="2"/>
  <c r="O1879" i="2"/>
  <c r="P1879" i="2"/>
  <c r="N1879" i="2"/>
  <c r="O1878" i="2"/>
  <c r="R1878" i="2" s="1"/>
  <c r="P1878" i="2"/>
  <c r="N1878" i="2"/>
  <c r="O1877" i="2"/>
  <c r="R1877" i="2" s="1"/>
  <c r="P1877" i="2"/>
  <c r="N1877" i="2"/>
  <c r="O1876" i="2"/>
  <c r="P1876" i="2"/>
  <c r="N1876" i="2"/>
  <c r="O1875" i="2"/>
  <c r="P1875" i="2"/>
  <c r="N1875" i="2"/>
  <c r="O1874" i="2"/>
  <c r="P1874" i="2"/>
  <c r="N1874" i="2"/>
  <c r="O1873" i="2"/>
  <c r="R1873" i="2" s="1"/>
  <c r="P1873" i="2"/>
  <c r="N1873" i="2"/>
  <c r="O1872" i="2"/>
  <c r="P1872" i="2"/>
  <c r="N1872" i="2"/>
  <c r="O1871" i="2"/>
  <c r="R1871" i="2" s="1"/>
  <c r="P1871" i="2"/>
  <c r="N1871" i="2"/>
  <c r="O1870" i="2"/>
  <c r="R1870" i="2" s="1"/>
  <c r="P1870" i="2"/>
  <c r="N1870" i="2"/>
  <c r="O1869" i="2"/>
  <c r="R1869" i="2" s="1"/>
  <c r="P1869" i="2"/>
  <c r="N1869" i="2"/>
  <c r="O1868" i="2"/>
  <c r="Q1868" i="2" s="1"/>
  <c r="P1868" i="2"/>
  <c r="N1868" i="2"/>
  <c r="O1867" i="2"/>
  <c r="P1867" i="2"/>
  <c r="N1867" i="2"/>
  <c r="O1866" i="2"/>
  <c r="P1866" i="2"/>
  <c r="N1866" i="2"/>
  <c r="O1865" i="2"/>
  <c r="R1865" i="2" s="1"/>
  <c r="P1865" i="2"/>
  <c r="N1865" i="2"/>
  <c r="O1864" i="2"/>
  <c r="P1864" i="2"/>
  <c r="N1864" i="2"/>
  <c r="O1863" i="2"/>
  <c r="P1863" i="2"/>
  <c r="N1863" i="2"/>
  <c r="O1862" i="2"/>
  <c r="R1862" i="2" s="1"/>
  <c r="P1862" i="2"/>
  <c r="N1862" i="2"/>
  <c r="O1861" i="2"/>
  <c r="R1861" i="2" s="1"/>
  <c r="P1861" i="2"/>
  <c r="N1861" i="2"/>
  <c r="O1860" i="2"/>
  <c r="Q1860" i="2" s="1"/>
  <c r="P1860" i="2"/>
  <c r="N1860" i="2"/>
  <c r="O1859" i="2"/>
  <c r="P1859" i="2"/>
  <c r="N1859" i="2"/>
  <c r="O1858" i="2"/>
  <c r="P1858" i="2"/>
  <c r="N1858" i="2"/>
  <c r="O1857" i="2"/>
  <c r="R1857" i="2" s="1"/>
  <c r="P1857" i="2"/>
  <c r="N1857" i="2"/>
  <c r="O1856" i="2"/>
  <c r="Q1856" i="2" s="1"/>
  <c r="P1856" i="2"/>
  <c r="N1856" i="2"/>
  <c r="O1855" i="2"/>
  <c r="P1855" i="2"/>
  <c r="N1855" i="2"/>
  <c r="O1854" i="2"/>
  <c r="R1854" i="2" s="1"/>
  <c r="P1854" i="2"/>
  <c r="N1854" i="2"/>
  <c r="O1853" i="2"/>
  <c r="R1853" i="2" s="1"/>
  <c r="P1853" i="2"/>
  <c r="N1853" i="2"/>
  <c r="O1852" i="2"/>
  <c r="P1852" i="2"/>
  <c r="N1852" i="2"/>
  <c r="O1851" i="2"/>
  <c r="P1851" i="2"/>
  <c r="N1851" i="2"/>
  <c r="O1850" i="2"/>
  <c r="P1850" i="2"/>
  <c r="N1850" i="2"/>
  <c r="O1849" i="2"/>
  <c r="R1849" i="2" s="1"/>
  <c r="P1849" i="2"/>
  <c r="N1849" i="2"/>
  <c r="O1848" i="2"/>
  <c r="P1848" i="2"/>
  <c r="N1848" i="2"/>
  <c r="O1847" i="2"/>
  <c r="P1847" i="2"/>
  <c r="N1847" i="2"/>
  <c r="O1846" i="2"/>
  <c r="P1846" i="2"/>
  <c r="N1846" i="2"/>
  <c r="O1845" i="2"/>
  <c r="R1845" i="2" s="1"/>
  <c r="P1845" i="2"/>
  <c r="N1845" i="2"/>
  <c r="O1844" i="2"/>
  <c r="P1844" i="2"/>
  <c r="N1844" i="2"/>
  <c r="O1843" i="2"/>
  <c r="P1843" i="2"/>
  <c r="N1843" i="2"/>
  <c r="O1842" i="2"/>
  <c r="P1842" i="2"/>
  <c r="N1842" i="2"/>
  <c r="O1841" i="2"/>
  <c r="R1841" i="2" s="1"/>
  <c r="P1841" i="2"/>
  <c r="N1841" i="2"/>
  <c r="O1840" i="2"/>
  <c r="Q1840" i="2" s="1"/>
  <c r="P1840" i="2"/>
  <c r="N1840" i="2"/>
  <c r="O1839" i="2"/>
  <c r="P1839" i="2"/>
  <c r="N1839" i="2"/>
  <c r="O1838" i="2"/>
  <c r="P1838" i="2"/>
  <c r="N1838" i="2"/>
  <c r="O1837" i="2"/>
  <c r="R1837" i="2" s="1"/>
  <c r="P1837" i="2"/>
  <c r="N1837" i="2"/>
  <c r="O1836" i="2"/>
  <c r="Q1836" i="2" s="1"/>
  <c r="P1836" i="2"/>
  <c r="N1836" i="2"/>
  <c r="O1835" i="2"/>
  <c r="P1835" i="2"/>
  <c r="N1835" i="2"/>
  <c r="O1834" i="2"/>
  <c r="P1834" i="2"/>
  <c r="N1834" i="2"/>
  <c r="O1833" i="2"/>
  <c r="R1833" i="2" s="1"/>
  <c r="P1833" i="2"/>
  <c r="N1833" i="2"/>
  <c r="O1832" i="2"/>
  <c r="Q1832" i="2" s="1"/>
  <c r="P1832" i="2"/>
  <c r="N1832" i="2"/>
  <c r="O1831" i="2"/>
  <c r="P1831" i="2"/>
  <c r="N1831" i="2"/>
  <c r="O1830" i="2"/>
  <c r="P1830" i="2"/>
  <c r="N1830" i="2"/>
  <c r="O1829" i="2"/>
  <c r="R1829" i="2" s="1"/>
  <c r="P1829" i="2"/>
  <c r="N1829" i="2"/>
  <c r="O1828" i="2"/>
  <c r="P1828" i="2"/>
  <c r="N1828" i="2"/>
  <c r="O1827" i="2"/>
  <c r="P1827" i="2"/>
  <c r="N1827" i="2"/>
  <c r="O1826" i="2"/>
  <c r="P1826" i="2"/>
  <c r="N1826" i="2"/>
  <c r="O1825" i="2"/>
  <c r="R1825" i="2" s="1"/>
  <c r="P1825" i="2"/>
  <c r="N1825" i="2"/>
  <c r="O1824" i="2"/>
  <c r="P1824" i="2"/>
  <c r="N1824" i="2"/>
  <c r="O1823" i="2"/>
  <c r="P1823" i="2"/>
  <c r="N1823" i="2"/>
  <c r="O1822" i="2"/>
  <c r="P1822" i="2"/>
  <c r="N1822" i="2"/>
  <c r="O1821" i="2"/>
  <c r="R1821" i="2" s="1"/>
  <c r="P1821" i="2"/>
  <c r="N1821" i="2"/>
  <c r="O1820" i="2"/>
  <c r="Q1820" i="2" s="1"/>
  <c r="P1820" i="2"/>
  <c r="N1820" i="2"/>
  <c r="O1819" i="2"/>
  <c r="P1819" i="2"/>
  <c r="N1819" i="2"/>
  <c r="O1818" i="2"/>
  <c r="P1818" i="2"/>
  <c r="N1818" i="2"/>
  <c r="O1817" i="2"/>
  <c r="R1817" i="2" s="1"/>
  <c r="P1817" i="2"/>
  <c r="N1817" i="2"/>
  <c r="O1816" i="2"/>
  <c r="P1816" i="2"/>
  <c r="N1816" i="2"/>
  <c r="O1815" i="2"/>
  <c r="P1815" i="2"/>
  <c r="N1815" i="2"/>
  <c r="O1814" i="2"/>
  <c r="P1814" i="2"/>
  <c r="N1814" i="2"/>
  <c r="O1813" i="2"/>
  <c r="R1813" i="2" s="1"/>
  <c r="P1813" i="2"/>
  <c r="N1813" i="2"/>
  <c r="O1812" i="2"/>
  <c r="P1812" i="2"/>
  <c r="N1812" i="2"/>
  <c r="O1811" i="2"/>
  <c r="P1811" i="2"/>
  <c r="N1811" i="2"/>
  <c r="O1810" i="2"/>
  <c r="P1810" i="2"/>
  <c r="N1810" i="2"/>
  <c r="O1809" i="2"/>
  <c r="R1809" i="2" s="1"/>
  <c r="P1809" i="2"/>
  <c r="N1809" i="2"/>
  <c r="O1808" i="2"/>
  <c r="P1808" i="2"/>
  <c r="N1808" i="2"/>
  <c r="O1807" i="2"/>
  <c r="P1807" i="2"/>
  <c r="N1807" i="2"/>
  <c r="O1806" i="2"/>
  <c r="P1806" i="2"/>
  <c r="N1806" i="2"/>
  <c r="O1805" i="2"/>
  <c r="R1805" i="2" s="1"/>
  <c r="P1805" i="2"/>
  <c r="N1805" i="2"/>
  <c r="O1804" i="2"/>
  <c r="Q1804" i="2" s="1"/>
  <c r="P1804" i="2"/>
  <c r="N1804" i="2"/>
  <c r="O1803" i="2"/>
  <c r="P1803" i="2"/>
  <c r="N1803" i="2"/>
  <c r="O1802" i="2"/>
  <c r="P1802" i="2"/>
  <c r="N1802" i="2"/>
  <c r="O1801" i="2"/>
  <c r="R1801" i="2" s="1"/>
  <c r="P1801" i="2"/>
  <c r="N1801" i="2"/>
  <c r="O1800" i="2"/>
  <c r="P1800" i="2"/>
  <c r="N1800" i="2"/>
  <c r="O1799" i="2"/>
  <c r="P1799" i="2"/>
  <c r="N1799" i="2"/>
  <c r="O1798" i="2"/>
  <c r="P1798" i="2"/>
  <c r="N1798" i="2"/>
  <c r="O1797" i="2"/>
  <c r="R1797" i="2" s="1"/>
  <c r="P1797" i="2"/>
  <c r="N1797" i="2"/>
  <c r="O1796" i="2"/>
  <c r="P1796" i="2"/>
  <c r="N1796" i="2"/>
  <c r="O1795" i="2"/>
  <c r="P1795" i="2"/>
  <c r="N1795" i="2"/>
  <c r="O1794" i="2"/>
  <c r="P1794" i="2"/>
  <c r="N1794" i="2"/>
  <c r="O1793" i="2"/>
  <c r="R1793" i="2" s="1"/>
  <c r="P1793" i="2"/>
  <c r="N1793" i="2"/>
  <c r="O1792" i="2"/>
  <c r="Q1792" i="2" s="1"/>
  <c r="P1792" i="2"/>
  <c r="N1792" i="2"/>
  <c r="O1791" i="2"/>
  <c r="P1791" i="2"/>
  <c r="N1791" i="2"/>
  <c r="O1790" i="2"/>
  <c r="P1790" i="2"/>
  <c r="N1790" i="2"/>
  <c r="O1789" i="2"/>
  <c r="R1789" i="2" s="1"/>
  <c r="P1789" i="2"/>
  <c r="N1789" i="2"/>
  <c r="O1788" i="2"/>
  <c r="P1788" i="2"/>
  <c r="N1788" i="2"/>
  <c r="O1787" i="2"/>
  <c r="P1787" i="2"/>
  <c r="N1787" i="2"/>
  <c r="O1786" i="2"/>
  <c r="P1786" i="2"/>
  <c r="N1786" i="2"/>
  <c r="O1785" i="2"/>
  <c r="R1785" i="2" s="1"/>
  <c r="P1785" i="2"/>
  <c r="N1785" i="2"/>
  <c r="O1784" i="2"/>
  <c r="Q1784" i="2" s="1"/>
  <c r="P1784" i="2"/>
  <c r="N1784" i="2"/>
  <c r="O1783" i="2"/>
  <c r="P1783" i="2"/>
  <c r="N1783" i="2"/>
  <c r="O1782" i="2"/>
  <c r="R1782" i="2" s="1"/>
  <c r="P1782" i="2"/>
  <c r="N1782" i="2"/>
  <c r="O1781" i="2"/>
  <c r="R1781" i="2" s="1"/>
  <c r="P1781" i="2"/>
  <c r="N1781" i="2"/>
  <c r="O1780" i="2"/>
  <c r="Q1780" i="2" s="1"/>
  <c r="P1780" i="2"/>
  <c r="N1780" i="2"/>
  <c r="O1779" i="2"/>
  <c r="P1779" i="2"/>
  <c r="N1779" i="2"/>
  <c r="O1778" i="2"/>
  <c r="P1778" i="2"/>
  <c r="N1778" i="2"/>
  <c r="O1777" i="2"/>
  <c r="R1777" i="2" s="1"/>
  <c r="P1777" i="2"/>
  <c r="N1777" i="2"/>
  <c r="O1776" i="2"/>
  <c r="P1776" i="2"/>
  <c r="N1776" i="2"/>
  <c r="O1775" i="2"/>
  <c r="P1775" i="2"/>
  <c r="N1775" i="2"/>
  <c r="O1774" i="2"/>
  <c r="P1774" i="2"/>
  <c r="N1774" i="2"/>
  <c r="O1773" i="2"/>
  <c r="R1773" i="2" s="1"/>
  <c r="P1773" i="2"/>
  <c r="N1773" i="2"/>
  <c r="O1772" i="2"/>
  <c r="Q1772" i="2" s="1"/>
  <c r="P1772" i="2"/>
  <c r="N1772" i="2"/>
  <c r="O1771" i="2"/>
  <c r="P1771" i="2"/>
  <c r="N1771" i="2"/>
  <c r="O1770" i="2"/>
  <c r="R1770" i="2" s="1"/>
  <c r="P1770" i="2"/>
  <c r="N1770" i="2"/>
  <c r="O1769" i="2"/>
  <c r="R1769" i="2" s="1"/>
  <c r="P1769" i="2"/>
  <c r="N1769" i="2"/>
  <c r="O1768" i="2"/>
  <c r="P1768" i="2"/>
  <c r="N1768" i="2"/>
  <c r="O1767" i="2"/>
  <c r="P1767" i="2"/>
  <c r="N1767" i="2"/>
  <c r="O1766" i="2"/>
  <c r="P1766" i="2"/>
  <c r="N1766" i="2"/>
  <c r="O1765" i="2"/>
  <c r="R1765" i="2" s="1"/>
  <c r="P1765" i="2"/>
  <c r="N1765" i="2"/>
  <c r="O1764" i="2"/>
  <c r="P1764" i="2"/>
  <c r="N1764" i="2"/>
  <c r="O1763" i="2"/>
  <c r="P1763" i="2"/>
  <c r="N1763" i="2"/>
  <c r="O1762" i="2"/>
  <c r="R1762" i="2" s="1"/>
  <c r="P1762" i="2"/>
  <c r="N1762" i="2"/>
  <c r="O1761" i="2"/>
  <c r="R1761" i="2" s="1"/>
  <c r="P1761" i="2"/>
  <c r="N1761" i="2"/>
  <c r="O1760" i="2"/>
  <c r="Q1760" i="2" s="1"/>
  <c r="P1760" i="2"/>
  <c r="N1760" i="2"/>
  <c r="O1759" i="2"/>
  <c r="P1759" i="2"/>
  <c r="N1759" i="2"/>
  <c r="O1758" i="2"/>
  <c r="P1758" i="2"/>
  <c r="N1758" i="2"/>
  <c r="O1757" i="2"/>
  <c r="R1757" i="2" s="1"/>
  <c r="P1757" i="2"/>
  <c r="N1757" i="2"/>
  <c r="O1756" i="2"/>
  <c r="P1756" i="2"/>
  <c r="N1756" i="2"/>
  <c r="O1755" i="2"/>
  <c r="P1755" i="2"/>
  <c r="N1755" i="2"/>
  <c r="O1754" i="2"/>
  <c r="R1754" i="2" s="1"/>
  <c r="P1754" i="2"/>
  <c r="N1754" i="2"/>
  <c r="O1753" i="2"/>
  <c r="R1753" i="2" s="1"/>
  <c r="P1753" i="2"/>
  <c r="N1753" i="2"/>
  <c r="O1752" i="2"/>
  <c r="P1752" i="2"/>
  <c r="N1752" i="2"/>
  <c r="O1751" i="2"/>
  <c r="P1751" i="2"/>
  <c r="N1751" i="2"/>
  <c r="O1750" i="2"/>
  <c r="P1750" i="2"/>
  <c r="N1750" i="2"/>
  <c r="O1749" i="2"/>
  <c r="R1749" i="2" s="1"/>
  <c r="P1749" i="2"/>
  <c r="N1749" i="2"/>
  <c r="O1748" i="2"/>
  <c r="Q1748" i="2" s="1"/>
  <c r="P1748" i="2"/>
  <c r="N1748" i="2"/>
  <c r="O1747" i="2"/>
  <c r="R1747" i="2" s="1"/>
  <c r="P1747" i="2"/>
  <c r="N1747" i="2"/>
  <c r="O1746" i="2"/>
  <c r="P1746" i="2"/>
  <c r="N1746" i="2"/>
  <c r="O1745" i="2"/>
  <c r="R1745" i="2" s="1"/>
  <c r="P1745" i="2"/>
  <c r="N1745" i="2"/>
  <c r="O1744" i="2"/>
  <c r="P1744" i="2"/>
  <c r="N1744" i="2"/>
  <c r="O1743" i="2"/>
  <c r="R1743" i="2" s="1"/>
  <c r="P1743" i="2"/>
  <c r="N1743" i="2"/>
  <c r="O1742" i="2"/>
  <c r="R1742" i="2" s="1"/>
  <c r="P1742" i="2"/>
  <c r="N1742" i="2"/>
  <c r="O1741" i="2"/>
  <c r="R1741" i="2" s="1"/>
  <c r="P1741" i="2"/>
  <c r="N1741" i="2"/>
  <c r="O1740" i="2"/>
  <c r="P1740" i="2"/>
  <c r="N1740" i="2"/>
  <c r="O1739" i="2"/>
  <c r="R1739" i="2" s="1"/>
  <c r="P1739" i="2"/>
  <c r="N1739" i="2"/>
  <c r="O1738" i="2"/>
  <c r="P1738" i="2"/>
  <c r="N1738" i="2"/>
  <c r="O1737" i="2"/>
  <c r="R1737" i="2" s="1"/>
  <c r="P1737" i="2"/>
  <c r="N1737" i="2"/>
  <c r="O1736" i="2"/>
  <c r="P1736" i="2"/>
  <c r="N1736" i="2"/>
  <c r="O1735" i="2"/>
  <c r="R1735" i="2" s="1"/>
  <c r="P1735" i="2"/>
  <c r="N1735" i="2"/>
  <c r="O1734" i="2"/>
  <c r="R1734" i="2" s="1"/>
  <c r="P1734" i="2"/>
  <c r="N1734" i="2"/>
  <c r="O1733" i="2"/>
  <c r="R1733" i="2" s="1"/>
  <c r="P1733" i="2"/>
  <c r="N1733" i="2"/>
  <c r="O1732" i="2"/>
  <c r="P1732" i="2"/>
  <c r="N1732" i="2"/>
  <c r="O1731" i="2"/>
  <c r="R1731" i="2" s="1"/>
  <c r="P1731" i="2"/>
  <c r="N1731" i="2"/>
  <c r="O1730" i="2"/>
  <c r="P1730" i="2"/>
  <c r="N1730" i="2"/>
  <c r="O1729" i="2"/>
  <c r="R1729" i="2" s="1"/>
  <c r="P1729" i="2"/>
  <c r="N1729" i="2"/>
  <c r="O1728" i="2"/>
  <c r="P1728" i="2"/>
  <c r="N1728" i="2"/>
  <c r="O1727" i="2"/>
  <c r="R1727" i="2" s="1"/>
  <c r="P1727" i="2"/>
  <c r="N1727" i="2"/>
  <c r="O1726" i="2"/>
  <c r="R1726" i="2" s="1"/>
  <c r="P1726" i="2"/>
  <c r="N1726" i="2"/>
  <c r="O1725" i="2"/>
  <c r="R1725" i="2" s="1"/>
  <c r="P1725" i="2"/>
  <c r="N1725" i="2"/>
  <c r="O1724" i="2"/>
  <c r="P1724" i="2"/>
  <c r="N1724" i="2"/>
  <c r="O1723" i="2"/>
  <c r="R1723" i="2" s="1"/>
  <c r="P1723" i="2"/>
  <c r="N1723" i="2"/>
  <c r="O1722" i="2"/>
  <c r="R1722" i="2" s="1"/>
  <c r="P1722" i="2"/>
  <c r="N1722" i="2"/>
  <c r="O1721" i="2"/>
  <c r="R1721" i="2" s="1"/>
  <c r="P1721" i="2"/>
  <c r="N1721" i="2"/>
  <c r="O1720" i="2"/>
  <c r="Q1720" i="2" s="1"/>
  <c r="P1720" i="2"/>
  <c r="N1720" i="2"/>
  <c r="O1719" i="2"/>
  <c r="R1719" i="2" s="1"/>
  <c r="P1719" i="2"/>
  <c r="N1719" i="2"/>
  <c r="O1718" i="2"/>
  <c r="R1718" i="2" s="1"/>
  <c r="P1718" i="2"/>
  <c r="N1718" i="2"/>
  <c r="O1717" i="2"/>
  <c r="R1717" i="2" s="1"/>
  <c r="P1717" i="2"/>
  <c r="N1717" i="2"/>
  <c r="O1716" i="2"/>
  <c r="P1716" i="2"/>
  <c r="N1716" i="2"/>
  <c r="O1715" i="2"/>
  <c r="R1715" i="2" s="1"/>
  <c r="P1715" i="2"/>
  <c r="N1715" i="2"/>
  <c r="O1714" i="2"/>
  <c r="P1714" i="2"/>
  <c r="N1714" i="2"/>
  <c r="O1713" i="2"/>
  <c r="R1713" i="2" s="1"/>
  <c r="P1713" i="2"/>
  <c r="N1713" i="2"/>
  <c r="O1712" i="2"/>
  <c r="P1712" i="2"/>
  <c r="N1712" i="2"/>
  <c r="O1711" i="2"/>
  <c r="R1711" i="2" s="1"/>
  <c r="P1711" i="2"/>
  <c r="N1711" i="2"/>
  <c r="O1710" i="2"/>
  <c r="R1710" i="2" s="1"/>
  <c r="P1710" i="2"/>
  <c r="N1710" i="2"/>
  <c r="O1709" i="2"/>
  <c r="R1709" i="2" s="1"/>
  <c r="P1709" i="2"/>
  <c r="N1709" i="2"/>
  <c r="O1708" i="2"/>
  <c r="P1708" i="2"/>
  <c r="N1708" i="2"/>
  <c r="O1707" i="2"/>
  <c r="R1707" i="2" s="1"/>
  <c r="P1707" i="2"/>
  <c r="N1707" i="2"/>
  <c r="O1706" i="2"/>
  <c r="P1706" i="2"/>
  <c r="N1706" i="2"/>
  <c r="O1705" i="2"/>
  <c r="R1705" i="2" s="1"/>
  <c r="P1705" i="2"/>
  <c r="N1705" i="2"/>
  <c r="O1704" i="2"/>
  <c r="P1704" i="2"/>
  <c r="N1704" i="2"/>
  <c r="O1703" i="2"/>
  <c r="R1703" i="2" s="1"/>
  <c r="P1703" i="2"/>
  <c r="N1703" i="2"/>
  <c r="O1702" i="2"/>
  <c r="R1702" i="2" s="1"/>
  <c r="P1702" i="2"/>
  <c r="N1702" i="2"/>
  <c r="O1701" i="2"/>
  <c r="R1701" i="2" s="1"/>
  <c r="P1701" i="2"/>
  <c r="N1701" i="2"/>
  <c r="O1700" i="2"/>
  <c r="P1700" i="2"/>
  <c r="N1700" i="2"/>
  <c r="O1699" i="2"/>
  <c r="P1699" i="2"/>
  <c r="N1699" i="2"/>
  <c r="O1698" i="2"/>
  <c r="R1698" i="2" s="1"/>
  <c r="P1698" i="2"/>
  <c r="N1698" i="2"/>
  <c r="O1697" i="2"/>
  <c r="R1697" i="2" s="1"/>
  <c r="P1697" i="2"/>
  <c r="N1697" i="2"/>
  <c r="O1696" i="2"/>
  <c r="P1696" i="2"/>
  <c r="N1696" i="2"/>
  <c r="O1695" i="2"/>
  <c r="P1695" i="2"/>
  <c r="N1695" i="2"/>
  <c r="O1694" i="2"/>
  <c r="R1694" i="2" s="1"/>
  <c r="P1694" i="2"/>
  <c r="N1694" i="2"/>
  <c r="O1693" i="2"/>
  <c r="R1693" i="2" s="1"/>
  <c r="P1693" i="2"/>
  <c r="N1693" i="2"/>
  <c r="O1692" i="2"/>
  <c r="P1692" i="2"/>
  <c r="N1692" i="2"/>
  <c r="O1691" i="2"/>
  <c r="P1691" i="2"/>
  <c r="N1691" i="2"/>
  <c r="O1690" i="2"/>
  <c r="R1690" i="2" s="1"/>
  <c r="P1690" i="2"/>
  <c r="N1690" i="2"/>
  <c r="O1689" i="2"/>
  <c r="R1689" i="2" s="1"/>
  <c r="P1689" i="2"/>
  <c r="N1689" i="2"/>
  <c r="O1688" i="2"/>
  <c r="P1688" i="2"/>
  <c r="N1688" i="2"/>
  <c r="O1687" i="2"/>
  <c r="R1687" i="2" s="1"/>
  <c r="P1687" i="2"/>
  <c r="N1687" i="2"/>
  <c r="O1686" i="2"/>
  <c r="R1686" i="2" s="1"/>
  <c r="P1686" i="2"/>
  <c r="N1686" i="2"/>
  <c r="O1685" i="2"/>
  <c r="R1685" i="2" s="1"/>
  <c r="P1685" i="2"/>
  <c r="N1685" i="2"/>
  <c r="O1684" i="2"/>
  <c r="P1684" i="2"/>
  <c r="N1684" i="2"/>
  <c r="O1683" i="2"/>
  <c r="P1683" i="2"/>
  <c r="N1683" i="2"/>
  <c r="O1682" i="2"/>
  <c r="R1682" i="2" s="1"/>
  <c r="P1682" i="2"/>
  <c r="N1682" i="2"/>
  <c r="O1681" i="2"/>
  <c r="R1681" i="2" s="1"/>
  <c r="P1681" i="2"/>
  <c r="N1681" i="2"/>
  <c r="O1680" i="2"/>
  <c r="P1680" i="2"/>
  <c r="N1680" i="2"/>
  <c r="O1679" i="2"/>
  <c r="P1679" i="2"/>
  <c r="N1679" i="2"/>
  <c r="O1678" i="2"/>
  <c r="R1678" i="2" s="1"/>
  <c r="P1678" i="2"/>
  <c r="N1678" i="2"/>
  <c r="O1677" i="2"/>
  <c r="R1677" i="2" s="1"/>
  <c r="P1677" i="2"/>
  <c r="N1677" i="2"/>
  <c r="O1676" i="2"/>
  <c r="P1676" i="2"/>
  <c r="N1676" i="2"/>
  <c r="O1675" i="2"/>
  <c r="R1675" i="2" s="1"/>
  <c r="P1675" i="2"/>
  <c r="N1675" i="2"/>
  <c r="O1674" i="2"/>
  <c r="R1674" i="2" s="1"/>
  <c r="P1674" i="2"/>
  <c r="N1674" i="2"/>
  <c r="O1673" i="2"/>
  <c r="R1673" i="2" s="1"/>
  <c r="P1673" i="2"/>
  <c r="N1673" i="2"/>
  <c r="O1672" i="2"/>
  <c r="P1672" i="2"/>
  <c r="N1672" i="2"/>
  <c r="O1671" i="2"/>
  <c r="P1671" i="2"/>
  <c r="N1671" i="2"/>
  <c r="O1670" i="2"/>
  <c r="R1670" i="2" s="1"/>
  <c r="P1670" i="2"/>
  <c r="N1670" i="2"/>
  <c r="O1669" i="2"/>
  <c r="R1669" i="2" s="1"/>
  <c r="P1669" i="2"/>
  <c r="N1669" i="2"/>
  <c r="O1668" i="2"/>
  <c r="P1668" i="2"/>
  <c r="N1668" i="2"/>
  <c r="O1667" i="2"/>
  <c r="P1667" i="2"/>
  <c r="N1667" i="2"/>
  <c r="O1666" i="2"/>
  <c r="R1666" i="2" s="1"/>
  <c r="P1666" i="2"/>
  <c r="N1666" i="2"/>
  <c r="O1665" i="2"/>
  <c r="R1665" i="2" s="1"/>
  <c r="P1665" i="2"/>
  <c r="N1665" i="2"/>
  <c r="O1664" i="2"/>
  <c r="P1664" i="2"/>
  <c r="N1664" i="2"/>
  <c r="O1663" i="2"/>
  <c r="R1663" i="2" s="1"/>
  <c r="P1663" i="2"/>
  <c r="N1663" i="2"/>
  <c r="O1662" i="2"/>
  <c r="R1662" i="2" s="1"/>
  <c r="P1662" i="2"/>
  <c r="N1662" i="2"/>
  <c r="O1661" i="2"/>
  <c r="R1661" i="2" s="1"/>
  <c r="P1661" i="2"/>
  <c r="N1661" i="2"/>
  <c r="O1660" i="2"/>
  <c r="P1660" i="2"/>
  <c r="N1660" i="2"/>
  <c r="O1659" i="2"/>
  <c r="P1659" i="2"/>
  <c r="N1659" i="2"/>
  <c r="O1658" i="2"/>
  <c r="R1658" i="2" s="1"/>
  <c r="P1658" i="2"/>
  <c r="N1658" i="2"/>
  <c r="O1657" i="2"/>
  <c r="R1657" i="2" s="1"/>
  <c r="P1657" i="2"/>
  <c r="N1657" i="2"/>
  <c r="O1656" i="2"/>
  <c r="P1656" i="2"/>
  <c r="N1656" i="2"/>
  <c r="O1655" i="2"/>
  <c r="P1655" i="2"/>
  <c r="N1655" i="2"/>
  <c r="O1654" i="2"/>
  <c r="R1654" i="2" s="1"/>
  <c r="P1654" i="2"/>
  <c r="N1654" i="2"/>
  <c r="O1653" i="2"/>
  <c r="R1653" i="2" s="1"/>
  <c r="P1653" i="2"/>
  <c r="N1653" i="2"/>
  <c r="O1652" i="2"/>
  <c r="P1652" i="2"/>
  <c r="N1652" i="2"/>
  <c r="O1651" i="2"/>
  <c r="P1651" i="2"/>
  <c r="N1651" i="2"/>
  <c r="O1650" i="2"/>
  <c r="R1650" i="2" s="1"/>
  <c r="P1650" i="2"/>
  <c r="N1650" i="2"/>
  <c r="O1649" i="2"/>
  <c r="R1649" i="2" s="1"/>
  <c r="P1649" i="2"/>
  <c r="N1649" i="2"/>
  <c r="O1648" i="2"/>
  <c r="P1648" i="2"/>
  <c r="N1648" i="2"/>
  <c r="O1647" i="2"/>
  <c r="P1647" i="2"/>
  <c r="N1647" i="2"/>
  <c r="O1646" i="2"/>
  <c r="R1646" i="2" s="1"/>
  <c r="P1646" i="2"/>
  <c r="N1646" i="2"/>
  <c r="O1645" i="2"/>
  <c r="R1645" i="2" s="1"/>
  <c r="P1645" i="2"/>
  <c r="N1645" i="2"/>
  <c r="O1644" i="2"/>
  <c r="P1644" i="2"/>
  <c r="N1644" i="2"/>
  <c r="O1643" i="2"/>
  <c r="P1643" i="2"/>
  <c r="N1643" i="2"/>
  <c r="O1642" i="2"/>
  <c r="R1642" i="2" s="1"/>
  <c r="P1642" i="2"/>
  <c r="N1642" i="2"/>
  <c r="O1641" i="2"/>
  <c r="R1641" i="2" s="1"/>
  <c r="P1641" i="2"/>
  <c r="N1641" i="2"/>
  <c r="O1640" i="2"/>
  <c r="P1640" i="2"/>
  <c r="N1640" i="2"/>
  <c r="O1639" i="2"/>
  <c r="P1639" i="2"/>
  <c r="N1639" i="2"/>
  <c r="O1638" i="2"/>
  <c r="R1638" i="2" s="1"/>
  <c r="P1638" i="2"/>
  <c r="N1638" i="2"/>
  <c r="O1637" i="2"/>
  <c r="R1637" i="2" s="1"/>
  <c r="P1637" i="2"/>
  <c r="N1637" i="2"/>
  <c r="O1636" i="2"/>
  <c r="P1636" i="2"/>
  <c r="N1636" i="2"/>
  <c r="O1635" i="2"/>
  <c r="P1635" i="2"/>
  <c r="N1635" i="2"/>
  <c r="O1634" i="2"/>
  <c r="R1634" i="2" s="1"/>
  <c r="P1634" i="2"/>
  <c r="N1634" i="2"/>
  <c r="O1633" i="2"/>
  <c r="R1633" i="2" s="1"/>
  <c r="P1633" i="2"/>
  <c r="N1633" i="2"/>
  <c r="O1632" i="2"/>
  <c r="P1632" i="2"/>
  <c r="N1632" i="2"/>
  <c r="O1631" i="2"/>
  <c r="R1631" i="2" s="1"/>
  <c r="P1631" i="2"/>
  <c r="N1631" i="2"/>
  <c r="O1630" i="2"/>
  <c r="R1630" i="2" s="1"/>
  <c r="P1630" i="2"/>
  <c r="N1630" i="2"/>
  <c r="O1629" i="2"/>
  <c r="R1629" i="2" s="1"/>
  <c r="P1629" i="2"/>
  <c r="N1629" i="2"/>
  <c r="O1628" i="2"/>
  <c r="P1628" i="2"/>
  <c r="N1628" i="2"/>
  <c r="O1627" i="2"/>
  <c r="P1627" i="2"/>
  <c r="N1627" i="2"/>
  <c r="O1626" i="2"/>
  <c r="R1626" i="2" s="1"/>
  <c r="P1626" i="2"/>
  <c r="N1626" i="2"/>
  <c r="O1625" i="2"/>
  <c r="R1625" i="2" s="1"/>
  <c r="P1625" i="2"/>
  <c r="N1625" i="2"/>
  <c r="O1624" i="2"/>
  <c r="P1624" i="2"/>
  <c r="N1624" i="2"/>
  <c r="O1623" i="2"/>
  <c r="R1623" i="2" s="1"/>
  <c r="P1623" i="2"/>
  <c r="N1623" i="2"/>
  <c r="O1622" i="2"/>
  <c r="R1622" i="2" s="1"/>
  <c r="P1622" i="2"/>
  <c r="N1622" i="2"/>
  <c r="O1621" i="2"/>
  <c r="R1621" i="2" s="1"/>
  <c r="P1621" i="2"/>
  <c r="N1621" i="2"/>
  <c r="O1620" i="2"/>
  <c r="P1620" i="2"/>
  <c r="N1620" i="2"/>
  <c r="O1619" i="2"/>
  <c r="P1619" i="2"/>
  <c r="N1619" i="2"/>
  <c r="O1618" i="2"/>
  <c r="R1618" i="2" s="1"/>
  <c r="P1618" i="2"/>
  <c r="N1618" i="2"/>
  <c r="O1617" i="2"/>
  <c r="R1617" i="2" s="1"/>
  <c r="P1617" i="2"/>
  <c r="N1617" i="2"/>
  <c r="O1616" i="2"/>
  <c r="P1616" i="2"/>
  <c r="N1616" i="2"/>
  <c r="O1615" i="2"/>
  <c r="P1615" i="2"/>
  <c r="N1615" i="2"/>
  <c r="O1614" i="2"/>
  <c r="R1614" i="2" s="1"/>
  <c r="P1614" i="2"/>
  <c r="N1614" i="2"/>
  <c r="O1613" i="2"/>
  <c r="R1613" i="2" s="1"/>
  <c r="P1613" i="2"/>
  <c r="N1613" i="2"/>
  <c r="O1612" i="2"/>
  <c r="P1612" i="2"/>
  <c r="N1612" i="2"/>
  <c r="O1611" i="2"/>
  <c r="P1611" i="2"/>
  <c r="N1611" i="2"/>
  <c r="O1610" i="2"/>
  <c r="R1610" i="2" s="1"/>
  <c r="P1610" i="2"/>
  <c r="N1610" i="2"/>
  <c r="O1609" i="2"/>
  <c r="R1609" i="2" s="1"/>
  <c r="P1609" i="2"/>
  <c r="N1609" i="2"/>
  <c r="O1608" i="2"/>
  <c r="P1608" i="2"/>
  <c r="N1608" i="2"/>
  <c r="O1607" i="2"/>
  <c r="P1607" i="2"/>
  <c r="N1607" i="2"/>
  <c r="O1606" i="2"/>
  <c r="R1606" i="2" s="1"/>
  <c r="P1606" i="2"/>
  <c r="N1606" i="2"/>
  <c r="O1605" i="2"/>
  <c r="R1605" i="2" s="1"/>
  <c r="P1605" i="2"/>
  <c r="N1605" i="2"/>
  <c r="O1604" i="2"/>
  <c r="P1604" i="2"/>
  <c r="N1604" i="2"/>
  <c r="O1603" i="2"/>
  <c r="P1603" i="2"/>
  <c r="N1603" i="2"/>
  <c r="O1602" i="2"/>
  <c r="R1602" i="2" s="1"/>
  <c r="P1602" i="2"/>
  <c r="N1602" i="2"/>
  <c r="O1601" i="2"/>
  <c r="R1601" i="2" s="1"/>
  <c r="P1601" i="2"/>
  <c r="N1601" i="2"/>
  <c r="O1600" i="2"/>
  <c r="P1600" i="2"/>
  <c r="N1600" i="2"/>
  <c r="O1599" i="2"/>
  <c r="R1599" i="2" s="1"/>
  <c r="P1599" i="2"/>
  <c r="N1599" i="2"/>
  <c r="O1598" i="2"/>
  <c r="R1598" i="2" s="1"/>
  <c r="P1598" i="2"/>
  <c r="N1598" i="2"/>
  <c r="O1597" i="2"/>
  <c r="R1597" i="2" s="1"/>
  <c r="P1597" i="2"/>
  <c r="N1597" i="2"/>
  <c r="O1596" i="2"/>
  <c r="P1596" i="2"/>
  <c r="N1596" i="2"/>
  <c r="O1595" i="2"/>
  <c r="R1595" i="2" s="1"/>
  <c r="P1595" i="2"/>
  <c r="N1595" i="2"/>
  <c r="O1594" i="2"/>
  <c r="R1594" i="2" s="1"/>
  <c r="P1594" i="2"/>
  <c r="N1594" i="2"/>
  <c r="O1593" i="2"/>
  <c r="R1593" i="2" s="1"/>
  <c r="P1593" i="2"/>
  <c r="N1593" i="2"/>
  <c r="O1592" i="2"/>
  <c r="P1592" i="2"/>
  <c r="N1592" i="2"/>
  <c r="O1591" i="2"/>
  <c r="P1591" i="2"/>
  <c r="N1591" i="2"/>
  <c r="O1590" i="2"/>
  <c r="R1590" i="2" s="1"/>
  <c r="P1590" i="2"/>
  <c r="N1590" i="2"/>
  <c r="O1589" i="2"/>
  <c r="R1589" i="2" s="1"/>
  <c r="P1589" i="2"/>
  <c r="N1589" i="2"/>
  <c r="O1588" i="2"/>
  <c r="P1588" i="2"/>
  <c r="N1588" i="2"/>
  <c r="O1587" i="2"/>
  <c r="P1587" i="2"/>
  <c r="N1587" i="2"/>
  <c r="O1586" i="2"/>
  <c r="R1586" i="2" s="1"/>
  <c r="P1586" i="2"/>
  <c r="N1586" i="2"/>
  <c r="O1585" i="2"/>
  <c r="R1585" i="2" s="1"/>
  <c r="P1585" i="2"/>
  <c r="N1585" i="2"/>
  <c r="O1584" i="2"/>
  <c r="P1584" i="2"/>
  <c r="N1584" i="2"/>
  <c r="O1583" i="2"/>
  <c r="P1583" i="2"/>
  <c r="N1583" i="2"/>
  <c r="O1582" i="2"/>
  <c r="R1582" i="2" s="1"/>
  <c r="P1582" i="2"/>
  <c r="N1582" i="2"/>
  <c r="O1581" i="2"/>
  <c r="R1581" i="2" s="1"/>
  <c r="P1581" i="2"/>
  <c r="N1581" i="2"/>
  <c r="O1580" i="2"/>
  <c r="P1580" i="2"/>
  <c r="N1580" i="2"/>
  <c r="O1579" i="2"/>
  <c r="P1579" i="2"/>
  <c r="N1579" i="2"/>
  <c r="O1578" i="2"/>
  <c r="R1578" i="2" s="1"/>
  <c r="P1578" i="2"/>
  <c r="N1578" i="2"/>
  <c r="O1577" i="2"/>
  <c r="R1577" i="2" s="1"/>
  <c r="P1577" i="2"/>
  <c r="N1577" i="2"/>
  <c r="O1576" i="2"/>
  <c r="P1576" i="2"/>
  <c r="N1576" i="2"/>
  <c r="O1575" i="2"/>
  <c r="P1575" i="2"/>
  <c r="N1575" i="2"/>
  <c r="O1574" i="2"/>
  <c r="R1574" i="2" s="1"/>
  <c r="P1574" i="2"/>
  <c r="N1574" i="2"/>
  <c r="O1573" i="2"/>
  <c r="R1573" i="2" s="1"/>
  <c r="P1573" i="2"/>
  <c r="N1573" i="2"/>
  <c r="O1572" i="2"/>
  <c r="P1572" i="2"/>
  <c r="N1572" i="2"/>
  <c r="O1571" i="2"/>
  <c r="P1571" i="2"/>
  <c r="N1571" i="2"/>
  <c r="O1570" i="2"/>
  <c r="R1570" i="2" s="1"/>
  <c r="P1570" i="2"/>
  <c r="N1570" i="2"/>
  <c r="O1569" i="2"/>
  <c r="R1569" i="2" s="1"/>
  <c r="P1569" i="2"/>
  <c r="N1569" i="2"/>
  <c r="O1568" i="2"/>
  <c r="P1568" i="2"/>
  <c r="N1568" i="2"/>
  <c r="O1567" i="2"/>
  <c r="P1567" i="2"/>
  <c r="N1567" i="2"/>
  <c r="O1566" i="2"/>
  <c r="R1566" i="2" s="1"/>
  <c r="P1566" i="2"/>
  <c r="N1566" i="2"/>
  <c r="O1565" i="2"/>
  <c r="R1565" i="2" s="1"/>
  <c r="P1565" i="2"/>
  <c r="N1565" i="2"/>
  <c r="O1564" i="2"/>
  <c r="P1564" i="2"/>
  <c r="N1564" i="2"/>
  <c r="O1563" i="2"/>
  <c r="P1563" i="2"/>
  <c r="N1563" i="2"/>
  <c r="O1562" i="2"/>
  <c r="R1562" i="2" s="1"/>
  <c r="P1562" i="2"/>
  <c r="N1562" i="2"/>
  <c r="O1561" i="2"/>
  <c r="R1561" i="2" s="1"/>
  <c r="P1561" i="2"/>
  <c r="N1561" i="2"/>
  <c r="O1560" i="2"/>
  <c r="P1560" i="2"/>
  <c r="N1560" i="2"/>
  <c r="O1559" i="2"/>
  <c r="R1559" i="2" s="1"/>
  <c r="P1559" i="2"/>
  <c r="N1559" i="2"/>
  <c r="O1558" i="2"/>
  <c r="R1558" i="2" s="1"/>
  <c r="P1558" i="2"/>
  <c r="N1558" i="2"/>
  <c r="O1557" i="2"/>
  <c r="R1557" i="2" s="1"/>
  <c r="P1557" i="2"/>
  <c r="N1557" i="2"/>
  <c r="O1556" i="2"/>
  <c r="P1556" i="2"/>
  <c r="N1556" i="2"/>
  <c r="O1555" i="2"/>
  <c r="P1555" i="2"/>
  <c r="N1555" i="2"/>
  <c r="O1554" i="2"/>
  <c r="R1554" i="2" s="1"/>
  <c r="P1554" i="2"/>
  <c r="N1554" i="2"/>
  <c r="O1553" i="2"/>
  <c r="R1553" i="2" s="1"/>
  <c r="P1553" i="2"/>
  <c r="N1553" i="2"/>
  <c r="O1552" i="2"/>
  <c r="P1552" i="2"/>
  <c r="N1552" i="2"/>
  <c r="O1551" i="2"/>
  <c r="R1551" i="2" s="1"/>
  <c r="P1551" i="2"/>
  <c r="N1551" i="2"/>
  <c r="O1550" i="2"/>
  <c r="R1550" i="2" s="1"/>
  <c r="P1550" i="2"/>
  <c r="N1550" i="2"/>
  <c r="O1549" i="2"/>
  <c r="R1549" i="2" s="1"/>
  <c r="P1549" i="2"/>
  <c r="N1549" i="2"/>
  <c r="O1548" i="2"/>
  <c r="P1548" i="2"/>
  <c r="N1548" i="2"/>
  <c r="O1547" i="2"/>
  <c r="P1547" i="2"/>
  <c r="N1547" i="2"/>
  <c r="O1546" i="2"/>
  <c r="R1546" i="2" s="1"/>
  <c r="P1546" i="2"/>
  <c r="N1546" i="2"/>
  <c r="O1545" i="2"/>
  <c r="R1545" i="2" s="1"/>
  <c r="P1545" i="2"/>
  <c r="N1545" i="2"/>
  <c r="O1544" i="2"/>
  <c r="P1544" i="2"/>
  <c r="N1544" i="2"/>
  <c r="O1543" i="2"/>
  <c r="P1543" i="2"/>
  <c r="N1543" i="2"/>
  <c r="O1542" i="2"/>
  <c r="R1542" i="2" s="1"/>
  <c r="P1542" i="2"/>
  <c r="N1542" i="2"/>
  <c r="O1541" i="2"/>
  <c r="R1541" i="2" s="1"/>
  <c r="P1541" i="2"/>
  <c r="N1541" i="2"/>
  <c r="O1540" i="2"/>
  <c r="P1540" i="2"/>
  <c r="N1540" i="2"/>
  <c r="O1539" i="2"/>
  <c r="P1539" i="2"/>
  <c r="N1539" i="2"/>
  <c r="O1538" i="2"/>
  <c r="R1538" i="2" s="1"/>
  <c r="P1538" i="2"/>
  <c r="N1538" i="2"/>
  <c r="O1537" i="2"/>
  <c r="R1537" i="2" s="1"/>
  <c r="P1537" i="2"/>
  <c r="N1537" i="2"/>
  <c r="O1536" i="2"/>
  <c r="P1536" i="2"/>
  <c r="N1536" i="2"/>
  <c r="O1535" i="2"/>
  <c r="R1535" i="2" s="1"/>
  <c r="P1535" i="2"/>
  <c r="N1535" i="2"/>
  <c r="O1534" i="2"/>
  <c r="R1534" i="2" s="1"/>
  <c r="P1534" i="2"/>
  <c r="N1534" i="2"/>
  <c r="O1533" i="2"/>
  <c r="R1533" i="2" s="1"/>
  <c r="P1533" i="2"/>
  <c r="N1533" i="2"/>
  <c r="O1532" i="2"/>
  <c r="P1532" i="2"/>
  <c r="N1532" i="2"/>
  <c r="O1531" i="2"/>
  <c r="P1531" i="2"/>
  <c r="N1531" i="2"/>
  <c r="O1530" i="2"/>
  <c r="R1530" i="2" s="1"/>
  <c r="P1530" i="2"/>
  <c r="N1530" i="2"/>
  <c r="O1529" i="2"/>
  <c r="R1529" i="2" s="1"/>
  <c r="P1529" i="2"/>
  <c r="N1529" i="2"/>
  <c r="O1528" i="2"/>
  <c r="P1528" i="2"/>
  <c r="N1528" i="2"/>
  <c r="O1527" i="2"/>
  <c r="P1527" i="2"/>
  <c r="N1527" i="2"/>
  <c r="O1526" i="2"/>
  <c r="R1526" i="2" s="1"/>
  <c r="P1526" i="2"/>
  <c r="N1526" i="2"/>
  <c r="O1525" i="2"/>
  <c r="R1525" i="2" s="1"/>
  <c r="P1525" i="2"/>
  <c r="N1525" i="2"/>
  <c r="O1524" i="2"/>
  <c r="P1524" i="2"/>
  <c r="N1524" i="2"/>
  <c r="O1523" i="2"/>
  <c r="P1523" i="2"/>
  <c r="N1523" i="2"/>
  <c r="O1522" i="2"/>
  <c r="R1522" i="2" s="1"/>
  <c r="P1522" i="2"/>
  <c r="N1522" i="2"/>
  <c r="O1521" i="2"/>
  <c r="R1521" i="2" s="1"/>
  <c r="P1521" i="2"/>
  <c r="N1521" i="2"/>
  <c r="O1520" i="2"/>
  <c r="P1520" i="2"/>
  <c r="N1520" i="2"/>
  <c r="O1519" i="2"/>
  <c r="P1519" i="2"/>
  <c r="N1519" i="2"/>
  <c r="O1518" i="2"/>
  <c r="R1518" i="2" s="1"/>
  <c r="P1518" i="2"/>
  <c r="N1518" i="2"/>
  <c r="O1517" i="2"/>
  <c r="R1517" i="2" s="1"/>
  <c r="P1517" i="2"/>
  <c r="N1517" i="2"/>
  <c r="O1516" i="2"/>
  <c r="P1516" i="2"/>
  <c r="N1516" i="2"/>
  <c r="O1515" i="2"/>
  <c r="P1515" i="2"/>
  <c r="N1515" i="2"/>
  <c r="O1514" i="2"/>
  <c r="R1514" i="2" s="1"/>
  <c r="P1514" i="2"/>
  <c r="N1514" i="2"/>
  <c r="O1513" i="2"/>
  <c r="R1513" i="2" s="1"/>
  <c r="P1513" i="2"/>
  <c r="N1513" i="2"/>
  <c r="O1512" i="2"/>
  <c r="P1512" i="2"/>
  <c r="N1512" i="2"/>
  <c r="O1511" i="2"/>
  <c r="P1511" i="2"/>
  <c r="N1511" i="2"/>
  <c r="O1510" i="2"/>
  <c r="R1510" i="2" s="1"/>
  <c r="P1510" i="2"/>
  <c r="N1510" i="2"/>
  <c r="O1509" i="2"/>
  <c r="R1509" i="2" s="1"/>
  <c r="P1509" i="2"/>
  <c r="N1509" i="2"/>
  <c r="O1508" i="2"/>
  <c r="P1508" i="2"/>
  <c r="N1508" i="2"/>
  <c r="O1507" i="2"/>
  <c r="P1507" i="2"/>
  <c r="N1507" i="2"/>
  <c r="O1506" i="2"/>
  <c r="R1506" i="2" s="1"/>
  <c r="P1506" i="2"/>
  <c r="N1506" i="2"/>
  <c r="O1505" i="2"/>
  <c r="R1505" i="2" s="1"/>
  <c r="P1505" i="2"/>
  <c r="N1505" i="2"/>
  <c r="O1504" i="2"/>
  <c r="P1504" i="2"/>
  <c r="N1504" i="2"/>
  <c r="O1503" i="2"/>
  <c r="R1503" i="2" s="1"/>
  <c r="P1503" i="2"/>
  <c r="N1503" i="2"/>
  <c r="O1502" i="2"/>
  <c r="R1502" i="2" s="1"/>
  <c r="P1502" i="2"/>
  <c r="N1502" i="2"/>
  <c r="O1501" i="2"/>
  <c r="R1501" i="2" s="1"/>
  <c r="P1501" i="2"/>
  <c r="N1501" i="2"/>
  <c r="O1500" i="2"/>
  <c r="P1500" i="2"/>
  <c r="N1500" i="2"/>
  <c r="O1499" i="2"/>
  <c r="P1499" i="2"/>
  <c r="N1499" i="2"/>
  <c r="O1498" i="2"/>
  <c r="R1498" i="2" s="1"/>
  <c r="P1498" i="2"/>
  <c r="N1498" i="2"/>
  <c r="O1497" i="2"/>
  <c r="R1497" i="2" s="1"/>
  <c r="P1497" i="2"/>
  <c r="N1497" i="2"/>
  <c r="O1496" i="2"/>
  <c r="P1496" i="2"/>
  <c r="N1496" i="2"/>
  <c r="O1495" i="2"/>
  <c r="R1495" i="2" s="1"/>
  <c r="P1495" i="2"/>
  <c r="N1495" i="2"/>
  <c r="O1494" i="2"/>
  <c r="R1494" i="2" s="1"/>
  <c r="P1494" i="2"/>
  <c r="N1494" i="2"/>
  <c r="O1493" i="2"/>
  <c r="R1493" i="2" s="1"/>
  <c r="P1493" i="2"/>
  <c r="N1493" i="2"/>
  <c r="O1492" i="2"/>
  <c r="P1492" i="2"/>
  <c r="N1492" i="2"/>
  <c r="O1491" i="2"/>
  <c r="P1491" i="2"/>
  <c r="N1491" i="2"/>
  <c r="O1490" i="2"/>
  <c r="R1490" i="2" s="1"/>
  <c r="P1490" i="2"/>
  <c r="N1490" i="2"/>
  <c r="O1489" i="2"/>
  <c r="R1489" i="2" s="1"/>
  <c r="P1489" i="2"/>
  <c r="N1489" i="2"/>
  <c r="O1488" i="2"/>
  <c r="P1488" i="2"/>
  <c r="N1488" i="2"/>
  <c r="O1487" i="2"/>
  <c r="P1487" i="2"/>
  <c r="N1487" i="2"/>
  <c r="O1486" i="2"/>
  <c r="R1486" i="2" s="1"/>
  <c r="P1486" i="2"/>
  <c r="N1486" i="2"/>
  <c r="O1485" i="2"/>
  <c r="R1485" i="2" s="1"/>
  <c r="P1485" i="2"/>
  <c r="N1485" i="2"/>
  <c r="O1484" i="2"/>
  <c r="P1484" i="2"/>
  <c r="N1484" i="2"/>
  <c r="O1483" i="2"/>
  <c r="R1483" i="2" s="1"/>
  <c r="P1483" i="2"/>
  <c r="N1483" i="2"/>
  <c r="O1482" i="2"/>
  <c r="R1482" i="2" s="1"/>
  <c r="P1482" i="2"/>
  <c r="N1482" i="2"/>
  <c r="O1481" i="2"/>
  <c r="R1481" i="2" s="1"/>
  <c r="P1481" i="2"/>
  <c r="N1481" i="2"/>
  <c r="O1480" i="2"/>
  <c r="P1480" i="2"/>
  <c r="N1480" i="2"/>
  <c r="O1479" i="2"/>
  <c r="P1479" i="2"/>
  <c r="N1479" i="2"/>
  <c r="O1478" i="2"/>
  <c r="R1478" i="2" s="1"/>
  <c r="P1478" i="2"/>
  <c r="N1478" i="2"/>
  <c r="O1477" i="2"/>
  <c r="R1477" i="2" s="1"/>
  <c r="P1477" i="2"/>
  <c r="N1477" i="2"/>
  <c r="O1476" i="2"/>
  <c r="P1476" i="2"/>
  <c r="N1476" i="2"/>
  <c r="O1475" i="2"/>
  <c r="P1475" i="2"/>
  <c r="N1475" i="2"/>
  <c r="O1474" i="2"/>
  <c r="R1474" i="2" s="1"/>
  <c r="P1474" i="2"/>
  <c r="N1474" i="2"/>
  <c r="O1473" i="2"/>
  <c r="R1473" i="2" s="1"/>
  <c r="P1473" i="2"/>
  <c r="N1473" i="2"/>
  <c r="O1472" i="2"/>
  <c r="R1472" i="2" s="1"/>
  <c r="P1472" i="2"/>
  <c r="N1472" i="2"/>
  <c r="O1471" i="2"/>
  <c r="P1471" i="2"/>
  <c r="N1471" i="2"/>
  <c r="O1470" i="2"/>
  <c r="R1470" i="2" s="1"/>
  <c r="P1470" i="2"/>
  <c r="N1470" i="2"/>
  <c r="O1469" i="2"/>
  <c r="R1469" i="2" s="1"/>
  <c r="P1469" i="2"/>
  <c r="N1469" i="2"/>
  <c r="O1468" i="2"/>
  <c r="R1468" i="2" s="1"/>
  <c r="P1468" i="2"/>
  <c r="N1468" i="2"/>
  <c r="O1467" i="2"/>
  <c r="P1467" i="2"/>
  <c r="N1467" i="2"/>
  <c r="O1466" i="2"/>
  <c r="R1466" i="2" s="1"/>
  <c r="P1466" i="2"/>
  <c r="N1466" i="2"/>
  <c r="O1465" i="2"/>
  <c r="R1465" i="2" s="1"/>
  <c r="P1465" i="2"/>
  <c r="N1465" i="2"/>
  <c r="O1464" i="2"/>
  <c r="R1464" i="2" s="1"/>
  <c r="P1464" i="2"/>
  <c r="N1464" i="2"/>
  <c r="O1463" i="2"/>
  <c r="P1463" i="2"/>
  <c r="N1463" i="2"/>
  <c r="O1462" i="2"/>
  <c r="R1462" i="2" s="1"/>
  <c r="P1462" i="2"/>
  <c r="N1462" i="2"/>
  <c r="O1461" i="2"/>
  <c r="R1461" i="2" s="1"/>
  <c r="P1461" i="2"/>
  <c r="N1461" i="2"/>
  <c r="O1460" i="2"/>
  <c r="R1460" i="2" s="1"/>
  <c r="P1460" i="2"/>
  <c r="N1460" i="2"/>
  <c r="O1459" i="2"/>
  <c r="R1459" i="2" s="1"/>
  <c r="P1459" i="2"/>
  <c r="N1459" i="2"/>
  <c r="O1458" i="2"/>
  <c r="P1458" i="2"/>
  <c r="N1458" i="2"/>
  <c r="O1457" i="2"/>
  <c r="R1457" i="2" s="1"/>
  <c r="P1457" i="2"/>
  <c r="N1457" i="2"/>
  <c r="O1456" i="2"/>
  <c r="P1456" i="2"/>
  <c r="N1456" i="2"/>
  <c r="O1455" i="2"/>
  <c r="R1455" i="2" s="1"/>
  <c r="P1455" i="2"/>
  <c r="N1455" i="2"/>
  <c r="O1454" i="2"/>
  <c r="R1454" i="2" s="1"/>
  <c r="P1454" i="2"/>
  <c r="N1454" i="2"/>
  <c r="O1453" i="2"/>
  <c r="R1453" i="2" s="1"/>
  <c r="P1453" i="2"/>
  <c r="N1453" i="2"/>
  <c r="O1452" i="2"/>
  <c r="P1452" i="2"/>
  <c r="N1452" i="2"/>
  <c r="O1451" i="2"/>
  <c r="R1451" i="2" s="1"/>
  <c r="P1451" i="2"/>
  <c r="N1451" i="2"/>
  <c r="O1450" i="2"/>
  <c r="R1450" i="2" s="1"/>
  <c r="P1450" i="2"/>
  <c r="N1450" i="2"/>
  <c r="O1449" i="2"/>
  <c r="R1449" i="2" s="1"/>
  <c r="P1449" i="2"/>
  <c r="N1449" i="2"/>
  <c r="O1448" i="2"/>
  <c r="Q1448" i="2" s="1"/>
  <c r="P1448" i="2"/>
  <c r="N1448" i="2"/>
  <c r="O1447" i="2"/>
  <c r="R1447" i="2" s="1"/>
  <c r="P1447" i="2"/>
  <c r="N1447" i="2"/>
  <c r="O1446" i="2"/>
  <c r="R1446" i="2" s="1"/>
  <c r="P1446" i="2"/>
  <c r="N1446" i="2"/>
  <c r="O1445" i="2"/>
  <c r="R1445" i="2" s="1"/>
  <c r="P1445" i="2"/>
  <c r="N1445" i="2"/>
  <c r="O1444" i="2"/>
  <c r="P1444" i="2"/>
  <c r="N1444" i="2"/>
  <c r="O1443" i="2"/>
  <c r="R1443" i="2" s="1"/>
  <c r="P1443" i="2"/>
  <c r="N1443" i="2"/>
  <c r="O1442" i="2"/>
  <c r="P1442" i="2"/>
  <c r="N1442" i="2"/>
  <c r="O1441" i="2"/>
  <c r="R1441" i="2" s="1"/>
  <c r="P1441" i="2"/>
  <c r="N1441" i="2"/>
  <c r="O1440" i="2"/>
  <c r="P1440" i="2"/>
  <c r="N1440" i="2"/>
  <c r="O1439" i="2"/>
  <c r="R1439" i="2" s="1"/>
  <c r="P1439" i="2"/>
  <c r="N1439" i="2"/>
  <c r="O1438" i="2"/>
  <c r="R1438" i="2" s="1"/>
  <c r="P1438" i="2"/>
  <c r="N1438" i="2"/>
  <c r="O1437" i="2"/>
  <c r="R1437" i="2" s="1"/>
  <c r="P1437" i="2"/>
  <c r="N1437" i="2"/>
  <c r="O1436" i="2"/>
  <c r="P1436" i="2"/>
  <c r="N1436" i="2"/>
  <c r="O1435" i="2"/>
  <c r="R1435" i="2" s="1"/>
  <c r="P1435" i="2"/>
  <c r="N1435" i="2"/>
  <c r="O1434" i="2"/>
  <c r="P1434" i="2"/>
  <c r="N1434" i="2"/>
  <c r="O1433" i="2"/>
  <c r="R1433" i="2" s="1"/>
  <c r="P1433" i="2"/>
  <c r="N1433" i="2"/>
  <c r="O1432" i="2"/>
  <c r="P1432" i="2"/>
  <c r="N1432" i="2"/>
  <c r="O1431" i="2"/>
  <c r="R1431" i="2" s="1"/>
  <c r="P1431" i="2"/>
  <c r="N1431" i="2"/>
  <c r="O1430" i="2"/>
  <c r="R1430" i="2" s="1"/>
  <c r="P1430" i="2"/>
  <c r="N1430" i="2"/>
  <c r="O1429" i="2"/>
  <c r="R1429" i="2" s="1"/>
  <c r="P1429" i="2"/>
  <c r="N1429" i="2"/>
  <c r="O1428" i="2"/>
  <c r="P1428" i="2"/>
  <c r="N1428" i="2"/>
  <c r="O1427" i="2"/>
  <c r="R1427" i="2" s="1"/>
  <c r="P1427" i="2"/>
  <c r="N1427" i="2"/>
  <c r="O1426" i="2"/>
  <c r="P1426" i="2"/>
  <c r="N1426" i="2"/>
  <c r="O1425" i="2"/>
  <c r="R1425" i="2" s="1"/>
  <c r="P1425" i="2"/>
  <c r="N1425" i="2"/>
  <c r="O1424" i="2"/>
  <c r="P1424" i="2"/>
  <c r="N1424" i="2"/>
  <c r="O1423" i="2"/>
  <c r="R1423" i="2" s="1"/>
  <c r="P1423" i="2"/>
  <c r="N1423" i="2"/>
  <c r="O1422" i="2"/>
  <c r="R1422" i="2" s="1"/>
  <c r="P1422" i="2"/>
  <c r="N1422" i="2"/>
  <c r="O1421" i="2"/>
  <c r="R1421" i="2" s="1"/>
  <c r="P1421" i="2"/>
  <c r="N1421" i="2"/>
  <c r="O1420" i="2"/>
  <c r="P1420" i="2"/>
  <c r="N1420" i="2"/>
  <c r="O1419" i="2"/>
  <c r="R1419" i="2" s="1"/>
  <c r="P1419" i="2"/>
  <c r="N1419" i="2"/>
  <c r="O1418" i="2"/>
  <c r="P1418" i="2"/>
  <c r="N1418" i="2"/>
  <c r="O1417" i="2"/>
  <c r="R1417" i="2" s="1"/>
  <c r="P1417" i="2"/>
  <c r="N1417" i="2"/>
  <c r="O1416" i="2"/>
  <c r="P1416" i="2"/>
  <c r="N1416" i="2"/>
  <c r="O1415" i="2"/>
  <c r="R1415" i="2" s="1"/>
  <c r="P1415" i="2"/>
  <c r="N1415" i="2"/>
  <c r="O1414" i="2"/>
  <c r="R1414" i="2" s="1"/>
  <c r="P1414" i="2"/>
  <c r="N1414" i="2"/>
  <c r="O1413" i="2"/>
  <c r="R1413" i="2" s="1"/>
  <c r="P1413" i="2"/>
  <c r="N1413" i="2"/>
  <c r="O1412" i="2"/>
  <c r="P1412" i="2"/>
  <c r="N1412" i="2"/>
  <c r="O1411" i="2"/>
  <c r="R1411" i="2" s="1"/>
  <c r="P1411" i="2"/>
  <c r="N1411" i="2"/>
  <c r="O1410" i="2"/>
  <c r="P1410" i="2"/>
  <c r="N1410" i="2"/>
  <c r="O1409" i="2"/>
  <c r="R1409" i="2" s="1"/>
  <c r="P1409" i="2"/>
  <c r="N1409" i="2"/>
  <c r="O1408" i="2"/>
  <c r="P1408" i="2"/>
  <c r="N1408" i="2"/>
  <c r="O1407" i="2"/>
  <c r="R1407" i="2" s="1"/>
  <c r="P1407" i="2"/>
  <c r="N1407" i="2"/>
  <c r="O1406" i="2"/>
  <c r="R1406" i="2" s="1"/>
  <c r="P1406" i="2"/>
  <c r="N1406" i="2"/>
  <c r="O1405" i="2"/>
  <c r="R1405" i="2" s="1"/>
  <c r="P1405" i="2"/>
  <c r="N1405" i="2"/>
  <c r="O1404" i="2"/>
  <c r="P1404" i="2"/>
  <c r="N1404" i="2"/>
  <c r="O1403" i="2"/>
  <c r="R1403" i="2" s="1"/>
  <c r="P1403" i="2"/>
  <c r="N1403" i="2"/>
  <c r="O1402" i="2"/>
  <c r="R1402" i="2" s="1"/>
  <c r="P1402" i="2"/>
  <c r="N1402" i="2"/>
  <c r="O1401" i="2"/>
  <c r="R1401" i="2" s="1"/>
  <c r="P1401" i="2"/>
  <c r="N1401" i="2"/>
  <c r="O1400" i="2"/>
  <c r="P1400" i="2"/>
  <c r="N1400" i="2"/>
  <c r="O1399" i="2"/>
  <c r="R1399" i="2" s="1"/>
  <c r="P1399" i="2"/>
  <c r="N1399" i="2"/>
  <c r="O1398" i="2"/>
  <c r="R1398" i="2" s="1"/>
  <c r="P1398" i="2"/>
  <c r="N1398" i="2"/>
  <c r="O1397" i="2"/>
  <c r="R1397" i="2" s="1"/>
  <c r="P1397" i="2"/>
  <c r="N1397" i="2"/>
  <c r="O1396" i="2"/>
  <c r="P1396" i="2"/>
  <c r="N1396" i="2"/>
  <c r="O1395" i="2"/>
  <c r="P1395" i="2"/>
  <c r="N1395" i="2"/>
  <c r="O1394" i="2"/>
  <c r="P1394" i="2"/>
  <c r="N1394" i="2"/>
  <c r="O1393" i="2"/>
  <c r="R1393" i="2" s="1"/>
  <c r="P1393" i="2"/>
  <c r="N1393" i="2"/>
  <c r="O1392" i="2"/>
  <c r="P1392" i="2"/>
  <c r="N1392" i="2"/>
  <c r="O1391" i="2"/>
  <c r="R1391" i="2" s="1"/>
  <c r="P1391" i="2"/>
  <c r="N1391" i="2"/>
  <c r="O1390" i="2"/>
  <c r="R1390" i="2" s="1"/>
  <c r="P1390" i="2"/>
  <c r="N1390" i="2"/>
  <c r="O1389" i="2"/>
  <c r="P1389" i="2"/>
  <c r="N1389" i="2"/>
  <c r="O1388" i="2"/>
  <c r="P1388" i="2"/>
  <c r="N1388" i="2"/>
  <c r="O1387" i="2"/>
  <c r="R1387" i="2" s="1"/>
  <c r="P1387" i="2"/>
  <c r="N1387" i="2"/>
  <c r="O1386" i="2"/>
  <c r="R1386" i="2" s="1"/>
  <c r="P1386" i="2"/>
  <c r="N1386" i="2"/>
  <c r="O1385" i="2"/>
  <c r="P1385" i="2"/>
  <c r="N1385" i="2"/>
  <c r="O1384" i="2"/>
  <c r="R1384" i="2" s="1"/>
  <c r="P1384" i="2"/>
  <c r="N1384" i="2"/>
  <c r="O1383" i="2"/>
  <c r="R1383" i="2" s="1"/>
  <c r="P1383" i="2"/>
  <c r="N1383" i="2"/>
  <c r="O1382" i="2"/>
  <c r="R1382" i="2" s="1"/>
  <c r="P1382" i="2"/>
  <c r="N1382" i="2"/>
  <c r="O1381" i="2"/>
  <c r="P1381" i="2"/>
  <c r="N1381" i="2"/>
  <c r="O1380" i="2"/>
  <c r="P1380" i="2"/>
  <c r="N1380" i="2"/>
  <c r="O1379" i="2"/>
  <c r="R1379" i="2" s="1"/>
  <c r="P1379" i="2"/>
  <c r="N1379" i="2"/>
  <c r="O1378" i="2"/>
  <c r="R1378" i="2" s="1"/>
  <c r="P1378" i="2"/>
  <c r="N1378" i="2"/>
  <c r="O1377" i="2"/>
  <c r="P1377" i="2"/>
  <c r="N1377" i="2"/>
  <c r="O1376" i="2"/>
  <c r="P1376" i="2"/>
  <c r="N1376" i="2"/>
  <c r="O1375" i="2"/>
  <c r="R1375" i="2" s="1"/>
  <c r="P1375" i="2"/>
  <c r="N1375" i="2"/>
  <c r="O1374" i="2"/>
  <c r="R1374" i="2" s="1"/>
  <c r="P1374" i="2"/>
  <c r="N1374" i="2"/>
  <c r="O1373" i="2"/>
  <c r="P1373" i="2"/>
  <c r="N1373" i="2"/>
  <c r="O1372" i="2"/>
  <c r="P1372" i="2"/>
  <c r="N1372" i="2"/>
  <c r="O1371" i="2"/>
  <c r="R1371" i="2" s="1"/>
  <c r="P1371" i="2"/>
  <c r="N1371" i="2"/>
  <c r="O1370" i="2"/>
  <c r="R1370" i="2" s="1"/>
  <c r="P1370" i="2"/>
  <c r="N1370" i="2"/>
  <c r="O1369" i="2"/>
  <c r="P1369" i="2"/>
  <c r="N1369" i="2"/>
  <c r="O1368" i="2"/>
  <c r="P1368" i="2"/>
  <c r="N1368" i="2"/>
  <c r="O1367" i="2"/>
  <c r="R1367" i="2" s="1"/>
  <c r="P1367" i="2"/>
  <c r="N1367" i="2"/>
  <c r="O1366" i="2"/>
  <c r="R1366" i="2" s="1"/>
  <c r="P1366" i="2"/>
  <c r="N1366" i="2"/>
  <c r="O1365" i="2"/>
  <c r="P1365" i="2"/>
  <c r="N1365" i="2"/>
  <c r="O1364" i="2"/>
  <c r="R1364" i="2" s="1"/>
  <c r="P1364" i="2"/>
  <c r="N1364" i="2"/>
  <c r="O1363" i="2"/>
  <c r="R1363" i="2" s="1"/>
  <c r="P1363" i="2"/>
  <c r="N1363" i="2"/>
  <c r="O1362" i="2"/>
  <c r="R1362" i="2" s="1"/>
  <c r="P1362" i="2"/>
  <c r="N1362" i="2"/>
  <c r="O1361" i="2"/>
  <c r="P1361" i="2"/>
  <c r="N1361" i="2"/>
  <c r="O1360" i="2"/>
  <c r="P1360" i="2"/>
  <c r="N1360" i="2"/>
  <c r="O1359" i="2"/>
  <c r="R1359" i="2" s="1"/>
  <c r="P1359" i="2"/>
  <c r="N1359" i="2"/>
  <c r="O1358" i="2"/>
  <c r="R1358" i="2" s="1"/>
  <c r="P1358" i="2"/>
  <c r="N1358" i="2"/>
  <c r="O1357" i="2"/>
  <c r="P1357" i="2"/>
  <c r="N1357" i="2"/>
  <c r="O1356" i="2"/>
  <c r="P1356" i="2"/>
  <c r="N1356" i="2"/>
  <c r="O1355" i="2"/>
  <c r="R1355" i="2" s="1"/>
  <c r="P1355" i="2"/>
  <c r="N1355" i="2"/>
  <c r="O1354" i="2"/>
  <c r="R1354" i="2" s="1"/>
  <c r="P1354" i="2"/>
  <c r="N1354" i="2"/>
  <c r="O1353" i="2"/>
  <c r="P1353" i="2"/>
  <c r="N1353" i="2"/>
  <c r="O1352" i="2"/>
  <c r="P1352" i="2"/>
  <c r="N1352" i="2"/>
  <c r="O1351" i="2"/>
  <c r="R1351" i="2" s="1"/>
  <c r="P1351" i="2"/>
  <c r="N1351" i="2"/>
  <c r="O1350" i="2"/>
  <c r="R1350" i="2" s="1"/>
  <c r="P1350" i="2"/>
  <c r="N1350" i="2"/>
  <c r="O1349" i="2"/>
  <c r="P1349" i="2"/>
  <c r="N1349" i="2"/>
  <c r="O1348" i="2"/>
  <c r="P1348" i="2"/>
  <c r="N1348" i="2"/>
  <c r="O1347" i="2"/>
  <c r="R1347" i="2" s="1"/>
  <c r="P1347" i="2"/>
  <c r="N1347" i="2"/>
  <c r="O1346" i="2"/>
  <c r="R1346" i="2" s="1"/>
  <c r="P1346" i="2"/>
  <c r="N1346" i="2"/>
  <c r="O1345" i="2"/>
  <c r="P1345" i="2"/>
  <c r="N1345" i="2"/>
  <c r="O1344" i="2"/>
  <c r="P1344" i="2"/>
  <c r="N1344" i="2"/>
  <c r="O1343" i="2"/>
  <c r="R1343" i="2" s="1"/>
  <c r="P1343" i="2"/>
  <c r="N1343" i="2"/>
  <c r="O1342" i="2"/>
  <c r="R1342" i="2" s="1"/>
  <c r="P1342" i="2"/>
  <c r="N1342" i="2"/>
  <c r="O1341" i="2"/>
  <c r="P1341" i="2"/>
  <c r="N1341" i="2"/>
  <c r="O1340" i="2"/>
  <c r="P1340" i="2"/>
  <c r="N1340" i="2"/>
  <c r="O1339" i="2"/>
  <c r="R1339" i="2" s="1"/>
  <c r="P1339" i="2"/>
  <c r="N1339" i="2"/>
  <c r="O1338" i="2"/>
  <c r="R1338" i="2" s="1"/>
  <c r="P1338" i="2"/>
  <c r="N1338" i="2"/>
  <c r="O1337" i="2"/>
  <c r="P1337" i="2"/>
  <c r="N1337" i="2"/>
  <c r="O1336" i="2"/>
  <c r="P1336" i="2"/>
  <c r="N1336" i="2"/>
  <c r="O1335" i="2"/>
  <c r="R1335" i="2" s="1"/>
  <c r="P1335" i="2"/>
  <c r="N1335" i="2"/>
  <c r="O1334" i="2"/>
  <c r="R1334" i="2" s="1"/>
  <c r="P1334" i="2"/>
  <c r="N1334" i="2"/>
  <c r="O1333" i="2"/>
  <c r="P1333" i="2"/>
  <c r="N1333" i="2"/>
  <c r="O1332" i="2"/>
  <c r="P1332" i="2"/>
  <c r="N1332" i="2"/>
  <c r="O1331" i="2"/>
  <c r="R1331" i="2" s="1"/>
  <c r="P1331" i="2"/>
  <c r="N1331" i="2"/>
  <c r="O1330" i="2"/>
  <c r="R1330" i="2" s="1"/>
  <c r="P1330" i="2"/>
  <c r="N1330" i="2"/>
  <c r="O1329" i="2"/>
  <c r="P1329" i="2"/>
  <c r="N1329" i="2"/>
  <c r="O1328" i="2"/>
  <c r="P1328" i="2"/>
  <c r="N1328" i="2"/>
  <c r="O1327" i="2"/>
  <c r="R1327" i="2" s="1"/>
  <c r="P1327" i="2"/>
  <c r="N1327" i="2"/>
  <c r="O1326" i="2"/>
  <c r="R1326" i="2" s="1"/>
  <c r="P1326" i="2"/>
  <c r="N1326" i="2"/>
  <c r="O1325" i="2"/>
  <c r="P1325" i="2"/>
  <c r="N1325" i="2"/>
  <c r="O1324" i="2"/>
  <c r="P1324" i="2"/>
  <c r="N1324" i="2"/>
  <c r="O1323" i="2"/>
  <c r="R1323" i="2" s="1"/>
  <c r="P1323" i="2"/>
  <c r="N1323" i="2"/>
  <c r="O1322" i="2"/>
  <c r="R1322" i="2" s="1"/>
  <c r="P1322" i="2"/>
  <c r="N1322" i="2"/>
  <c r="O1321" i="2"/>
  <c r="P1321" i="2"/>
  <c r="N1321" i="2"/>
  <c r="O1320" i="2"/>
  <c r="P1320" i="2"/>
  <c r="N1320" i="2"/>
  <c r="O1319" i="2"/>
  <c r="R1319" i="2" s="1"/>
  <c r="P1319" i="2"/>
  <c r="N1319" i="2"/>
  <c r="O1318" i="2"/>
  <c r="R1318" i="2" s="1"/>
  <c r="P1318" i="2"/>
  <c r="N1318" i="2"/>
  <c r="O1317" i="2"/>
  <c r="P1317" i="2"/>
  <c r="N1317" i="2"/>
  <c r="O1316" i="2"/>
  <c r="P1316" i="2"/>
  <c r="N1316" i="2"/>
  <c r="O1315" i="2"/>
  <c r="R1315" i="2" s="1"/>
  <c r="P1315" i="2"/>
  <c r="N1315" i="2"/>
  <c r="O1314" i="2"/>
  <c r="R1314" i="2" s="1"/>
  <c r="P1314" i="2"/>
  <c r="N1314" i="2"/>
  <c r="O1313" i="2"/>
  <c r="P1313" i="2"/>
  <c r="N1313" i="2"/>
  <c r="O1312" i="2"/>
  <c r="P1312" i="2"/>
  <c r="N1312" i="2"/>
  <c r="O1311" i="2"/>
  <c r="R1311" i="2" s="1"/>
  <c r="P1311" i="2"/>
  <c r="N1311" i="2"/>
  <c r="O1310" i="2"/>
  <c r="R1310" i="2" s="1"/>
  <c r="P1310" i="2"/>
  <c r="N1310" i="2"/>
  <c r="O1309" i="2"/>
  <c r="P1309" i="2"/>
  <c r="N1309" i="2"/>
  <c r="O1308" i="2"/>
  <c r="R1308" i="2" s="1"/>
  <c r="P1308" i="2"/>
  <c r="N1308" i="2"/>
  <c r="O1307" i="2"/>
  <c r="R1307" i="2" s="1"/>
  <c r="P1307" i="2"/>
  <c r="N1307" i="2"/>
  <c r="O1306" i="2"/>
  <c r="R1306" i="2" s="1"/>
  <c r="P1306" i="2"/>
  <c r="N1306" i="2"/>
  <c r="O1305" i="2"/>
  <c r="P1305" i="2"/>
  <c r="N1305" i="2"/>
  <c r="O1304" i="2"/>
  <c r="P1304" i="2"/>
  <c r="N1304" i="2"/>
  <c r="O1303" i="2"/>
  <c r="R1303" i="2" s="1"/>
  <c r="P1303" i="2"/>
  <c r="N1303" i="2"/>
  <c r="O1302" i="2"/>
  <c r="R1302" i="2" s="1"/>
  <c r="P1302" i="2"/>
  <c r="N1302" i="2"/>
  <c r="O1301" i="2"/>
  <c r="P1301" i="2"/>
  <c r="N1301" i="2"/>
  <c r="O1300" i="2"/>
  <c r="P1300" i="2"/>
  <c r="N1300" i="2"/>
  <c r="O1299" i="2"/>
  <c r="R1299" i="2" s="1"/>
  <c r="P1299" i="2"/>
  <c r="N1299" i="2"/>
  <c r="O1298" i="2"/>
  <c r="R1298" i="2" s="1"/>
  <c r="P1298" i="2"/>
  <c r="N1298" i="2"/>
  <c r="O1297" i="2"/>
  <c r="P1297" i="2"/>
  <c r="N1297" i="2"/>
  <c r="O1296" i="2"/>
  <c r="P1296" i="2"/>
  <c r="N1296" i="2"/>
  <c r="O1295" i="2"/>
  <c r="R1295" i="2" s="1"/>
  <c r="P1295" i="2"/>
  <c r="N1295" i="2"/>
  <c r="O1294" i="2"/>
  <c r="R1294" i="2" s="1"/>
  <c r="P1294" i="2"/>
  <c r="N1294" i="2"/>
  <c r="O1293" i="2"/>
  <c r="P1293" i="2"/>
  <c r="N1293" i="2"/>
  <c r="O1292" i="2"/>
  <c r="P1292" i="2"/>
  <c r="N1292" i="2"/>
  <c r="O1291" i="2"/>
  <c r="R1291" i="2" s="1"/>
  <c r="P1291" i="2"/>
  <c r="N1291" i="2"/>
  <c r="O1290" i="2"/>
  <c r="R1290" i="2" s="1"/>
  <c r="P1290" i="2"/>
  <c r="N1290" i="2"/>
  <c r="O1289" i="2"/>
  <c r="P1289" i="2"/>
  <c r="N1289" i="2"/>
  <c r="O1288" i="2"/>
  <c r="P1288" i="2"/>
  <c r="N1288" i="2"/>
  <c r="O1287" i="2"/>
  <c r="R1287" i="2" s="1"/>
  <c r="P1287" i="2"/>
  <c r="N1287" i="2"/>
  <c r="O1286" i="2"/>
  <c r="R1286" i="2" s="1"/>
  <c r="P1286" i="2"/>
  <c r="N1286" i="2"/>
  <c r="O1285" i="2"/>
  <c r="P1285" i="2"/>
  <c r="N1285" i="2"/>
  <c r="O1284" i="2"/>
  <c r="P1284" i="2"/>
  <c r="N1284" i="2"/>
  <c r="O1283" i="2"/>
  <c r="R1283" i="2" s="1"/>
  <c r="P1283" i="2"/>
  <c r="N1283" i="2"/>
  <c r="O1282" i="2"/>
  <c r="R1282" i="2" s="1"/>
  <c r="P1282" i="2"/>
  <c r="N1282" i="2"/>
  <c r="O1281" i="2"/>
  <c r="P1281" i="2"/>
  <c r="N1281" i="2"/>
  <c r="O1280" i="2"/>
  <c r="P1280" i="2"/>
  <c r="N1280" i="2"/>
  <c r="O1279" i="2"/>
  <c r="R1279" i="2" s="1"/>
  <c r="P1279" i="2"/>
  <c r="N1279" i="2"/>
  <c r="O1278" i="2"/>
  <c r="P1278" i="2"/>
  <c r="N1278" i="2"/>
  <c r="O1277" i="2"/>
  <c r="P1277" i="2"/>
  <c r="N1277" i="2"/>
  <c r="O1276" i="2"/>
  <c r="P1276" i="2"/>
  <c r="N1276" i="2"/>
  <c r="O1275" i="2"/>
  <c r="R1275" i="2" s="1"/>
  <c r="P1275" i="2"/>
  <c r="N1275" i="2"/>
  <c r="O1274" i="2"/>
  <c r="P1274" i="2"/>
  <c r="N1274" i="2"/>
  <c r="O1273" i="2"/>
  <c r="P1273" i="2"/>
  <c r="N1273" i="2"/>
  <c r="O1272" i="2"/>
  <c r="Q1272" i="2" s="1"/>
  <c r="P1272" i="2"/>
  <c r="N1272" i="2"/>
  <c r="O1271" i="2"/>
  <c r="R1271" i="2" s="1"/>
  <c r="P1271" i="2"/>
  <c r="N1271" i="2"/>
  <c r="O1270" i="2"/>
  <c r="P1270" i="2"/>
  <c r="N1270" i="2"/>
  <c r="O1269" i="2"/>
  <c r="P1269" i="2"/>
  <c r="N1269" i="2"/>
  <c r="O1268" i="2"/>
  <c r="P1268" i="2"/>
  <c r="N1268" i="2"/>
  <c r="O1267" i="2"/>
  <c r="R1267" i="2" s="1"/>
  <c r="P1267" i="2"/>
  <c r="N1267" i="2"/>
  <c r="O1266" i="2"/>
  <c r="P1266" i="2"/>
  <c r="N1266" i="2"/>
  <c r="O1265" i="2"/>
  <c r="P1265" i="2"/>
  <c r="N1265" i="2"/>
  <c r="O1264" i="2"/>
  <c r="Q1264" i="2" s="1"/>
  <c r="P1264" i="2"/>
  <c r="N1264" i="2"/>
  <c r="O1263" i="2"/>
  <c r="R1263" i="2" s="1"/>
  <c r="P1263" i="2"/>
  <c r="N1263" i="2"/>
  <c r="O1262" i="2"/>
  <c r="P1262" i="2"/>
  <c r="N1262" i="2"/>
  <c r="O1261" i="2"/>
  <c r="P1261" i="2"/>
  <c r="N1261" i="2"/>
  <c r="O1260" i="2"/>
  <c r="P1260" i="2"/>
  <c r="N1260" i="2"/>
  <c r="O1259" i="2"/>
  <c r="R1259" i="2" s="1"/>
  <c r="P1259" i="2"/>
  <c r="N1259" i="2"/>
  <c r="O1258" i="2"/>
  <c r="P1258" i="2"/>
  <c r="N1258" i="2"/>
  <c r="O1257" i="2"/>
  <c r="P1257" i="2"/>
  <c r="N1257" i="2"/>
  <c r="O1256" i="2"/>
  <c r="Q1256" i="2" s="1"/>
  <c r="P1256" i="2"/>
  <c r="N1256" i="2"/>
  <c r="O1255" i="2"/>
  <c r="R1255" i="2" s="1"/>
  <c r="P1255" i="2"/>
  <c r="N1255" i="2"/>
  <c r="O1254" i="2"/>
  <c r="P1254" i="2"/>
  <c r="N1254" i="2"/>
  <c r="O1253" i="2"/>
  <c r="P1253" i="2"/>
  <c r="N1253" i="2"/>
  <c r="O1252" i="2"/>
  <c r="P1252" i="2"/>
  <c r="N1252" i="2"/>
  <c r="O1251" i="2"/>
  <c r="R1251" i="2" s="1"/>
  <c r="P1251" i="2"/>
  <c r="N1251" i="2"/>
  <c r="O1250" i="2"/>
  <c r="P1250" i="2"/>
  <c r="N1250" i="2"/>
  <c r="O1249" i="2"/>
  <c r="P1249" i="2"/>
  <c r="N1249" i="2"/>
  <c r="O1248" i="2"/>
  <c r="Q1248" i="2" s="1"/>
  <c r="P1248" i="2"/>
  <c r="N1248" i="2"/>
  <c r="O1247" i="2"/>
  <c r="R1247" i="2" s="1"/>
  <c r="P1247" i="2"/>
  <c r="N1247" i="2"/>
  <c r="O1246" i="2"/>
  <c r="P1246" i="2"/>
  <c r="N1246" i="2"/>
  <c r="O1245" i="2"/>
  <c r="P1245" i="2"/>
  <c r="N1245" i="2"/>
  <c r="O1244" i="2"/>
  <c r="P1244" i="2"/>
  <c r="N1244" i="2"/>
  <c r="O1243" i="2"/>
  <c r="R1243" i="2" s="1"/>
  <c r="P1243" i="2"/>
  <c r="N1243" i="2"/>
  <c r="O1242" i="2"/>
  <c r="P1242" i="2"/>
  <c r="N1242" i="2"/>
  <c r="O1241" i="2"/>
  <c r="P1241" i="2"/>
  <c r="N1241" i="2"/>
  <c r="O1240" i="2"/>
  <c r="Q1240" i="2" s="1"/>
  <c r="P1240" i="2"/>
  <c r="N1240" i="2"/>
  <c r="O1239" i="2"/>
  <c r="R1239" i="2" s="1"/>
  <c r="P1239" i="2"/>
  <c r="N1239" i="2"/>
  <c r="O1238" i="2"/>
  <c r="P1238" i="2"/>
  <c r="N1238" i="2"/>
  <c r="O1237" i="2"/>
  <c r="P1237" i="2"/>
  <c r="N1237" i="2"/>
  <c r="O1236" i="2"/>
  <c r="P1236" i="2"/>
  <c r="N1236" i="2"/>
  <c r="O1235" i="2"/>
  <c r="R1235" i="2" s="1"/>
  <c r="P1235" i="2"/>
  <c r="N1235" i="2"/>
  <c r="O1234" i="2"/>
  <c r="P1234" i="2"/>
  <c r="N1234" i="2"/>
  <c r="O1233" i="2"/>
  <c r="P1233" i="2"/>
  <c r="N1233" i="2"/>
  <c r="O1232" i="2"/>
  <c r="Q1232" i="2" s="1"/>
  <c r="P1232" i="2"/>
  <c r="N1232" i="2"/>
  <c r="O1231" i="2"/>
  <c r="R1231" i="2" s="1"/>
  <c r="P1231" i="2"/>
  <c r="N1231" i="2"/>
  <c r="O1230" i="2"/>
  <c r="P1230" i="2"/>
  <c r="N1230" i="2"/>
  <c r="O1229" i="2"/>
  <c r="P1229" i="2"/>
  <c r="N1229" i="2"/>
  <c r="O1228" i="2"/>
  <c r="P1228" i="2"/>
  <c r="N1228" i="2"/>
  <c r="O1227" i="2"/>
  <c r="R1227" i="2" s="1"/>
  <c r="P1227" i="2"/>
  <c r="N1227" i="2"/>
  <c r="O1226" i="2"/>
  <c r="P1226" i="2"/>
  <c r="N1226" i="2"/>
  <c r="O1225" i="2"/>
  <c r="P1225" i="2"/>
  <c r="N1225" i="2"/>
  <c r="O1224" i="2"/>
  <c r="Q1224" i="2" s="1"/>
  <c r="P1224" i="2"/>
  <c r="N1224" i="2"/>
  <c r="O1223" i="2"/>
  <c r="R1223" i="2" s="1"/>
  <c r="P1223" i="2"/>
  <c r="N1223" i="2"/>
  <c r="O1222" i="2"/>
  <c r="P1222" i="2"/>
  <c r="N1222" i="2"/>
  <c r="O1221" i="2"/>
  <c r="P1221" i="2"/>
  <c r="N1221" i="2"/>
  <c r="O1220" i="2"/>
  <c r="P1220" i="2"/>
  <c r="N1220" i="2"/>
  <c r="O1219" i="2"/>
  <c r="R1219" i="2" s="1"/>
  <c r="P1219" i="2"/>
  <c r="N1219" i="2"/>
  <c r="O1218" i="2"/>
  <c r="P1218" i="2"/>
  <c r="N1218" i="2"/>
  <c r="O1217" i="2"/>
  <c r="P1217" i="2"/>
  <c r="N1217" i="2"/>
  <c r="O1216" i="2"/>
  <c r="Q1216" i="2" s="1"/>
  <c r="P1216" i="2"/>
  <c r="N1216" i="2"/>
  <c r="O1215" i="2"/>
  <c r="R1215" i="2" s="1"/>
  <c r="P1215" i="2"/>
  <c r="N1215" i="2"/>
  <c r="O1214" i="2"/>
  <c r="P1214" i="2"/>
  <c r="N1214" i="2"/>
  <c r="O1213" i="2"/>
  <c r="P1213" i="2"/>
  <c r="N1213" i="2"/>
  <c r="O1212" i="2"/>
  <c r="P1212" i="2"/>
  <c r="N1212" i="2"/>
  <c r="O1211" i="2"/>
  <c r="R1211" i="2" s="1"/>
  <c r="P1211" i="2"/>
  <c r="N1211" i="2"/>
  <c r="O1210" i="2"/>
  <c r="P1210" i="2"/>
  <c r="N1210" i="2"/>
  <c r="O1209" i="2"/>
  <c r="P1209" i="2"/>
  <c r="N1209" i="2"/>
  <c r="O1208" i="2"/>
  <c r="Q1208" i="2" s="1"/>
  <c r="P1208" i="2"/>
  <c r="N1208" i="2"/>
  <c r="O1207" i="2"/>
  <c r="R1207" i="2" s="1"/>
  <c r="P1207" i="2"/>
  <c r="N1207" i="2"/>
  <c r="O1206" i="2"/>
  <c r="P1206" i="2"/>
  <c r="N1206" i="2"/>
  <c r="O1205" i="2"/>
  <c r="P1205" i="2"/>
  <c r="N1205" i="2"/>
  <c r="O1204" i="2"/>
  <c r="P1204" i="2"/>
  <c r="N1204" i="2"/>
  <c r="O1203" i="2"/>
  <c r="R1203" i="2" s="1"/>
  <c r="P1203" i="2"/>
  <c r="N1203" i="2"/>
  <c r="O1202" i="2"/>
  <c r="P1202" i="2"/>
  <c r="N1202" i="2"/>
  <c r="O1201" i="2"/>
  <c r="P1201" i="2"/>
  <c r="N1201" i="2"/>
  <c r="O1200" i="2"/>
  <c r="Q1200" i="2" s="1"/>
  <c r="P1200" i="2"/>
  <c r="N1200" i="2"/>
  <c r="O1199" i="2"/>
  <c r="R1199" i="2" s="1"/>
  <c r="P1199" i="2"/>
  <c r="N1199" i="2"/>
  <c r="O1198" i="2"/>
  <c r="P1198" i="2"/>
  <c r="N1198" i="2"/>
  <c r="O1197" i="2"/>
  <c r="P1197" i="2"/>
  <c r="N1197" i="2"/>
  <c r="O1196" i="2"/>
  <c r="P1196" i="2"/>
  <c r="N1196" i="2"/>
  <c r="O1195" i="2"/>
  <c r="R1195" i="2" s="1"/>
  <c r="P1195" i="2"/>
  <c r="N1195" i="2"/>
  <c r="O1194" i="2"/>
  <c r="P1194" i="2"/>
  <c r="N1194" i="2"/>
  <c r="O1193" i="2"/>
  <c r="P1193" i="2"/>
  <c r="N1193" i="2"/>
  <c r="O1192" i="2"/>
  <c r="Q1192" i="2" s="1"/>
  <c r="P1192" i="2"/>
  <c r="N1192" i="2"/>
  <c r="O1191" i="2"/>
  <c r="R1191" i="2" s="1"/>
  <c r="P1191" i="2"/>
  <c r="N1191" i="2"/>
  <c r="O1190" i="2"/>
  <c r="P1190" i="2"/>
  <c r="N1190" i="2"/>
  <c r="O1189" i="2"/>
  <c r="P1189" i="2"/>
  <c r="N1189" i="2"/>
  <c r="O1188" i="2"/>
  <c r="P1188" i="2"/>
  <c r="N1188" i="2"/>
  <c r="O1187" i="2"/>
  <c r="R1187" i="2" s="1"/>
  <c r="P1187" i="2"/>
  <c r="N1187" i="2"/>
  <c r="O1186" i="2"/>
  <c r="P1186" i="2"/>
  <c r="N1186" i="2"/>
  <c r="O1185" i="2"/>
  <c r="P1185" i="2"/>
  <c r="N1185" i="2"/>
  <c r="O1184" i="2"/>
  <c r="Q1184" i="2" s="1"/>
  <c r="P1184" i="2"/>
  <c r="N1184" i="2"/>
  <c r="O1183" i="2"/>
  <c r="R1183" i="2" s="1"/>
  <c r="P1183" i="2"/>
  <c r="N1183" i="2"/>
  <c r="O1182" i="2"/>
  <c r="P1182" i="2"/>
  <c r="N1182" i="2"/>
  <c r="O1181" i="2"/>
  <c r="P1181" i="2"/>
  <c r="N1181" i="2"/>
  <c r="O1180" i="2"/>
  <c r="P1180" i="2"/>
  <c r="N1180" i="2"/>
  <c r="O1179" i="2"/>
  <c r="R1179" i="2" s="1"/>
  <c r="P1179" i="2"/>
  <c r="N1179" i="2"/>
  <c r="O1178" i="2"/>
  <c r="P1178" i="2"/>
  <c r="N1178" i="2"/>
  <c r="O1177" i="2"/>
  <c r="P1177" i="2"/>
  <c r="N1177" i="2"/>
  <c r="O1176" i="2"/>
  <c r="Q1176" i="2" s="1"/>
  <c r="P1176" i="2"/>
  <c r="N1176" i="2"/>
  <c r="O1175" i="2"/>
  <c r="R1175" i="2" s="1"/>
  <c r="P1175" i="2"/>
  <c r="N1175" i="2"/>
  <c r="O1174" i="2"/>
  <c r="P1174" i="2"/>
  <c r="N1174" i="2"/>
  <c r="O1173" i="2"/>
  <c r="P1173" i="2"/>
  <c r="N1173" i="2"/>
  <c r="O1172" i="2"/>
  <c r="P1172" i="2"/>
  <c r="N1172" i="2"/>
  <c r="O1171" i="2"/>
  <c r="R1171" i="2" s="1"/>
  <c r="P1171" i="2"/>
  <c r="N1171" i="2"/>
  <c r="O1170" i="2"/>
  <c r="P1170" i="2"/>
  <c r="N1170" i="2"/>
  <c r="O1169" i="2"/>
  <c r="P1169" i="2"/>
  <c r="N1169" i="2"/>
  <c r="O1168" i="2"/>
  <c r="Q1168" i="2" s="1"/>
  <c r="P1168" i="2"/>
  <c r="N1168" i="2"/>
  <c r="O1167" i="2"/>
  <c r="R1167" i="2" s="1"/>
  <c r="P1167" i="2"/>
  <c r="N1167" i="2"/>
  <c r="O1166" i="2"/>
  <c r="P1166" i="2"/>
  <c r="N1166" i="2"/>
  <c r="O1165" i="2"/>
  <c r="P1165" i="2"/>
  <c r="N1165" i="2"/>
  <c r="O1164" i="2"/>
  <c r="P1164" i="2"/>
  <c r="N1164" i="2"/>
  <c r="O1163" i="2"/>
  <c r="R1163" i="2" s="1"/>
  <c r="P1163" i="2"/>
  <c r="N1163" i="2"/>
  <c r="O1162" i="2"/>
  <c r="P1162" i="2"/>
  <c r="N1162" i="2"/>
  <c r="O1161" i="2"/>
  <c r="P1161" i="2"/>
  <c r="N1161" i="2"/>
  <c r="O1160" i="2"/>
  <c r="Q1160" i="2" s="1"/>
  <c r="P1160" i="2"/>
  <c r="N1160" i="2"/>
  <c r="O1159" i="2"/>
  <c r="R1159" i="2" s="1"/>
  <c r="P1159" i="2"/>
  <c r="N1159" i="2"/>
  <c r="O1158" i="2"/>
  <c r="P1158" i="2"/>
  <c r="N1158" i="2"/>
  <c r="O1157" i="2"/>
  <c r="P1157" i="2"/>
  <c r="N1157" i="2"/>
  <c r="O1156" i="2"/>
  <c r="P1156" i="2"/>
  <c r="N1156" i="2"/>
  <c r="O1155" i="2"/>
  <c r="R1155" i="2" s="1"/>
  <c r="P1155" i="2"/>
  <c r="N1155" i="2"/>
  <c r="O1154" i="2"/>
  <c r="P1154" i="2"/>
  <c r="N1154" i="2"/>
  <c r="O1153" i="2"/>
  <c r="P1153" i="2"/>
  <c r="N1153" i="2"/>
  <c r="O1152" i="2"/>
  <c r="R1152" i="2" s="1"/>
  <c r="P1152" i="2"/>
  <c r="N1152" i="2"/>
  <c r="O1151" i="2"/>
  <c r="R1151" i="2" s="1"/>
  <c r="P1151" i="2"/>
  <c r="N1151" i="2"/>
  <c r="O1150" i="2"/>
  <c r="P1150" i="2"/>
  <c r="N1150" i="2"/>
  <c r="O1149" i="2"/>
  <c r="P1149" i="2"/>
  <c r="N1149" i="2"/>
  <c r="O1148" i="2"/>
  <c r="Q1148" i="2" s="1"/>
  <c r="P1148" i="2"/>
  <c r="N1148" i="2"/>
  <c r="O1147" i="2"/>
  <c r="R1147" i="2" s="1"/>
  <c r="P1147" i="2"/>
  <c r="N1147" i="2"/>
  <c r="O1146" i="2"/>
  <c r="P1146" i="2"/>
  <c r="N1146" i="2"/>
  <c r="O1145" i="2"/>
  <c r="R1145" i="2" s="1"/>
  <c r="P1145" i="2"/>
  <c r="N1145" i="2"/>
  <c r="O1144" i="2"/>
  <c r="R1144" i="2" s="1"/>
  <c r="P1144" i="2"/>
  <c r="N1144" i="2"/>
  <c r="O1143" i="2"/>
  <c r="R1143" i="2" s="1"/>
  <c r="P1143" i="2"/>
  <c r="N1143" i="2"/>
  <c r="O1142" i="2"/>
  <c r="P1142" i="2"/>
  <c r="N1142" i="2"/>
  <c r="O1141" i="2"/>
  <c r="R1141" i="2" s="1"/>
  <c r="P1141" i="2"/>
  <c r="N1141" i="2"/>
  <c r="O1140" i="2"/>
  <c r="R1140" i="2" s="1"/>
  <c r="P1140" i="2"/>
  <c r="N1140" i="2"/>
  <c r="O1139" i="2"/>
  <c r="R1139" i="2" s="1"/>
  <c r="P1139" i="2"/>
  <c r="N1139" i="2"/>
  <c r="O1138" i="2"/>
  <c r="P1138" i="2"/>
  <c r="N1138" i="2"/>
  <c r="O1137" i="2"/>
  <c r="R1137" i="2" s="1"/>
  <c r="P1137" i="2"/>
  <c r="N1137" i="2"/>
  <c r="O1136" i="2"/>
  <c r="R1136" i="2" s="1"/>
  <c r="P1136" i="2"/>
  <c r="N1136" i="2"/>
  <c r="O1135" i="2"/>
  <c r="R1135" i="2" s="1"/>
  <c r="P1135" i="2"/>
  <c r="N1135" i="2"/>
  <c r="O1134" i="2"/>
  <c r="P1134" i="2"/>
  <c r="N1134" i="2"/>
  <c r="O1133" i="2"/>
  <c r="P1133" i="2"/>
  <c r="N1133" i="2"/>
  <c r="O1132" i="2"/>
  <c r="R1132" i="2" s="1"/>
  <c r="P1132" i="2"/>
  <c r="N1132" i="2"/>
  <c r="O1131" i="2"/>
  <c r="R1131" i="2" s="1"/>
  <c r="P1131" i="2"/>
  <c r="N1131" i="2"/>
  <c r="O1130" i="2"/>
  <c r="P1130" i="2"/>
  <c r="N1130" i="2"/>
  <c r="O1129" i="2"/>
  <c r="R1129" i="2" s="1"/>
  <c r="P1129" i="2"/>
  <c r="N1129" i="2"/>
  <c r="O1128" i="2"/>
  <c r="Q1128" i="2" s="1"/>
  <c r="P1128" i="2"/>
  <c r="N1128" i="2"/>
  <c r="O1127" i="2"/>
  <c r="R1127" i="2" s="1"/>
  <c r="P1127" i="2"/>
  <c r="N1127" i="2"/>
  <c r="O1126" i="2"/>
  <c r="P1126" i="2"/>
  <c r="N1126" i="2"/>
  <c r="O1125" i="2"/>
  <c r="P1125" i="2"/>
  <c r="N1125" i="2"/>
  <c r="O1124" i="2"/>
  <c r="R1124" i="2" s="1"/>
  <c r="P1124" i="2"/>
  <c r="N1124" i="2"/>
  <c r="O1123" i="2"/>
  <c r="R1123" i="2" s="1"/>
  <c r="P1123" i="2"/>
  <c r="N1123" i="2"/>
  <c r="O1122" i="2"/>
  <c r="P1122" i="2"/>
  <c r="N1122" i="2"/>
  <c r="O1121" i="2"/>
  <c r="R1121" i="2" s="1"/>
  <c r="P1121" i="2"/>
  <c r="N1121" i="2"/>
  <c r="O1120" i="2"/>
  <c r="P1120" i="2"/>
  <c r="N1120" i="2"/>
  <c r="O1119" i="2"/>
  <c r="R1119" i="2" s="1"/>
  <c r="P1119" i="2"/>
  <c r="N1119" i="2"/>
  <c r="O1118" i="2"/>
  <c r="P1118" i="2"/>
  <c r="N1118" i="2"/>
  <c r="O1117" i="2"/>
  <c r="P1117" i="2"/>
  <c r="N1117" i="2"/>
  <c r="O1116" i="2"/>
  <c r="R1116" i="2" s="1"/>
  <c r="P1116" i="2"/>
  <c r="N1116" i="2"/>
  <c r="O1115" i="2"/>
  <c r="R1115" i="2" s="1"/>
  <c r="P1115" i="2"/>
  <c r="N1115" i="2"/>
  <c r="O1114" i="2"/>
  <c r="P1114" i="2"/>
  <c r="N1114" i="2"/>
  <c r="O1113" i="2"/>
  <c r="R1113" i="2" s="1"/>
  <c r="P1113" i="2"/>
  <c r="N1113" i="2"/>
  <c r="O1112" i="2"/>
  <c r="Q1112" i="2" s="1"/>
  <c r="P1112" i="2"/>
  <c r="N1112" i="2"/>
  <c r="O1111" i="2"/>
  <c r="R1111" i="2" s="1"/>
  <c r="P1111" i="2"/>
  <c r="N1111" i="2"/>
  <c r="O1110" i="2"/>
  <c r="R1110" i="2" s="1"/>
  <c r="P1110" i="2"/>
  <c r="N1110" i="2"/>
  <c r="O1109" i="2"/>
  <c r="R1109" i="2" s="1"/>
  <c r="P1109" i="2"/>
  <c r="N1109" i="2"/>
  <c r="O1108" i="2"/>
  <c r="R1108" i="2" s="1"/>
  <c r="P1108" i="2"/>
  <c r="N1108" i="2"/>
  <c r="O1107" i="2"/>
  <c r="R1107" i="2" s="1"/>
  <c r="P1107" i="2"/>
  <c r="N1107" i="2"/>
  <c r="O1106" i="2"/>
  <c r="P1106" i="2"/>
  <c r="N1106" i="2"/>
  <c r="O1105" i="2"/>
  <c r="P1105" i="2"/>
  <c r="N1105" i="2"/>
  <c r="O1104" i="2"/>
  <c r="R1104" i="2" s="1"/>
  <c r="P1104" i="2"/>
  <c r="N1104" i="2"/>
  <c r="O1103" i="2"/>
  <c r="R1103" i="2" s="1"/>
  <c r="P1103" i="2"/>
  <c r="N1103" i="2"/>
  <c r="O1102" i="2"/>
  <c r="P1102" i="2"/>
  <c r="N1102" i="2"/>
  <c r="O1101" i="2"/>
  <c r="P1101" i="2"/>
  <c r="N1101" i="2"/>
  <c r="O1100" i="2"/>
  <c r="R1100" i="2" s="1"/>
  <c r="P1100" i="2"/>
  <c r="N1100" i="2"/>
  <c r="O1099" i="2"/>
  <c r="R1099" i="2" s="1"/>
  <c r="P1099" i="2"/>
  <c r="N1099" i="2"/>
  <c r="O1098" i="2"/>
  <c r="P1098" i="2"/>
  <c r="N1098" i="2"/>
  <c r="O1097" i="2"/>
  <c r="R1097" i="2" s="1"/>
  <c r="P1097" i="2"/>
  <c r="N1097" i="2"/>
  <c r="O1096" i="2"/>
  <c r="R1096" i="2" s="1"/>
  <c r="P1096" i="2"/>
  <c r="N1096" i="2"/>
  <c r="O1095" i="2"/>
  <c r="R1095" i="2" s="1"/>
  <c r="P1095" i="2"/>
  <c r="N1095" i="2"/>
  <c r="O1094" i="2"/>
  <c r="P1094" i="2"/>
  <c r="N1094" i="2"/>
  <c r="O1093" i="2"/>
  <c r="R1093" i="2" s="1"/>
  <c r="P1093" i="2"/>
  <c r="N1093" i="2"/>
  <c r="O1092" i="2"/>
  <c r="R1092" i="2" s="1"/>
  <c r="P1092" i="2"/>
  <c r="N1092" i="2"/>
  <c r="O1091" i="2"/>
  <c r="R1091" i="2" s="1"/>
  <c r="P1091" i="2"/>
  <c r="N1091" i="2"/>
  <c r="O1090" i="2"/>
  <c r="P1090" i="2"/>
  <c r="N1090" i="2"/>
  <c r="O1089" i="2"/>
  <c r="P1089" i="2"/>
  <c r="N1089" i="2"/>
  <c r="O1088" i="2"/>
  <c r="R1088" i="2" s="1"/>
  <c r="P1088" i="2"/>
  <c r="N1088" i="2"/>
  <c r="O1087" i="2"/>
  <c r="R1087" i="2" s="1"/>
  <c r="P1087" i="2"/>
  <c r="N1087" i="2"/>
  <c r="O1086" i="2"/>
  <c r="P1086" i="2"/>
  <c r="N1086" i="2"/>
  <c r="O1085" i="2"/>
  <c r="P1085" i="2"/>
  <c r="N1085" i="2"/>
  <c r="O1084" i="2"/>
  <c r="R1084" i="2" s="1"/>
  <c r="P1084" i="2"/>
  <c r="N1084" i="2"/>
  <c r="O1083" i="2"/>
  <c r="R1083" i="2" s="1"/>
  <c r="P1083" i="2"/>
  <c r="N1083" i="2"/>
  <c r="O1082" i="2"/>
  <c r="P1082" i="2"/>
  <c r="N1082" i="2"/>
  <c r="O1081" i="2"/>
  <c r="P1081" i="2"/>
  <c r="N1081" i="2"/>
  <c r="O1080" i="2"/>
  <c r="R1080" i="2" s="1"/>
  <c r="P1080" i="2"/>
  <c r="N1080" i="2"/>
  <c r="O1079" i="2"/>
  <c r="R1079" i="2" s="1"/>
  <c r="P1079" i="2"/>
  <c r="N1079" i="2"/>
  <c r="O1078" i="2"/>
  <c r="P1078" i="2"/>
  <c r="N1078" i="2"/>
  <c r="O1077" i="2"/>
  <c r="R1077" i="2" s="1"/>
  <c r="P1077" i="2"/>
  <c r="N1077" i="2"/>
  <c r="O1076" i="2"/>
  <c r="R1076" i="2" s="1"/>
  <c r="P1076" i="2"/>
  <c r="N1076" i="2"/>
  <c r="O1075" i="2"/>
  <c r="R1075" i="2" s="1"/>
  <c r="P1075" i="2"/>
  <c r="N1075" i="2"/>
  <c r="O1074" i="2"/>
  <c r="P1074" i="2"/>
  <c r="N1074" i="2"/>
  <c r="O1073" i="2"/>
  <c r="P1073" i="2"/>
  <c r="N1073" i="2"/>
  <c r="O1072" i="2"/>
  <c r="R1072" i="2" s="1"/>
  <c r="P1072" i="2"/>
  <c r="N1072" i="2"/>
  <c r="O1071" i="2"/>
  <c r="R1071" i="2" s="1"/>
  <c r="P1071" i="2"/>
  <c r="N1071" i="2"/>
  <c r="O1070" i="2"/>
  <c r="P1070" i="2"/>
  <c r="N1070" i="2"/>
  <c r="O1069" i="2"/>
  <c r="P1069" i="2"/>
  <c r="N1069" i="2"/>
  <c r="O1068" i="2"/>
  <c r="R1068" i="2" s="1"/>
  <c r="P1068" i="2"/>
  <c r="N1068" i="2"/>
  <c r="O1067" i="2"/>
  <c r="R1067" i="2" s="1"/>
  <c r="P1067" i="2"/>
  <c r="N1067" i="2"/>
  <c r="O1066" i="2"/>
  <c r="P1066" i="2"/>
  <c r="N1066" i="2"/>
  <c r="O1065" i="2"/>
  <c r="P1065" i="2"/>
  <c r="N1065" i="2"/>
  <c r="O1064" i="2"/>
  <c r="R1064" i="2" s="1"/>
  <c r="P1064" i="2"/>
  <c r="N1064" i="2"/>
  <c r="O1063" i="2"/>
  <c r="R1063" i="2" s="1"/>
  <c r="P1063" i="2"/>
  <c r="N1063" i="2"/>
  <c r="O1062" i="2"/>
  <c r="P1062" i="2"/>
  <c r="N1062" i="2"/>
  <c r="O1061" i="2"/>
  <c r="P1061" i="2"/>
  <c r="N1061" i="2"/>
  <c r="O1060" i="2"/>
  <c r="R1060" i="2" s="1"/>
  <c r="P1060" i="2"/>
  <c r="N1060" i="2"/>
  <c r="O1059" i="2"/>
  <c r="R1059" i="2" s="1"/>
  <c r="P1059" i="2"/>
  <c r="N1059" i="2"/>
  <c r="O1058" i="2"/>
  <c r="P1058" i="2"/>
  <c r="N1058" i="2"/>
  <c r="O1057" i="2"/>
  <c r="P1057" i="2"/>
  <c r="N1057" i="2"/>
  <c r="O1056" i="2"/>
  <c r="R1056" i="2" s="1"/>
  <c r="P1056" i="2"/>
  <c r="N1056" i="2"/>
  <c r="O1055" i="2"/>
  <c r="R1055" i="2" s="1"/>
  <c r="P1055" i="2"/>
  <c r="N1055" i="2"/>
  <c r="O1054" i="2"/>
  <c r="P1054" i="2"/>
  <c r="N1054" i="2"/>
  <c r="O1053" i="2"/>
  <c r="P1053" i="2"/>
  <c r="N1053" i="2"/>
  <c r="O1052" i="2"/>
  <c r="R1052" i="2" s="1"/>
  <c r="P1052" i="2"/>
  <c r="N1052" i="2"/>
  <c r="O1051" i="2"/>
  <c r="R1051" i="2" s="1"/>
  <c r="P1051" i="2"/>
  <c r="N1051" i="2"/>
  <c r="O1050" i="2"/>
  <c r="P1050" i="2"/>
  <c r="N1050" i="2"/>
  <c r="O1049" i="2"/>
  <c r="P1049" i="2"/>
  <c r="N1049" i="2"/>
  <c r="O1048" i="2"/>
  <c r="R1048" i="2" s="1"/>
  <c r="P1048" i="2"/>
  <c r="N1048" i="2"/>
  <c r="O1047" i="2"/>
  <c r="R1047" i="2" s="1"/>
  <c r="P1047" i="2"/>
  <c r="N1047" i="2"/>
  <c r="O1046" i="2"/>
  <c r="P1046" i="2"/>
  <c r="N1046" i="2"/>
  <c r="O1045" i="2"/>
  <c r="R1045" i="2" s="1"/>
  <c r="P1045" i="2"/>
  <c r="N1045" i="2"/>
  <c r="O1044" i="2"/>
  <c r="R1044" i="2" s="1"/>
  <c r="P1044" i="2"/>
  <c r="N1044" i="2"/>
  <c r="O1043" i="2"/>
  <c r="R1043" i="2" s="1"/>
  <c r="P1043" i="2"/>
  <c r="N1043" i="2"/>
  <c r="O1042" i="2"/>
  <c r="P1042" i="2"/>
  <c r="N1042" i="2"/>
  <c r="O1041" i="2"/>
  <c r="P1041" i="2"/>
  <c r="N1041" i="2"/>
  <c r="O1040" i="2"/>
  <c r="R1040" i="2" s="1"/>
  <c r="P1040" i="2"/>
  <c r="N1040" i="2"/>
  <c r="O1039" i="2"/>
  <c r="R1039" i="2" s="1"/>
  <c r="P1039" i="2"/>
  <c r="N1039" i="2"/>
  <c r="O1038" i="2"/>
  <c r="P1038" i="2"/>
  <c r="N1038" i="2"/>
  <c r="O1037" i="2"/>
  <c r="P1037" i="2"/>
  <c r="N1037" i="2"/>
  <c r="O1036" i="2"/>
  <c r="R1036" i="2" s="1"/>
  <c r="P1036" i="2"/>
  <c r="N1036" i="2"/>
  <c r="O1035" i="2"/>
  <c r="R1035" i="2" s="1"/>
  <c r="P1035" i="2"/>
  <c r="N1035" i="2"/>
  <c r="O1034" i="2"/>
  <c r="P1034" i="2"/>
  <c r="N1034" i="2"/>
  <c r="O1033" i="2"/>
  <c r="R1033" i="2" s="1"/>
  <c r="P1033" i="2"/>
  <c r="N1033" i="2"/>
  <c r="O1032" i="2"/>
  <c r="R1032" i="2" s="1"/>
  <c r="P1032" i="2"/>
  <c r="N1032" i="2"/>
  <c r="O1031" i="2"/>
  <c r="R1031" i="2" s="1"/>
  <c r="P1031" i="2"/>
  <c r="N1031" i="2"/>
  <c r="O1030" i="2"/>
  <c r="P1030" i="2"/>
  <c r="N1030" i="2"/>
  <c r="O1029" i="2"/>
  <c r="R1029" i="2" s="1"/>
  <c r="P1029" i="2"/>
  <c r="N1029" i="2"/>
  <c r="O1028" i="2"/>
  <c r="R1028" i="2" s="1"/>
  <c r="P1028" i="2"/>
  <c r="N1028" i="2"/>
  <c r="O1027" i="2"/>
  <c r="R1027" i="2" s="1"/>
  <c r="P1027" i="2"/>
  <c r="N1027" i="2"/>
  <c r="O1026" i="2"/>
  <c r="P1026" i="2"/>
  <c r="N1026" i="2"/>
  <c r="O1025" i="2"/>
  <c r="P1025" i="2"/>
  <c r="N1025" i="2"/>
  <c r="O1024" i="2"/>
  <c r="R1024" i="2" s="1"/>
  <c r="P1024" i="2"/>
  <c r="N1024" i="2"/>
  <c r="O1023" i="2"/>
  <c r="R1023" i="2" s="1"/>
  <c r="P1023" i="2"/>
  <c r="N1023" i="2"/>
  <c r="O1022" i="2"/>
  <c r="P1022" i="2"/>
  <c r="N1022" i="2"/>
  <c r="O1021" i="2"/>
  <c r="P1021" i="2"/>
  <c r="N1021" i="2"/>
  <c r="O1020" i="2"/>
  <c r="R1020" i="2" s="1"/>
  <c r="P1020" i="2"/>
  <c r="N1020" i="2"/>
  <c r="O1019" i="2"/>
  <c r="R1019" i="2" s="1"/>
  <c r="P1019" i="2"/>
  <c r="N1019" i="2"/>
  <c r="O1018" i="2"/>
  <c r="P1018" i="2"/>
  <c r="N1018" i="2"/>
  <c r="O1017" i="2"/>
  <c r="P1017" i="2"/>
  <c r="N1017" i="2"/>
  <c r="O1016" i="2"/>
  <c r="R1016" i="2" s="1"/>
  <c r="P1016" i="2"/>
  <c r="N1016" i="2"/>
  <c r="O1015" i="2"/>
  <c r="R1015" i="2" s="1"/>
  <c r="P1015" i="2"/>
  <c r="N1015" i="2"/>
  <c r="O1014" i="2"/>
  <c r="P1014" i="2"/>
  <c r="N1014" i="2"/>
  <c r="O1013" i="2"/>
  <c r="P1013" i="2"/>
  <c r="N1013" i="2"/>
  <c r="O1012" i="2"/>
  <c r="R1012" i="2" s="1"/>
  <c r="P1012" i="2"/>
  <c r="N1012" i="2"/>
  <c r="O1011" i="2"/>
  <c r="R1011" i="2" s="1"/>
  <c r="P1011" i="2"/>
  <c r="N1011" i="2"/>
  <c r="O1010" i="2"/>
  <c r="P1010" i="2"/>
  <c r="N1010" i="2"/>
  <c r="O1009" i="2"/>
  <c r="P1009" i="2"/>
  <c r="N1009" i="2"/>
  <c r="O1008" i="2"/>
  <c r="R1008" i="2" s="1"/>
  <c r="P1008" i="2"/>
  <c r="N1008" i="2"/>
  <c r="O1007" i="2"/>
  <c r="R1007" i="2" s="1"/>
  <c r="P1007" i="2"/>
  <c r="N1007" i="2"/>
  <c r="O1006" i="2"/>
  <c r="P1006" i="2"/>
  <c r="N1006" i="2"/>
  <c r="O1005" i="2"/>
  <c r="P1005" i="2"/>
  <c r="N1005" i="2"/>
  <c r="O1004" i="2"/>
  <c r="R1004" i="2" s="1"/>
  <c r="P1004" i="2"/>
  <c r="N1004" i="2"/>
  <c r="O1003" i="2"/>
  <c r="R1003" i="2" s="1"/>
  <c r="P1003" i="2"/>
  <c r="N1003" i="2"/>
  <c r="O1002" i="2"/>
  <c r="P1002" i="2"/>
  <c r="N1002" i="2"/>
  <c r="O1001" i="2"/>
  <c r="R1001" i="2" s="1"/>
  <c r="P1001" i="2"/>
  <c r="N1001" i="2"/>
  <c r="O1000" i="2"/>
  <c r="R1000" i="2" s="1"/>
  <c r="P1000" i="2"/>
  <c r="N1000" i="2"/>
  <c r="O999" i="2"/>
  <c r="R999" i="2" s="1"/>
  <c r="P999" i="2"/>
  <c r="N999" i="2"/>
  <c r="O998" i="2"/>
  <c r="P998" i="2"/>
  <c r="N998" i="2"/>
  <c r="O997" i="2"/>
  <c r="R997" i="2" s="1"/>
  <c r="P997" i="2"/>
  <c r="N997" i="2"/>
  <c r="O996" i="2"/>
  <c r="R996" i="2" s="1"/>
  <c r="P996" i="2"/>
  <c r="N996" i="2"/>
  <c r="O995" i="2"/>
  <c r="R995" i="2" s="1"/>
  <c r="P995" i="2"/>
  <c r="N995" i="2"/>
  <c r="O994" i="2"/>
  <c r="P994" i="2"/>
  <c r="N994" i="2"/>
  <c r="O993" i="2"/>
  <c r="P993" i="2"/>
  <c r="N993" i="2"/>
  <c r="O992" i="2"/>
  <c r="R992" i="2" s="1"/>
  <c r="P992" i="2"/>
  <c r="N992" i="2"/>
  <c r="O991" i="2"/>
  <c r="R991" i="2" s="1"/>
  <c r="P991" i="2"/>
  <c r="N991" i="2"/>
  <c r="O990" i="2"/>
  <c r="P990" i="2"/>
  <c r="N990" i="2"/>
  <c r="O989" i="2"/>
  <c r="P989" i="2"/>
  <c r="N989" i="2"/>
  <c r="O988" i="2"/>
  <c r="R988" i="2" s="1"/>
  <c r="P988" i="2"/>
  <c r="N988" i="2"/>
  <c r="O987" i="2"/>
  <c r="R987" i="2" s="1"/>
  <c r="P987" i="2"/>
  <c r="N987" i="2"/>
  <c r="O986" i="2"/>
  <c r="P986" i="2"/>
  <c r="N986" i="2"/>
  <c r="O985" i="2"/>
  <c r="P985" i="2"/>
  <c r="N985" i="2"/>
  <c r="O984" i="2"/>
  <c r="R984" i="2" s="1"/>
  <c r="P984" i="2"/>
  <c r="N984" i="2"/>
  <c r="O983" i="2"/>
  <c r="R983" i="2" s="1"/>
  <c r="P983" i="2"/>
  <c r="N983" i="2"/>
  <c r="O982" i="2"/>
  <c r="P982" i="2"/>
  <c r="N982" i="2"/>
  <c r="O981" i="2"/>
  <c r="P981" i="2"/>
  <c r="N981" i="2"/>
  <c r="O980" i="2"/>
  <c r="R980" i="2" s="1"/>
  <c r="P980" i="2"/>
  <c r="N980" i="2"/>
  <c r="O979" i="2"/>
  <c r="R979" i="2" s="1"/>
  <c r="P979" i="2"/>
  <c r="N979" i="2"/>
  <c r="O978" i="2"/>
  <c r="P978" i="2"/>
  <c r="N978" i="2"/>
  <c r="O977" i="2"/>
  <c r="P977" i="2"/>
  <c r="N977" i="2"/>
  <c r="O976" i="2"/>
  <c r="R976" i="2" s="1"/>
  <c r="P976" i="2"/>
  <c r="N976" i="2"/>
  <c r="O975" i="2"/>
  <c r="R975" i="2" s="1"/>
  <c r="P975" i="2"/>
  <c r="N975" i="2"/>
  <c r="O974" i="2"/>
  <c r="P974" i="2"/>
  <c r="N974" i="2"/>
  <c r="O973" i="2"/>
  <c r="P973" i="2"/>
  <c r="N973" i="2"/>
  <c r="O972" i="2"/>
  <c r="R972" i="2" s="1"/>
  <c r="P972" i="2"/>
  <c r="N972" i="2"/>
  <c r="O971" i="2"/>
  <c r="R971" i="2" s="1"/>
  <c r="P971" i="2"/>
  <c r="N971" i="2"/>
  <c r="O970" i="2"/>
  <c r="P970" i="2"/>
  <c r="N970" i="2"/>
  <c r="O969" i="2"/>
  <c r="P969" i="2"/>
  <c r="N969" i="2"/>
  <c r="O968" i="2"/>
  <c r="R968" i="2" s="1"/>
  <c r="P968" i="2"/>
  <c r="N968" i="2"/>
  <c r="O967" i="2"/>
  <c r="R967" i="2" s="1"/>
  <c r="P967" i="2"/>
  <c r="N967" i="2"/>
  <c r="O966" i="2"/>
  <c r="P966" i="2"/>
  <c r="N966" i="2"/>
  <c r="O965" i="2"/>
  <c r="R965" i="2" s="1"/>
  <c r="P965" i="2"/>
  <c r="N965" i="2"/>
  <c r="O964" i="2"/>
  <c r="R964" i="2" s="1"/>
  <c r="P964" i="2"/>
  <c r="N964" i="2"/>
  <c r="O963" i="2"/>
  <c r="R963" i="2" s="1"/>
  <c r="P963" i="2"/>
  <c r="N963" i="2"/>
  <c r="O962" i="2"/>
  <c r="P962" i="2"/>
  <c r="N962" i="2"/>
  <c r="O961" i="2"/>
  <c r="P961" i="2"/>
  <c r="N961" i="2"/>
  <c r="O960" i="2"/>
  <c r="R960" i="2" s="1"/>
  <c r="P960" i="2"/>
  <c r="N960" i="2"/>
  <c r="O959" i="2"/>
  <c r="R959" i="2" s="1"/>
  <c r="P959" i="2"/>
  <c r="N959" i="2"/>
  <c r="O958" i="2"/>
  <c r="P958" i="2"/>
  <c r="N958" i="2"/>
  <c r="O957" i="2"/>
  <c r="P957" i="2"/>
  <c r="N957" i="2"/>
  <c r="O956" i="2"/>
  <c r="R956" i="2" s="1"/>
  <c r="P956" i="2"/>
  <c r="N956" i="2"/>
  <c r="O955" i="2"/>
  <c r="R955" i="2" s="1"/>
  <c r="P955" i="2"/>
  <c r="N955" i="2"/>
  <c r="O954" i="2"/>
  <c r="P954" i="2"/>
  <c r="N954" i="2"/>
  <c r="O953" i="2"/>
  <c r="R953" i="2" s="1"/>
  <c r="P953" i="2"/>
  <c r="N953" i="2"/>
  <c r="O952" i="2"/>
  <c r="R952" i="2" s="1"/>
  <c r="P952" i="2"/>
  <c r="N952" i="2"/>
  <c r="O951" i="2"/>
  <c r="R951" i="2" s="1"/>
  <c r="P951" i="2"/>
  <c r="N951" i="2"/>
  <c r="O950" i="2"/>
  <c r="P950" i="2"/>
  <c r="N950" i="2"/>
  <c r="O949" i="2"/>
  <c r="R949" i="2" s="1"/>
  <c r="P949" i="2"/>
  <c r="N949" i="2"/>
  <c r="O948" i="2"/>
  <c r="R948" i="2" s="1"/>
  <c r="P948" i="2"/>
  <c r="N948" i="2"/>
  <c r="O947" i="2"/>
  <c r="R947" i="2" s="1"/>
  <c r="P947" i="2"/>
  <c r="N947" i="2"/>
  <c r="O946" i="2"/>
  <c r="P946" i="2"/>
  <c r="N946" i="2"/>
  <c r="O945" i="2"/>
  <c r="P945" i="2"/>
  <c r="N945" i="2"/>
  <c r="O944" i="2"/>
  <c r="R944" i="2" s="1"/>
  <c r="P944" i="2"/>
  <c r="N944" i="2"/>
  <c r="O943" i="2"/>
  <c r="R943" i="2" s="1"/>
  <c r="P943" i="2"/>
  <c r="N943" i="2"/>
  <c r="O942" i="2"/>
  <c r="P942" i="2"/>
  <c r="N942" i="2"/>
  <c r="O941" i="2"/>
  <c r="P941" i="2"/>
  <c r="N941" i="2"/>
  <c r="O940" i="2"/>
  <c r="R940" i="2" s="1"/>
  <c r="P940" i="2"/>
  <c r="N940" i="2"/>
  <c r="O939" i="2"/>
  <c r="R939" i="2" s="1"/>
  <c r="P939" i="2"/>
  <c r="N939" i="2"/>
  <c r="O938" i="2"/>
  <c r="P938" i="2"/>
  <c r="N938" i="2"/>
  <c r="O937" i="2"/>
  <c r="R937" i="2" s="1"/>
  <c r="P937" i="2"/>
  <c r="N937" i="2"/>
  <c r="O936" i="2"/>
  <c r="R936" i="2" s="1"/>
  <c r="P936" i="2"/>
  <c r="N936" i="2"/>
  <c r="O935" i="2"/>
  <c r="R935" i="2" s="1"/>
  <c r="P935" i="2"/>
  <c r="N935" i="2"/>
  <c r="O934" i="2"/>
  <c r="P934" i="2"/>
  <c r="N934" i="2"/>
  <c r="O933" i="2"/>
  <c r="R933" i="2" s="1"/>
  <c r="P933" i="2"/>
  <c r="N933" i="2"/>
  <c r="O932" i="2"/>
  <c r="R932" i="2" s="1"/>
  <c r="P932" i="2"/>
  <c r="N932" i="2"/>
  <c r="O931" i="2"/>
  <c r="R931" i="2" s="1"/>
  <c r="P931" i="2"/>
  <c r="N931" i="2"/>
  <c r="O930" i="2"/>
  <c r="P930" i="2"/>
  <c r="N930" i="2"/>
  <c r="O929" i="2"/>
  <c r="P929" i="2"/>
  <c r="N929" i="2"/>
  <c r="O928" i="2"/>
  <c r="R928" i="2" s="1"/>
  <c r="P928" i="2"/>
  <c r="N928" i="2"/>
  <c r="O927" i="2"/>
  <c r="R927" i="2" s="1"/>
  <c r="P927" i="2"/>
  <c r="N927" i="2"/>
  <c r="O926" i="2"/>
  <c r="P926" i="2"/>
  <c r="N926" i="2"/>
  <c r="O925" i="2"/>
  <c r="P925" i="2"/>
  <c r="N925" i="2"/>
  <c r="O924" i="2"/>
  <c r="R924" i="2" s="1"/>
  <c r="P924" i="2"/>
  <c r="N924" i="2"/>
  <c r="O923" i="2"/>
  <c r="R923" i="2" s="1"/>
  <c r="P923" i="2"/>
  <c r="N923" i="2"/>
  <c r="O922" i="2"/>
  <c r="P922" i="2"/>
  <c r="N922" i="2"/>
  <c r="O921" i="2"/>
  <c r="R921" i="2" s="1"/>
  <c r="P921" i="2"/>
  <c r="N921" i="2"/>
  <c r="O920" i="2"/>
  <c r="R920" i="2" s="1"/>
  <c r="P920" i="2"/>
  <c r="N920" i="2"/>
  <c r="O919" i="2"/>
  <c r="R919" i="2" s="1"/>
  <c r="P919" i="2"/>
  <c r="N919" i="2"/>
  <c r="O918" i="2"/>
  <c r="P918" i="2"/>
  <c r="N918" i="2"/>
  <c r="O917" i="2"/>
  <c r="P917" i="2"/>
  <c r="N917" i="2"/>
  <c r="O916" i="2"/>
  <c r="R916" i="2" s="1"/>
  <c r="P916" i="2"/>
  <c r="N916" i="2"/>
  <c r="O915" i="2"/>
  <c r="R915" i="2" s="1"/>
  <c r="P915" i="2"/>
  <c r="N915" i="2"/>
  <c r="O914" i="2"/>
  <c r="P914" i="2"/>
  <c r="N914" i="2"/>
  <c r="O913" i="2"/>
  <c r="P913" i="2"/>
  <c r="N913" i="2"/>
  <c r="O912" i="2"/>
  <c r="R912" i="2" s="1"/>
  <c r="P912" i="2"/>
  <c r="N912" i="2"/>
  <c r="O911" i="2"/>
  <c r="R911" i="2" s="1"/>
  <c r="P911" i="2"/>
  <c r="N911" i="2"/>
  <c r="O910" i="2"/>
  <c r="P910" i="2"/>
  <c r="N910" i="2"/>
  <c r="O909" i="2"/>
  <c r="P909" i="2"/>
  <c r="N909" i="2"/>
  <c r="O908" i="2"/>
  <c r="R908" i="2" s="1"/>
  <c r="P908" i="2"/>
  <c r="N908" i="2"/>
  <c r="O907" i="2"/>
  <c r="R907" i="2" s="1"/>
  <c r="P907" i="2"/>
  <c r="N907" i="2"/>
  <c r="O906" i="2"/>
  <c r="P906" i="2"/>
  <c r="N906" i="2"/>
  <c r="O905" i="2"/>
  <c r="P905" i="2"/>
  <c r="N905" i="2"/>
  <c r="O904" i="2"/>
  <c r="R904" i="2" s="1"/>
  <c r="P904" i="2"/>
  <c r="N904" i="2"/>
  <c r="O903" i="2"/>
  <c r="R903" i="2" s="1"/>
  <c r="P903" i="2"/>
  <c r="N903" i="2"/>
  <c r="O902" i="2"/>
  <c r="P902" i="2"/>
  <c r="N902" i="2"/>
  <c r="O901" i="2"/>
  <c r="R901" i="2" s="1"/>
  <c r="P901" i="2"/>
  <c r="N901" i="2"/>
  <c r="O900" i="2"/>
  <c r="R900" i="2" s="1"/>
  <c r="P900" i="2"/>
  <c r="N900" i="2"/>
  <c r="O899" i="2"/>
  <c r="R899" i="2" s="1"/>
  <c r="P899" i="2"/>
  <c r="N899" i="2"/>
  <c r="O898" i="2"/>
  <c r="P898" i="2"/>
  <c r="N898" i="2"/>
  <c r="O897" i="2"/>
  <c r="R897" i="2" s="1"/>
  <c r="P897" i="2"/>
  <c r="N897" i="2"/>
  <c r="O896" i="2"/>
  <c r="R896" i="2" s="1"/>
  <c r="P896" i="2"/>
  <c r="N896" i="2"/>
  <c r="O895" i="2"/>
  <c r="R895" i="2" s="1"/>
  <c r="P895" i="2"/>
  <c r="N895" i="2"/>
  <c r="O894" i="2"/>
  <c r="P894" i="2"/>
  <c r="N894" i="2"/>
  <c r="O893" i="2"/>
  <c r="P893" i="2"/>
  <c r="N893" i="2"/>
  <c r="O892" i="2"/>
  <c r="R892" i="2" s="1"/>
  <c r="P892" i="2"/>
  <c r="N892" i="2"/>
  <c r="O891" i="2"/>
  <c r="R891" i="2" s="1"/>
  <c r="P891" i="2"/>
  <c r="N891" i="2"/>
  <c r="O890" i="2"/>
  <c r="P890" i="2"/>
  <c r="N890" i="2"/>
  <c r="O889" i="2"/>
  <c r="P889" i="2"/>
  <c r="N889" i="2"/>
  <c r="O888" i="2"/>
  <c r="R888" i="2" s="1"/>
  <c r="P888" i="2"/>
  <c r="N888" i="2"/>
  <c r="O887" i="2"/>
  <c r="R887" i="2" s="1"/>
  <c r="P887" i="2"/>
  <c r="N887" i="2"/>
  <c r="O886" i="2"/>
  <c r="P886" i="2"/>
  <c r="N886" i="2"/>
  <c r="O885" i="2"/>
  <c r="P885" i="2"/>
  <c r="N885" i="2"/>
  <c r="O884" i="2"/>
  <c r="R884" i="2" s="1"/>
  <c r="P884" i="2"/>
  <c r="N884" i="2"/>
  <c r="O883" i="2"/>
  <c r="R883" i="2" s="1"/>
  <c r="P883" i="2"/>
  <c r="N883" i="2"/>
  <c r="O882" i="2"/>
  <c r="P882" i="2"/>
  <c r="N882" i="2"/>
  <c r="O881" i="2"/>
  <c r="P881" i="2"/>
  <c r="N881" i="2"/>
  <c r="O880" i="2"/>
  <c r="R880" i="2" s="1"/>
  <c r="P880" i="2"/>
  <c r="N880" i="2"/>
  <c r="O879" i="2"/>
  <c r="R879" i="2" s="1"/>
  <c r="P879" i="2"/>
  <c r="N879" i="2"/>
  <c r="O878" i="2"/>
  <c r="P878" i="2"/>
  <c r="N878" i="2"/>
  <c r="O877" i="2"/>
  <c r="P877" i="2"/>
  <c r="N877" i="2"/>
  <c r="O876" i="2"/>
  <c r="R876" i="2" s="1"/>
  <c r="P876" i="2"/>
  <c r="N876" i="2"/>
  <c r="O875" i="2"/>
  <c r="R875" i="2" s="1"/>
  <c r="P875" i="2"/>
  <c r="N875" i="2"/>
  <c r="O874" i="2"/>
  <c r="P874" i="2"/>
  <c r="N874" i="2"/>
  <c r="O873" i="2"/>
  <c r="R873" i="2" s="1"/>
  <c r="P873" i="2"/>
  <c r="N873" i="2"/>
  <c r="O872" i="2"/>
  <c r="R872" i="2" s="1"/>
  <c r="P872" i="2"/>
  <c r="N872" i="2"/>
  <c r="O871" i="2"/>
  <c r="R871" i="2" s="1"/>
  <c r="P871" i="2"/>
  <c r="N871" i="2"/>
  <c r="O870" i="2"/>
  <c r="P870" i="2"/>
  <c r="N870" i="2"/>
  <c r="O869" i="2"/>
  <c r="R869" i="2" s="1"/>
  <c r="P869" i="2"/>
  <c r="N869" i="2"/>
  <c r="O868" i="2"/>
  <c r="R868" i="2" s="1"/>
  <c r="P868" i="2"/>
  <c r="N868" i="2"/>
  <c r="O867" i="2"/>
  <c r="R867" i="2" s="1"/>
  <c r="P867" i="2"/>
  <c r="N867" i="2"/>
  <c r="O866" i="2"/>
  <c r="P866" i="2"/>
  <c r="N866" i="2"/>
  <c r="O865" i="2"/>
  <c r="P865" i="2"/>
  <c r="N865" i="2"/>
  <c r="O864" i="2"/>
  <c r="R864" i="2" s="1"/>
  <c r="P864" i="2"/>
  <c r="N864" i="2"/>
  <c r="O863" i="2"/>
  <c r="R863" i="2" s="1"/>
  <c r="P863" i="2"/>
  <c r="N863" i="2"/>
  <c r="O862" i="2"/>
  <c r="P862" i="2"/>
  <c r="N862" i="2"/>
  <c r="O861" i="2"/>
  <c r="P861" i="2"/>
  <c r="N861" i="2"/>
  <c r="O860" i="2"/>
  <c r="R860" i="2" s="1"/>
  <c r="P860" i="2"/>
  <c r="N860" i="2"/>
  <c r="O859" i="2"/>
  <c r="R859" i="2" s="1"/>
  <c r="P859" i="2"/>
  <c r="N859" i="2"/>
  <c r="O858" i="2"/>
  <c r="P858" i="2"/>
  <c r="N858" i="2"/>
  <c r="O857" i="2"/>
  <c r="P857" i="2"/>
  <c r="N857" i="2"/>
  <c r="O856" i="2"/>
  <c r="R856" i="2" s="1"/>
  <c r="P856" i="2"/>
  <c r="N856" i="2"/>
  <c r="O855" i="2"/>
  <c r="R855" i="2" s="1"/>
  <c r="P855" i="2"/>
  <c r="N855" i="2"/>
  <c r="O854" i="2"/>
  <c r="P854" i="2"/>
  <c r="N854" i="2"/>
  <c r="O853" i="2"/>
  <c r="P853" i="2"/>
  <c r="N853" i="2"/>
  <c r="O852" i="2"/>
  <c r="R852" i="2" s="1"/>
  <c r="P852" i="2"/>
  <c r="N852" i="2"/>
  <c r="O851" i="2"/>
  <c r="R851" i="2" s="1"/>
  <c r="P851" i="2"/>
  <c r="N851" i="2"/>
  <c r="O850" i="2"/>
  <c r="P850" i="2"/>
  <c r="N850" i="2"/>
  <c r="O849" i="2"/>
  <c r="R849" i="2" s="1"/>
  <c r="P849" i="2"/>
  <c r="N849" i="2"/>
  <c r="O848" i="2"/>
  <c r="R848" i="2" s="1"/>
  <c r="P848" i="2"/>
  <c r="N848" i="2"/>
  <c r="O847" i="2"/>
  <c r="R847" i="2" s="1"/>
  <c r="P847" i="2"/>
  <c r="N847" i="2"/>
  <c r="O846" i="2"/>
  <c r="P846" i="2"/>
  <c r="N846" i="2"/>
  <c r="O845" i="2"/>
  <c r="P845" i="2"/>
  <c r="N845" i="2"/>
  <c r="O844" i="2"/>
  <c r="R844" i="2" s="1"/>
  <c r="P844" i="2"/>
  <c r="N844" i="2"/>
  <c r="O843" i="2"/>
  <c r="R843" i="2" s="1"/>
  <c r="P843" i="2"/>
  <c r="N843" i="2"/>
  <c r="O842" i="2"/>
  <c r="P842" i="2"/>
  <c r="N842" i="2"/>
  <c r="O841" i="2"/>
  <c r="P841" i="2"/>
  <c r="N841" i="2"/>
  <c r="O840" i="2"/>
  <c r="R840" i="2" s="1"/>
  <c r="P840" i="2"/>
  <c r="N840" i="2"/>
  <c r="O839" i="2"/>
  <c r="R839" i="2" s="1"/>
  <c r="P839" i="2"/>
  <c r="N839" i="2"/>
  <c r="O838" i="2"/>
  <c r="P838" i="2"/>
  <c r="N838" i="2"/>
  <c r="O837" i="2"/>
  <c r="R837" i="2" s="1"/>
  <c r="P837" i="2"/>
  <c r="N837" i="2"/>
  <c r="O836" i="2"/>
  <c r="R836" i="2" s="1"/>
  <c r="P836" i="2"/>
  <c r="N836" i="2"/>
  <c r="O835" i="2"/>
  <c r="R835" i="2" s="1"/>
  <c r="P835" i="2"/>
  <c r="N835" i="2"/>
  <c r="O834" i="2"/>
  <c r="P834" i="2"/>
  <c r="N834" i="2"/>
  <c r="O833" i="2"/>
  <c r="R833" i="2" s="1"/>
  <c r="P833" i="2"/>
  <c r="N833" i="2"/>
  <c r="O832" i="2"/>
  <c r="R832" i="2" s="1"/>
  <c r="P832" i="2"/>
  <c r="N832" i="2"/>
  <c r="O831" i="2"/>
  <c r="R831" i="2" s="1"/>
  <c r="P831" i="2"/>
  <c r="N831" i="2"/>
  <c r="O830" i="2"/>
  <c r="P830" i="2"/>
  <c r="N830" i="2"/>
  <c r="O829" i="2"/>
  <c r="P829" i="2"/>
  <c r="N829" i="2"/>
  <c r="O828" i="2"/>
  <c r="R828" i="2" s="1"/>
  <c r="P828" i="2"/>
  <c r="N828" i="2"/>
  <c r="O827" i="2"/>
  <c r="R827" i="2" s="1"/>
  <c r="P827" i="2"/>
  <c r="N827" i="2"/>
  <c r="O826" i="2"/>
  <c r="P826" i="2"/>
  <c r="N826" i="2"/>
  <c r="O825" i="2"/>
  <c r="P825" i="2"/>
  <c r="N825" i="2"/>
  <c r="O824" i="2"/>
  <c r="R824" i="2" s="1"/>
  <c r="P824" i="2"/>
  <c r="N824" i="2"/>
  <c r="O823" i="2"/>
  <c r="R823" i="2" s="1"/>
  <c r="P823" i="2"/>
  <c r="N823" i="2"/>
  <c r="O822" i="2"/>
  <c r="P822" i="2"/>
  <c r="N822" i="2"/>
  <c r="O821" i="2"/>
  <c r="R821" i="2" s="1"/>
  <c r="P821" i="2"/>
  <c r="N821" i="2"/>
  <c r="O820" i="2"/>
  <c r="R820" i="2" s="1"/>
  <c r="P820" i="2"/>
  <c r="N820" i="2"/>
  <c r="O819" i="2"/>
  <c r="R819" i="2" s="1"/>
  <c r="P819" i="2"/>
  <c r="N819" i="2"/>
  <c r="O818" i="2"/>
  <c r="P818" i="2"/>
  <c r="N818" i="2"/>
  <c r="O817" i="2"/>
  <c r="P817" i="2"/>
  <c r="N817" i="2"/>
  <c r="O816" i="2"/>
  <c r="R816" i="2" s="1"/>
  <c r="P816" i="2"/>
  <c r="N816" i="2"/>
  <c r="O815" i="2"/>
  <c r="R815" i="2" s="1"/>
  <c r="P815" i="2"/>
  <c r="N815" i="2"/>
  <c r="O814" i="2"/>
  <c r="P814" i="2"/>
  <c r="N814" i="2"/>
  <c r="O813" i="2"/>
  <c r="P813" i="2"/>
  <c r="N813" i="2"/>
  <c r="O812" i="2"/>
  <c r="R812" i="2" s="1"/>
  <c r="P812" i="2"/>
  <c r="N812" i="2"/>
  <c r="O811" i="2"/>
  <c r="R811" i="2" s="1"/>
  <c r="P811" i="2"/>
  <c r="N811" i="2"/>
  <c r="O810" i="2"/>
  <c r="P810" i="2"/>
  <c r="N810" i="2"/>
  <c r="O809" i="2"/>
  <c r="R809" i="2" s="1"/>
  <c r="P809" i="2"/>
  <c r="N809" i="2"/>
  <c r="O808" i="2"/>
  <c r="R808" i="2" s="1"/>
  <c r="P808" i="2"/>
  <c r="N808" i="2"/>
  <c r="O807" i="2"/>
  <c r="R807" i="2" s="1"/>
  <c r="P807" i="2"/>
  <c r="N807" i="2"/>
  <c r="O806" i="2"/>
  <c r="P806" i="2"/>
  <c r="N806" i="2"/>
  <c r="O805" i="2"/>
  <c r="R805" i="2" s="1"/>
  <c r="P805" i="2"/>
  <c r="N805" i="2"/>
  <c r="O804" i="2"/>
  <c r="R804" i="2" s="1"/>
  <c r="P804" i="2"/>
  <c r="N804" i="2"/>
  <c r="O803" i="2"/>
  <c r="R803" i="2" s="1"/>
  <c r="P803" i="2"/>
  <c r="N803" i="2"/>
  <c r="O802" i="2"/>
  <c r="P802" i="2"/>
  <c r="N802" i="2"/>
  <c r="O801" i="2"/>
  <c r="P801" i="2"/>
  <c r="N801" i="2"/>
  <c r="O800" i="2"/>
  <c r="R800" i="2" s="1"/>
  <c r="P800" i="2"/>
  <c r="N800" i="2"/>
  <c r="O799" i="2"/>
  <c r="R799" i="2" s="1"/>
  <c r="P799" i="2"/>
  <c r="N799" i="2"/>
  <c r="O798" i="2"/>
  <c r="P798" i="2"/>
  <c r="N798" i="2"/>
  <c r="O797" i="2"/>
  <c r="P797" i="2"/>
  <c r="N797" i="2"/>
  <c r="O796" i="2"/>
  <c r="R796" i="2" s="1"/>
  <c r="P796" i="2"/>
  <c r="N796" i="2"/>
  <c r="O795" i="2"/>
  <c r="R795" i="2" s="1"/>
  <c r="P795" i="2"/>
  <c r="N795" i="2"/>
  <c r="O794" i="2"/>
  <c r="P794" i="2"/>
  <c r="N794" i="2"/>
  <c r="O793" i="2"/>
  <c r="R793" i="2" s="1"/>
  <c r="P793" i="2"/>
  <c r="N793" i="2"/>
  <c r="O792" i="2"/>
  <c r="R792" i="2" s="1"/>
  <c r="P792" i="2"/>
  <c r="N792" i="2"/>
  <c r="O791" i="2"/>
  <c r="R791" i="2" s="1"/>
  <c r="P791" i="2"/>
  <c r="N791" i="2"/>
  <c r="O790" i="2"/>
  <c r="P790" i="2"/>
  <c r="N790" i="2"/>
  <c r="O789" i="2"/>
  <c r="P789" i="2"/>
  <c r="N789" i="2"/>
  <c r="O788" i="2"/>
  <c r="R788" i="2" s="1"/>
  <c r="P788" i="2"/>
  <c r="N788" i="2"/>
  <c r="O787" i="2"/>
  <c r="R787" i="2" s="1"/>
  <c r="P787" i="2"/>
  <c r="N787" i="2"/>
  <c r="O786" i="2"/>
  <c r="P786" i="2"/>
  <c r="N786" i="2"/>
  <c r="O785" i="2"/>
  <c r="R785" i="2" s="1"/>
  <c r="P785" i="2"/>
  <c r="N785" i="2"/>
  <c r="O784" i="2"/>
  <c r="R784" i="2" s="1"/>
  <c r="P784" i="2"/>
  <c r="N784" i="2"/>
  <c r="O783" i="2"/>
  <c r="R783" i="2" s="1"/>
  <c r="P783" i="2"/>
  <c r="N783" i="2"/>
  <c r="O782" i="2"/>
  <c r="P782" i="2"/>
  <c r="N782" i="2"/>
  <c r="O781" i="2"/>
  <c r="P781" i="2"/>
  <c r="N781" i="2"/>
  <c r="O780" i="2"/>
  <c r="R780" i="2" s="1"/>
  <c r="P780" i="2"/>
  <c r="N780" i="2"/>
  <c r="O779" i="2"/>
  <c r="R779" i="2" s="1"/>
  <c r="P779" i="2"/>
  <c r="N779" i="2"/>
  <c r="O778" i="2"/>
  <c r="P778" i="2"/>
  <c r="N778" i="2"/>
  <c r="O777" i="2"/>
  <c r="P777" i="2"/>
  <c r="N777" i="2"/>
  <c r="O776" i="2"/>
  <c r="R776" i="2" s="1"/>
  <c r="P776" i="2"/>
  <c r="N776" i="2"/>
  <c r="O775" i="2"/>
  <c r="R775" i="2" s="1"/>
  <c r="P775" i="2"/>
  <c r="N775" i="2"/>
  <c r="O774" i="2"/>
  <c r="P774" i="2"/>
  <c r="N774" i="2"/>
  <c r="O773" i="2"/>
  <c r="P773" i="2"/>
  <c r="N773" i="2"/>
  <c r="O772" i="2"/>
  <c r="R772" i="2" s="1"/>
  <c r="P772" i="2"/>
  <c r="N772" i="2"/>
  <c r="O771" i="2"/>
  <c r="R771" i="2" s="1"/>
  <c r="P771" i="2"/>
  <c r="N771" i="2"/>
  <c r="O770" i="2"/>
  <c r="P770" i="2"/>
  <c r="N770" i="2"/>
  <c r="O769" i="2"/>
  <c r="R769" i="2" s="1"/>
  <c r="P769" i="2"/>
  <c r="N769" i="2"/>
  <c r="O768" i="2"/>
  <c r="R768" i="2" s="1"/>
  <c r="P768" i="2"/>
  <c r="N768" i="2"/>
  <c r="O767" i="2"/>
  <c r="R767" i="2" s="1"/>
  <c r="P767" i="2"/>
  <c r="N767" i="2"/>
  <c r="O766" i="2"/>
  <c r="P766" i="2"/>
  <c r="N766" i="2"/>
  <c r="O765" i="2"/>
  <c r="P765" i="2"/>
  <c r="N765" i="2"/>
  <c r="O764" i="2"/>
  <c r="R764" i="2" s="1"/>
  <c r="P764" i="2"/>
  <c r="N764" i="2"/>
  <c r="O763" i="2"/>
  <c r="R763" i="2" s="1"/>
  <c r="P763" i="2"/>
  <c r="N763" i="2"/>
  <c r="O762" i="2"/>
  <c r="P762" i="2"/>
  <c r="N762" i="2"/>
  <c r="O761" i="2"/>
  <c r="P761" i="2"/>
  <c r="N761" i="2"/>
  <c r="O760" i="2"/>
  <c r="R760" i="2" s="1"/>
  <c r="P760" i="2"/>
  <c r="N760" i="2"/>
  <c r="O759" i="2"/>
  <c r="R759" i="2" s="1"/>
  <c r="P759" i="2"/>
  <c r="N759" i="2"/>
  <c r="O758" i="2"/>
  <c r="P758" i="2"/>
  <c r="N758" i="2"/>
  <c r="O757" i="2"/>
  <c r="P757" i="2"/>
  <c r="N757" i="2"/>
  <c r="O756" i="2"/>
  <c r="R756" i="2" s="1"/>
  <c r="P756" i="2"/>
  <c r="N756" i="2"/>
  <c r="O755" i="2"/>
  <c r="R755" i="2" s="1"/>
  <c r="P755" i="2"/>
  <c r="N755" i="2"/>
  <c r="O754" i="2"/>
  <c r="P754" i="2"/>
  <c r="N754" i="2"/>
  <c r="O753" i="2"/>
  <c r="P753" i="2"/>
  <c r="N753" i="2"/>
  <c r="O752" i="2"/>
  <c r="R752" i="2" s="1"/>
  <c r="P752" i="2"/>
  <c r="N752" i="2"/>
  <c r="O751" i="2"/>
  <c r="R751" i="2" s="1"/>
  <c r="P751" i="2"/>
  <c r="N751" i="2"/>
  <c r="O750" i="2"/>
  <c r="P750" i="2"/>
  <c r="N750" i="2"/>
  <c r="O749" i="2"/>
  <c r="P749" i="2"/>
  <c r="N749" i="2"/>
  <c r="O748" i="2"/>
  <c r="R748" i="2" s="1"/>
  <c r="P748" i="2"/>
  <c r="N748" i="2"/>
  <c r="O747" i="2"/>
  <c r="R747" i="2" s="1"/>
  <c r="P747" i="2"/>
  <c r="N747" i="2"/>
  <c r="O746" i="2"/>
  <c r="P746" i="2"/>
  <c r="N746" i="2"/>
  <c r="O745" i="2"/>
  <c r="R745" i="2" s="1"/>
  <c r="P745" i="2"/>
  <c r="N745" i="2"/>
  <c r="O744" i="2"/>
  <c r="R744" i="2" s="1"/>
  <c r="P744" i="2"/>
  <c r="N744" i="2"/>
  <c r="O743" i="2"/>
  <c r="R743" i="2" s="1"/>
  <c r="P743" i="2"/>
  <c r="N743" i="2"/>
  <c r="O742" i="2"/>
  <c r="P742" i="2"/>
  <c r="N742" i="2"/>
  <c r="O741" i="2"/>
  <c r="P741" i="2"/>
  <c r="N741" i="2"/>
  <c r="O740" i="2"/>
  <c r="R740" i="2" s="1"/>
  <c r="P740" i="2"/>
  <c r="N740" i="2"/>
  <c r="O739" i="2"/>
  <c r="R739" i="2" s="1"/>
  <c r="P739" i="2"/>
  <c r="N739" i="2"/>
  <c r="O738" i="2"/>
  <c r="P738" i="2"/>
  <c r="N738" i="2"/>
  <c r="O737" i="2"/>
  <c r="P737" i="2"/>
  <c r="N737" i="2"/>
  <c r="O736" i="2"/>
  <c r="R736" i="2" s="1"/>
  <c r="P736" i="2"/>
  <c r="N736" i="2"/>
  <c r="O735" i="2"/>
  <c r="R735" i="2" s="1"/>
  <c r="P735" i="2"/>
  <c r="N735" i="2"/>
  <c r="O734" i="2"/>
  <c r="P734" i="2"/>
  <c r="N734" i="2"/>
  <c r="O733" i="2"/>
  <c r="P733" i="2"/>
  <c r="N733" i="2"/>
  <c r="O732" i="2"/>
  <c r="R732" i="2" s="1"/>
  <c r="P732" i="2"/>
  <c r="N732" i="2"/>
  <c r="O731" i="2"/>
  <c r="R731" i="2" s="1"/>
  <c r="P731" i="2"/>
  <c r="N731" i="2"/>
  <c r="O730" i="2"/>
  <c r="P730" i="2"/>
  <c r="N730" i="2"/>
  <c r="O729" i="2"/>
  <c r="P729" i="2"/>
  <c r="N729" i="2"/>
  <c r="O728" i="2"/>
  <c r="R728" i="2" s="1"/>
  <c r="P728" i="2"/>
  <c r="N728" i="2"/>
  <c r="O727" i="2"/>
  <c r="R727" i="2" s="1"/>
  <c r="P727" i="2"/>
  <c r="N727" i="2"/>
  <c r="O726" i="2"/>
  <c r="P726" i="2"/>
  <c r="N726" i="2"/>
  <c r="O725" i="2"/>
  <c r="P725" i="2"/>
  <c r="N725" i="2"/>
  <c r="O724" i="2"/>
  <c r="R724" i="2" s="1"/>
  <c r="P724" i="2"/>
  <c r="N724" i="2"/>
  <c r="O723" i="2"/>
  <c r="R723" i="2" s="1"/>
  <c r="P723" i="2"/>
  <c r="N723" i="2"/>
  <c r="O722" i="2"/>
  <c r="P722" i="2"/>
  <c r="N722" i="2"/>
  <c r="O721" i="2"/>
  <c r="P721" i="2"/>
  <c r="N721" i="2"/>
  <c r="O720" i="2"/>
  <c r="R720" i="2" s="1"/>
  <c r="P720" i="2"/>
  <c r="N720" i="2"/>
  <c r="O719" i="2"/>
  <c r="R719" i="2" s="1"/>
  <c r="P719" i="2"/>
  <c r="N719" i="2"/>
  <c r="O718" i="2"/>
  <c r="P718" i="2"/>
  <c r="N718" i="2"/>
  <c r="O717" i="2"/>
  <c r="P717" i="2"/>
  <c r="N717" i="2"/>
  <c r="O716" i="2"/>
  <c r="R716" i="2" s="1"/>
  <c r="P716" i="2"/>
  <c r="N716" i="2"/>
  <c r="O715" i="2"/>
  <c r="R715" i="2" s="1"/>
  <c r="P715" i="2"/>
  <c r="N715" i="2"/>
  <c r="O714" i="2"/>
  <c r="P714" i="2"/>
  <c r="N714" i="2"/>
  <c r="O713" i="2"/>
  <c r="P713" i="2"/>
  <c r="N713" i="2"/>
  <c r="O712" i="2"/>
  <c r="R712" i="2" s="1"/>
  <c r="P712" i="2"/>
  <c r="N712" i="2"/>
  <c r="O711" i="2"/>
  <c r="R711" i="2" s="1"/>
  <c r="P711" i="2"/>
  <c r="N711" i="2"/>
  <c r="O710" i="2"/>
  <c r="P710" i="2"/>
  <c r="N710" i="2"/>
  <c r="O709" i="2"/>
  <c r="P709" i="2"/>
  <c r="N709" i="2"/>
  <c r="O708" i="2"/>
  <c r="R708" i="2" s="1"/>
  <c r="P708" i="2"/>
  <c r="N708" i="2"/>
  <c r="O707" i="2"/>
  <c r="R707" i="2" s="1"/>
  <c r="P707" i="2"/>
  <c r="N707" i="2"/>
  <c r="O706" i="2"/>
  <c r="P706" i="2"/>
  <c r="N706" i="2"/>
  <c r="O705" i="2"/>
  <c r="P705" i="2"/>
  <c r="N705" i="2"/>
  <c r="O704" i="2"/>
  <c r="R704" i="2" s="1"/>
  <c r="P704" i="2"/>
  <c r="N704" i="2"/>
  <c r="O703" i="2"/>
  <c r="R703" i="2" s="1"/>
  <c r="P703" i="2"/>
  <c r="N703" i="2"/>
  <c r="O702" i="2"/>
  <c r="P702" i="2"/>
  <c r="N702" i="2"/>
  <c r="O701" i="2"/>
  <c r="P701" i="2"/>
  <c r="N701" i="2"/>
  <c r="O700" i="2"/>
  <c r="R700" i="2" s="1"/>
  <c r="P700" i="2"/>
  <c r="N700" i="2"/>
  <c r="O699" i="2"/>
  <c r="R699" i="2" s="1"/>
  <c r="P699" i="2"/>
  <c r="N699" i="2"/>
  <c r="O698" i="2"/>
  <c r="P698" i="2"/>
  <c r="N698" i="2"/>
  <c r="O697" i="2"/>
  <c r="R697" i="2" s="1"/>
  <c r="P697" i="2"/>
  <c r="N697" i="2"/>
  <c r="O696" i="2"/>
  <c r="R696" i="2" s="1"/>
  <c r="P696" i="2"/>
  <c r="N696" i="2"/>
  <c r="O695" i="2"/>
  <c r="R695" i="2" s="1"/>
  <c r="P695" i="2"/>
  <c r="N695" i="2"/>
  <c r="O694" i="2"/>
  <c r="P694" i="2"/>
  <c r="N694" i="2"/>
  <c r="O693" i="2"/>
  <c r="P693" i="2"/>
  <c r="N693" i="2"/>
  <c r="O692" i="2"/>
  <c r="R692" i="2" s="1"/>
  <c r="P692" i="2"/>
  <c r="N692" i="2"/>
  <c r="O691" i="2"/>
  <c r="R691" i="2" s="1"/>
  <c r="P691" i="2"/>
  <c r="N691" i="2"/>
  <c r="O690" i="2"/>
  <c r="P690" i="2"/>
  <c r="N690" i="2"/>
  <c r="O689" i="2"/>
  <c r="P689" i="2"/>
  <c r="N689" i="2"/>
  <c r="O688" i="2"/>
  <c r="R688" i="2" s="1"/>
  <c r="P688" i="2"/>
  <c r="N688" i="2"/>
  <c r="O687" i="2"/>
  <c r="R687" i="2" s="1"/>
  <c r="P687" i="2"/>
  <c r="N687" i="2"/>
  <c r="O686" i="2"/>
  <c r="P686" i="2"/>
  <c r="N686" i="2"/>
  <c r="O685" i="2"/>
  <c r="P685" i="2"/>
  <c r="N685" i="2"/>
  <c r="O684" i="2"/>
  <c r="R684" i="2" s="1"/>
  <c r="P684" i="2"/>
  <c r="N684" i="2"/>
  <c r="O683" i="2"/>
  <c r="R683" i="2" s="1"/>
  <c r="P683" i="2"/>
  <c r="N683" i="2"/>
  <c r="O682" i="2"/>
  <c r="P682" i="2"/>
  <c r="N682" i="2"/>
  <c r="O681" i="2"/>
  <c r="P681" i="2"/>
  <c r="N681" i="2"/>
  <c r="O680" i="2"/>
  <c r="R680" i="2" s="1"/>
  <c r="P680" i="2"/>
  <c r="N680" i="2"/>
  <c r="O679" i="2"/>
  <c r="R679" i="2" s="1"/>
  <c r="P679" i="2"/>
  <c r="N679" i="2"/>
  <c r="O678" i="2"/>
  <c r="P678" i="2"/>
  <c r="N678" i="2"/>
  <c r="O677" i="2"/>
  <c r="P677" i="2"/>
  <c r="N677" i="2"/>
  <c r="O676" i="2"/>
  <c r="R676" i="2" s="1"/>
  <c r="P676" i="2"/>
  <c r="N676" i="2"/>
  <c r="O675" i="2"/>
  <c r="R675" i="2" s="1"/>
  <c r="P675" i="2"/>
  <c r="N675" i="2"/>
  <c r="O674" i="2"/>
  <c r="P674" i="2"/>
  <c r="N674" i="2"/>
  <c r="O673" i="2"/>
  <c r="R673" i="2" s="1"/>
  <c r="P673" i="2"/>
  <c r="N673" i="2"/>
  <c r="O672" i="2"/>
  <c r="R672" i="2" s="1"/>
  <c r="P672" i="2"/>
  <c r="N672" i="2"/>
  <c r="O671" i="2"/>
  <c r="R671" i="2" s="1"/>
  <c r="P671" i="2"/>
  <c r="N671" i="2"/>
  <c r="O670" i="2"/>
  <c r="P670" i="2"/>
  <c r="N670" i="2"/>
  <c r="O669" i="2"/>
  <c r="P669" i="2"/>
  <c r="N669" i="2"/>
  <c r="O668" i="2"/>
  <c r="R668" i="2" s="1"/>
  <c r="P668" i="2"/>
  <c r="N668" i="2"/>
  <c r="O667" i="2"/>
  <c r="R667" i="2" s="1"/>
  <c r="P667" i="2"/>
  <c r="N667" i="2"/>
  <c r="O666" i="2"/>
  <c r="P666" i="2"/>
  <c r="N666" i="2"/>
  <c r="O665" i="2"/>
  <c r="P665" i="2"/>
  <c r="N665" i="2"/>
  <c r="O664" i="2"/>
  <c r="R664" i="2" s="1"/>
  <c r="P664" i="2"/>
  <c r="N664" i="2"/>
  <c r="O663" i="2"/>
  <c r="R663" i="2" s="1"/>
  <c r="P663" i="2"/>
  <c r="N663" i="2"/>
  <c r="O662" i="2"/>
  <c r="P662" i="2"/>
  <c r="N662" i="2"/>
  <c r="O661" i="2"/>
  <c r="P661" i="2"/>
  <c r="N661" i="2"/>
  <c r="O660" i="2"/>
  <c r="R660" i="2" s="1"/>
  <c r="P660" i="2"/>
  <c r="N660" i="2"/>
  <c r="O659" i="2"/>
  <c r="R659" i="2" s="1"/>
  <c r="P659" i="2"/>
  <c r="N659" i="2"/>
  <c r="O658" i="2"/>
  <c r="P658" i="2"/>
  <c r="N658" i="2"/>
  <c r="O657" i="2"/>
  <c r="P657" i="2"/>
  <c r="N657" i="2"/>
  <c r="O656" i="2"/>
  <c r="R656" i="2" s="1"/>
  <c r="P656" i="2"/>
  <c r="N656" i="2"/>
  <c r="O655" i="2"/>
  <c r="R655" i="2" s="1"/>
  <c r="P655" i="2"/>
  <c r="N655" i="2"/>
  <c r="O654" i="2"/>
  <c r="P654" i="2"/>
  <c r="N654" i="2"/>
  <c r="O653" i="2"/>
  <c r="P653" i="2"/>
  <c r="N653" i="2"/>
  <c r="O652" i="2"/>
  <c r="R652" i="2" s="1"/>
  <c r="P652" i="2"/>
  <c r="N652" i="2"/>
  <c r="O651" i="2"/>
  <c r="R651" i="2" s="1"/>
  <c r="P651" i="2"/>
  <c r="N651" i="2"/>
  <c r="O650" i="2"/>
  <c r="P650" i="2"/>
  <c r="N650" i="2"/>
  <c r="O649" i="2"/>
  <c r="P649" i="2"/>
  <c r="N649" i="2"/>
  <c r="O648" i="2"/>
  <c r="R648" i="2" s="1"/>
  <c r="P648" i="2"/>
  <c r="N648" i="2"/>
  <c r="O647" i="2"/>
  <c r="R647" i="2" s="1"/>
  <c r="P647" i="2"/>
  <c r="N647" i="2"/>
  <c r="O646" i="2"/>
  <c r="P646" i="2"/>
  <c r="N646" i="2"/>
  <c r="O645" i="2"/>
  <c r="P645" i="2"/>
  <c r="N645" i="2"/>
  <c r="O644" i="2"/>
  <c r="R644" i="2" s="1"/>
  <c r="P644" i="2"/>
  <c r="N644" i="2"/>
  <c r="O643" i="2"/>
  <c r="R643" i="2" s="1"/>
  <c r="P643" i="2"/>
  <c r="N643" i="2"/>
  <c r="O642" i="2"/>
  <c r="P642" i="2"/>
  <c r="N642" i="2"/>
  <c r="O641" i="2"/>
  <c r="P641" i="2"/>
  <c r="N641" i="2"/>
  <c r="O640" i="2"/>
  <c r="R640" i="2" s="1"/>
  <c r="P640" i="2"/>
  <c r="N640" i="2"/>
  <c r="O639" i="2"/>
  <c r="R639" i="2" s="1"/>
  <c r="P639" i="2"/>
  <c r="N639" i="2"/>
  <c r="O638" i="2"/>
  <c r="P638" i="2"/>
  <c r="N638" i="2"/>
  <c r="O637" i="2"/>
  <c r="P637" i="2"/>
  <c r="N637" i="2"/>
  <c r="O636" i="2"/>
  <c r="R636" i="2" s="1"/>
  <c r="P636" i="2"/>
  <c r="N636" i="2"/>
  <c r="O635" i="2"/>
  <c r="R635" i="2" s="1"/>
  <c r="P635" i="2"/>
  <c r="N635" i="2"/>
  <c r="O634" i="2"/>
  <c r="P634" i="2"/>
  <c r="N634" i="2"/>
  <c r="O633" i="2"/>
  <c r="P633" i="2"/>
  <c r="N633" i="2"/>
  <c r="O632" i="2"/>
  <c r="R632" i="2" s="1"/>
  <c r="P632" i="2"/>
  <c r="N632" i="2"/>
  <c r="O631" i="2"/>
  <c r="R631" i="2" s="1"/>
  <c r="P631" i="2"/>
  <c r="N631" i="2"/>
  <c r="O630" i="2"/>
  <c r="P630" i="2"/>
  <c r="N630" i="2"/>
  <c r="O629" i="2"/>
  <c r="P629" i="2"/>
  <c r="N629" i="2"/>
  <c r="O628" i="2"/>
  <c r="R628" i="2" s="1"/>
  <c r="P628" i="2"/>
  <c r="N628" i="2"/>
  <c r="O627" i="2"/>
  <c r="R627" i="2" s="1"/>
  <c r="P627" i="2"/>
  <c r="N627" i="2"/>
  <c r="O626" i="2"/>
  <c r="P626" i="2"/>
  <c r="N626" i="2"/>
  <c r="O625" i="2"/>
  <c r="P625" i="2"/>
  <c r="N625" i="2"/>
  <c r="O624" i="2"/>
  <c r="R624" i="2" s="1"/>
  <c r="P624" i="2"/>
  <c r="N624" i="2"/>
  <c r="O623" i="2"/>
  <c r="R623" i="2" s="1"/>
  <c r="P623" i="2"/>
  <c r="N623" i="2"/>
  <c r="O622" i="2"/>
  <c r="P622" i="2"/>
  <c r="N622" i="2"/>
  <c r="O621" i="2"/>
  <c r="P621" i="2"/>
  <c r="N621" i="2"/>
  <c r="O620" i="2"/>
  <c r="R620" i="2" s="1"/>
  <c r="P620" i="2"/>
  <c r="N620" i="2"/>
  <c r="O619" i="2"/>
  <c r="R619" i="2" s="1"/>
  <c r="P619" i="2"/>
  <c r="N619" i="2"/>
  <c r="O618" i="2"/>
  <c r="P618" i="2"/>
  <c r="N618" i="2"/>
  <c r="O617" i="2"/>
  <c r="P617" i="2"/>
  <c r="N617" i="2"/>
  <c r="O616" i="2"/>
  <c r="R616" i="2" s="1"/>
  <c r="P616" i="2"/>
  <c r="N616" i="2"/>
  <c r="O615" i="2"/>
  <c r="R615" i="2" s="1"/>
  <c r="P615" i="2"/>
  <c r="N615" i="2"/>
  <c r="O614" i="2"/>
  <c r="P614" i="2"/>
  <c r="N614" i="2"/>
  <c r="O613" i="2"/>
  <c r="P613" i="2"/>
  <c r="N613" i="2"/>
  <c r="O612" i="2"/>
  <c r="R612" i="2" s="1"/>
  <c r="P612" i="2"/>
  <c r="N612" i="2"/>
  <c r="O611" i="2"/>
  <c r="R611" i="2" s="1"/>
  <c r="P611" i="2"/>
  <c r="N611" i="2"/>
  <c r="O610" i="2"/>
  <c r="P610" i="2"/>
  <c r="N610" i="2"/>
  <c r="O609" i="2"/>
  <c r="P609" i="2"/>
  <c r="N609" i="2"/>
  <c r="O608" i="2"/>
  <c r="R608" i="2" s="1"/>
  <c r="P608" i="2"/>
  <c r="N608" i="2"/>
  <c r="O607" i="2"/>
  <c r="R607" i="2" s="1"/>
  <c r="P607" i="2"/>
  <c r="N607" i="2"/>
  <c r="O606" i="2"/>
  <c r="P606" i="2"/>
  <c r="N606" i="2"/>
  <c r="O605" i="2"/>
  <c r="P605" i="2"/>
  <c r="N605" i="2"/>
  <c r="O604" i="2"/>
  <c r="R604" i="2" s="1"/>
  <c r="P604" i="2"/>
  <c r="N604" i="2"/>
  <c r="O603" i="2"/>
  <c r="R603" i="2" s="1"/>
  <c r="P603" i="2"/>
  <c r="N603" i="2"/>
  <c r="O602" i="2"/>
  <c r="P602" i="2"/>
  <c r="N602" i="2"/>
  <c r="O601" i="2"/>
  <c r="R601" i="2" s="1"/>
  <c r="P601" i="2"/>
  <c r="N601" i="2"/>
  <c r="O600" i="2"/>
  <c r="R600" i="2" s="1"/>
  <c r="P600" i="2"/>
  <c r="N600" i="2"/>
  <c r="O599" i="2"/>
  <c r="R599" i="2" s="1"/>
  <c r="P599" i="2"/>
  <c r="N599" i="2"/>
  <c r="O598" i="2"/>
  <c r="P598" i="2"/>
  <c r="N598" i="2"/>
  <c r="O597" i="2"/>
  <c r="P597" i="2"/>
  <c r="N597" i="2"/>
  <c r="O596" i="2"/>
  <c r="R596" i="2" s="1"/>
  <c r="P596" i="2"/>
  <c r="N596" i="2"/>
  <c r="O595" i="2"/>
  <c r="R595" i="2" s="1"/>
  <c r="P595" i="2"/>
  <c r="N595" i="2"/>
  <c r="O594" i="2"/>
  <c r="P594" i="2"/>
  <c r="N594" i="2"/>
  <c r="O593" i="2"/>
  <c r="R593" i="2" s="1"/>
  <c r="P593" i="2"/>
  <c r="N593" i="2"/>
  <c r="O592" i="2"/>
  <c r="R592" i="2" s="1"/>
  <c r="P592" i="2"/>
  <c r="N592" i="2"/>
  <c r="O591" i="2"/>
  <c r="R591" i="2" s="1"/>
  <c r="P591" i="2"/>
  <c r="N591" i="2"/>
  <c r="O590" i="2"/>
  <c r="P590" i="2"/>
  <c r="N590" i="2"/>
  <c r="O589" i="2"/>
  <c r="P589" i="2"/>
  <c r="N589" i="2"/>
  <c r="O588" i="2"/>
  <c r="R588" i="2" s="1"/>
  <c r="P588" i="2"/>
  <c r="N588" i="2"/>
  <c r="O587" i="2"/>
  <c r="R587" i="2" s="1"/>
  <c r="P587" i="2"/>
  <c r="N587" i="2"/>
  <c r="O586" i="2"/>
  <c r="P586" i="2"/>
  <c r="N586" i="2"/>
  <c r="O585" i="2"/>
  <c r="R585" i="2" s="1"/>
  <c r="P585" i="2"/>
  <c r="N585" i="2"/>
  <c r="O584" i="2"/>
  <c r="R584" i="2" s="1"/>
  <c r="P584" i="2"/>
  <c r="N584" i="2"/>
  <c r="O583" i="2"/>
  <c r="R583" i="2" s="1"/>
  <c r="P583" i="2"/>
  <c r="N583" i="2"/>
  <c r="O582" i="2"/>
  <c r="P582" i="2"/>
  <c r="N582" i="2"/>
  <c r="O581" i="2"/>
  <c r="R581" i="2" s="1"/>
  <c r="P581" i="2"/>
  <c r="N581" i="2"/>
  <c r="O580" i="2"/>
  <c r="R580" i="2" s="1"/>
  <c r="P580" i="2"/>
  <c r="N580" i="2"/>
  <c r="O579" i="2"/>
  <c r="R579" i="2" s="1"/>
  <c r="P579" i="2"/>
  <c r="N579" i="2"/>
  <c r="O578" i="2"/>
  <c r="P578" i="2"/>
  <c r="N578" i="2"/>
  <c r="O577" i="2"/>
  <c r="R577" i="2" s="1"/>
  <c r="P577" i="2"/>
  <c r="N577" i="2"/>
  <c r="O576" i="2"/>
  <c r="R576" i="2" s="1"/>
  <c r="P576" i="2"/>
  <c r="N576" i="2"/>
  <c r="O575" i="2"/>
  <c r="R575" i="2" s="1"/>
  <c r="P575" i="2"/>
  <c r="N575" i="2"/>
  <c r="O574" i="2"/>
  <c r="P574" i="2"/>
  <c r="N574" i="2"/>
  <c r="O573" i="2"/>
  <c r="R573" i="2" s="1"/>
  <c r="P573" i="2"/>
  <c r="N573" i="2"/>
  <c r="O572" i="2"/>
  <c r="R572" i="2" s="1"/>
  <c r="P572" i="2"/>
  <c r="N572" i="2"/>
  <c r="O571" i="2"/>
  <c r="R571" i="2" s="1"/>
  <c r="P571" i="2"/>
  <c r="N571" i="2"/>
  <c r="O570" i="2"/>
  <c r="P570" i="2"/>
  <c r="N570" i="2"/>
  <c r="O569" i="2"/>
  <c r="R569" i="2" s="1"/>
  <c r="P569" i="2"/>
  <c r="N569" i="2"/>
  <c r="O568" i="2"/>
  <c r="R568" i="2" s="1"/>
  <c r="P568" i="2"/>
  <c r="N568" i="2"/>
  <c r="O567" i="2"/>
  <c r="R567" i="2" s="1"/>
  <c r="P567" i="2"/>
  <c r="N567" i="2"/>
  <c r="O566" i="2"/>
  <c r="P566" i="2"/>
  <c r="N566" i="2"/>
  <c r="O565" i="2"/>
  <c r="P565" i="2"/>
  <c r="N565" i="2"/>
  <c r="O564" i="2"/>
  <c r="R564" i="2" s="1"/>
  <c r="P564" i="2"/>
  <c r="N564" i="2"/>
  <c r="O563" i="2"/>
  <c r="R563" i="2" s="1"/>
  <c r="P563" i="2"/>
  <c r="N563" i="2"/>
  <c r="O562" i="2"/>
  <c r="P562" i="2"/>
  <c r="N562" i="2"/>
  <c r="O561" i="2"/>
  <c r="R561" i="2" s="1"/>
  <c r="P561" i="2"/>
  <c r="N561" i="2"/>
  <c r="O560" i="2"/>
  <c r="R560" i="2" s="1"/>
  <c r="P560" i="2"/>
  <c r="N560" i="2"/>
  <c r="O559" i="2"/>
  <c r="R559" i="2" s="1"/>
  <c r="P559" i="2"/>
  <c r="N559" i="2"/>
  <c r="O558" i="2"/>
  <c r="P558" i="2"/>
  <c r="N558" i="2"/>
  <c r="O557" i="2"/>
  <c r="P557" i="2"/>
  <c r="N557" i="2"/>
  <c r="O556" i="2"/>
  <c r="R556" i="2" s="1"/>
  <c r="P556" i="2"/>
  <c r="N556" i="2"/>
  <c r="O555" i="2"/>
  <c r="R555" i="2" s="1"/>
  <c r="P555" i="2"/>
  <c r="N555" i="2"/>
  <c r="O554" i="2"/>
  <c r="P554" i="2"/>
  <c r="N554" i="2"/>
  <c r="O553" i="2"/>
  <c r="R553" i="2" s="1"/>
  <c r="P553" i="2"/>
  <c r="N553" i="2"/>
  <c r="O552" i="2"/>
  <c r="R552" i="2" s="1"/>
  <c r="P552" i="2"/>
  <c r="N552" i="2"/>
  <c r="O551" i="2"/>
  <c r="R551" i="2" s="1"/>
  <c r="P551" i="2"/>
  <c r="N551" i="2"/>
  <c r="O550" i="2"/>
  <c r="P550" i="2"/>
  <c r="N550" i="2"/>
  <c r="O549" i="2"/>
  <c r="P549" i="2"/>
  <c r="N549" i="2"/>
  <c r="O548" i="2"/>
  <c r="R548" i="2" s="1"/>
  <c r="P548" i="2"/>
  <c r="N548" i="2"/>
  <c r="O547" i="2"/>
  <c r="R547" i="2" s="1"/>
  <c r="P547" i="2"/>
  <c r="N547" i="2"/>
  <c r="O546" i="2"/>
  <c r="P546" i="2"/>
  <c r="N546" i="2"/>
  <c r="O545" i="2"/>
  <c r="R545" i="2" s="1"/>
  <c r="P545" i="2"/>
  <c r="N545" i="2"/>
  <c r="O544" i="2"/>
  <c r="R544" i="2" s="1"/>
  <c r="P544" i="2"/>
  <c r="N544" i="2"/>
  <c r="O543" i="2"/>
  <c r="R543" i="2" s="1"/>
  <c r="P543" i="2"/>
  <c r="N543" i="2"/>
  <c r="O542" i="2"/>
  <c r="P542" i="2"/>
  <c r="N542" i="2"/>
  <c r="O541" i="2"/>
  <c r="P541" i="2"/>
  <c r="N541" i="2"/>
  <c r="O540" i="2"/>
  <c r="R540" i="2" s="1"/>
  <c r="P540" i="2"/>
  <c r="N540" i="2"/>
  <c r="O539" i="2"/>
  <c r="R539" i="2" s="1"/>
  <c r="P539" i="2"/>
  <c r="N539" i="2"/>
  <c r="O538" i="2"/>
  <c r="P538" i="2"/>
  <c r="N538" i="2"/>
  <c r="O537" i="2"/>
  <c r="P537" i="2"/>
  <c r="N537" i="2"/>
  <c r="O536" i="2"/>
  <c r="R536" i="2" s="1"/>
  <c r="P536" i="2"/>
  <c r="N536" i="2"/>
  <c r="O535" i="2"/>
  <c r="R535" i="2" s="1"/>
  <c r="P535" i="2"/>
  <c r="N535" i="2"/>
  <c r="O534" i="2"/>
  <c r="P534" i="2"/>
  <c r="N534" i="2"/>
  <c r="O533" i="2"/>
  <c r="P533" i="2"/>
  <c r="N533" i="2"/>
  <c r="O532" i="2"/>
  <c r="R532" i="2" s="1"/>
  <c r="P532" i="2"/>
  <c r="N532" i="2"/>
  <c r="O531" i="2"/>
  <c r="R531" i="2" s="1"/>
  <c r="P531" i="2"/>
  <c r="N531" i="2"/>
  <c r="O530" i="2"/>
  <c r="P530" i="2"/>
  <c r="N530" i="2"/>
  <c r="O529" i="2"/>
  <c r="R529" i="2" s="1"/>
  <c r="P529" i="2"/>
  <c r="N529" i="2"/>
  <c r="O528" i="2"/>
  <c r="R528" i="2" s="1"/>
  <c r="P528" i="2"/>
  <c r="N528" i="2"/>
  <c r="O527" i="2"/>
  <c r="R527" i="2" s="1"/>
  <c r="P527" i="2"/>
  <c r="N527" i="2"/>
  <c r="O526" i="2"/>
  <c r="P526" i="2"/>
  <c r="N526" i="2"/>
  <c r="O525" i="2"/>
  <c r="P525" i="2"/>
  <c r="N525" i="2"/>
  <c r="O524" i="2"/>
  <c r="R524" i="2" s="1"/>
  <c r="P524" i="2"/>
  <c r="N524" i="2"/>
  <c r="O523" i="2"/>
  <c r="R523" i="2" s="1"/>
  <c r="P523" i="2"/>
  <c r="N523" i="2"/>
  <c r="O522" i="2"/>
  <c r="P522" i="2"/>
  <c r="N522" i="2"/>
  <c r="O521" i="2"/>
  <c r="P521" i="2"/>
  <c r="N521" i="2"/>
  <c r="O520" i="2"/>
  <c r="R520" i="2" s="1"/>
  <c r="P520" i="2"/>
  <c r="N520" i="2"/>
  <c r="O519" i="2"/>
  <c r="R519" i="2" s="1"/>
  <c r="P519" i="2"/>
  <c r="N519" i="2"/>
  <c r="O518" i="2"/>
  <c r="P518" i="2"/>
  <c r="N518" i="2"/>
  <c r="O517" i="2"/>
  <c r="P517" i="2"/>
  <c r="N517" i="2"/>
  <c r="O516" i="2"/>
  <c r="R516" i="2" s="1"/>
  <c r="P516" i="2"/>
  <c r="N516" i="2"/>
  <c r="O515" i="2"/>
  <c r="R515" i="2" s="1"/>
  <c r="P515" i="2"/>
  <c r="N515" i="2"/>
  <c r="O514" i="2"/>
  <c r="P514" i="2"/>
  <c r="N514" i="2"/>
  <c r="O513" i="2"/>
  <c r="R513" i="2" s="1"/>
  <c r="P513" i="2"/>
  <c r="N513" i="2"/>
  <c r="O512" i="2"/>
  <c r="R512" i="2" s="1"/>
  <c r="P512" i="2"/>
  <c r="N512" i="2"/>
  <c r="O511" i="2"/>
  <c r="R511" i="2" s="1"/>
  <c r="P511" i="2"/>
  <c r="N511" i="2"/>
  <c r="O510" i="2"/>
  <c r="P510" i="2"/>
  <c r="N510" i="2"/>
  <c r="O509" i="2"/>
  <c r="P509" i="2"/>
  <c r="N509" i="2"/>
  <c r="O508" i="2"/>
  <c r="R508" i="2" s="1"/>
  <c r="P508" i="2"/>
  <c r="N508" i="2"/>
  <c r="O507" i="2"/>
  <c r="R507" i="2" s="1"/>
  <c r="P507" i="2"/>
  <c r="N507" i="2"/>
  <c r="O506" i="2"/>
  <c r="P506" i="2"/>
  <c r="N506" i="2"/>
  <c r="O505" i="2"/>
  <c r="P505" i="2"/>
  <c r="N505" i="2"/>
  <c r="O504" i="2"/>
  <c r="R504" i="2" s="1"/>
  <c r="P504" i="2"/>
  <c r="N504" i="2"/>
  <c r="O503" i="2"/>
  <c r="R503" i="2" s="1"/>
  <c r="P503" i="2"/>
  <c r="N503" i="2"/>
  <c r="O502" i="2"/>
  <c r="P502" i="2"/>
  <c r="N502" i="2"/>
  <c r="O501" i="2"/>
  <c r="P501" i="2"/>
  <c r="N501" i="2"/>
  <c r="O500" i="2"/>
  <c r="R500" i="2" s="1"/>
  <c r="P500" i="2"/>
  <c r="N500" i="2"/>
  <c r="O499" i="2"/>
  <c r="R499" i="2" s="1"/>
  <c r="P499" i="2"/>
  <c r="N499" i="2"/>
  <c r="O498" i="2"/>
  <c r="P498" i="2"/>
  <c r="N498" i="2"/>
  <c r="O497" i="2"/>
  <c r="P497" i="2"/>
  <c r="N497" i="2"/>
  <c r="O496" i="2"/>
  <c r="R496" i="2" s="1"/>
  <c r="P496" i="2"/>
  <c r="N496" i="2"/>
  <c r="O495" i="2"/>
  <c r="R495" i="2" s="1"/>
  <c r="P495" i="2"/>
  <c r="N495" i="2"/>
  <c r="O494" i="2"/>
  <c r="P494" i="2"/>
  <c r="N494" i="2"/>
  <c r="O493" i="2"/>
  <c r="P493" i="2"/>
  <c r="N493" i="2"/>
  <c r="O492" i="2"/>
  <c r="R492" i="2" s="1"/>
  <c r="P492" i="2"/>
  <c r="N492" i="2"/>
  <c r="O491" i="2"/>
  <c r="R491" i="2" s="1"/>
  <c r="P491" i="2"/>
  <c r="N491" i="2"/>
  <c r="O490" i="2"/>
  <c r="P490" i="2"/>
  <c r="N490" i="2"/>
  <c r="O489" i="2"/>
  <c r="P489" i="2"/>
  <c r="N489" i="2"/>
  <c r="O488" i="2"/>
  <c r="R488" i="2" s="1"/>
  <c r="P488" i="2"/>
  <c r="N488" i="2"/>
  <c r="O487" i="2"/>
  <c r="R487" i="2" s="1"/>
  <c r="P487" i="2"/>
  <c r="N487" i="2"/>
  <c r="O486" i="2"/>
  <c r="R486" i="2" s="1"/>
  <c r="P486" i="2"/>
  <c r="N486" i="2"/>
  <c r="O485" i="2"/>
  <c r="P485" i="2"/>
  <c r="N485" i="2"/>
  <c r="O484" i="2"/>
  <c r="R484" i="2" s="1"/>
  <c r="P484" i="2"/>
  <c r="N484" i="2"/>
  <c r="O483" i="2"/>
  <c r="R483" i="2" s="1"/>
  <c r="P483" i="2"/>
  <c r="N483" i="2"/>
  <c r="O482" i="2"/>
  <c r="R482" i="2" s="1"/>
  <c r="P482" i="2"/>
  <c r="N482" i="2"/>
  <c r="O481" i="2"/>
  <c r="R481" i="2" s="1"/>
  <c r="P481" i="2"/>
  <c r="N481" i="2"/>
  <c r="O480" i="2"/>
  <c r="R480" i="2" s="1"/>
  <c r="P480" i="2"/>
  <c r="N480" i="2"/>
  <c r="O479" i="2"/>
  <c r="R479" i="2" s="1"/>
  <c r="P479" i="2"/>
  <c r="N479" i="2"/>
  <c r="O478" i="2"/>
  <c r="P478" i="2"/>
  <c r="N478" i="2"/>
  <c r="O477" i="2"/>
  <c r="P477" i="2"/>
  <c r="N477" i="2"/>
  <c r="O476" i="2"/>
  <c r="R476" i="2" s="1"/>
  <c r="P476" i="2"/>
  <c r="N476" i="2"/>
  <c r="O475" i="2"/>
  <c r="R475" i="2" s="1"/>
  <c r="P475" i="2"/>
  <c r="N475" i="2"/>
  <c r="O474" i="2"/>
  <c r="P474" i="2"/>
  <c r="N474" i="2"/>
  <c r="O473" i="2"/>
  <c r="P473" i="2"/>
  <c r="N473" i="2"/>
  <c r="O472" i="2"/>
  <c r="R472" i="2" s="1"/>
  <c r="P472" i="2"/>
  <c r="N472" i="2"/>
  <c r="O471" i="2"/>
  <c r="Q471" i="2" s="1"/>
  <c r="P471" i="2"/>
  <c r="N471" i="2"/>
  <c r="O470" i="2"/>
  <c r="R470" i="2" s="1"/>
  <c r="P470" i="2"/>
  <c r="N470" i="2"/>
  <c r="O469" i="2"/>
  <c r="P469" i="2"/>
  <c r="N469" i="2"/>
  <c r="O468" i="2"/>
  <c r="R468" i="2" s="1"/>
  <c r="P468" i="2"/>
  <c r="N468" i="2"/>
  <c r="O467" i="2"/>
  <c r="Q467" i="2" s="1"/>
  <c r="P467" i="2"/>
  <c r="N467" i="2"/>
  <c r="O466" i="2"/>
  <c r="R466" i="2" s="1"/>
  <c r="P466" i="2"/>
  <c r="N466" i="2"/>
  <c r="O465" i="2"/>
  <c r="P465" i="2"/>
  <c r="N465" i="2"/>
  <c r="O464" i="2"/>
  <c r="R464" i="2" s="1"/>
  <c r="P464" i="2"/>
  <c r="N464" i="2"/>
  <c r="O463" i="2"/>
  <c r="Q463" i="2" s="1"/>
  <c r="P463" i="2"/>
  <c r="N463" i="2"/>
  <c r="O462" i="2"/>
  <c r="R462" i="2" s="1"/>
  <c r="P462" i="2"/>
  <c r="N462" i="2"/>
  <c r="O461" i="2"/>
  <c r="P461" i="2"/>
  <c r="N461" i="2"/>
  <c r="O460" i="2"/>
  <c r="R460" i="2" s="1"/>
  <c r="P460" i="2"/>
  <c r="N460" i="2"/>
  <c r="O459" i="2"/>
  <c r="Q459" i="2" s="1"/>
  <c r="P459" i="2"/>
  <c r="N459" i="2"/>
  <c r="O458" i="2"/>
  <c r="R458" i="2" s="1"/>
  <c r="P458" i="2"/>
  <c r="N458" i="2"/>
  <c r="O457" i="2"/>
  <c r="P457" i="2"/>
  <c r="N457" i="2"/>
  <c r="O456" i="2"/>
  <c r="R456" i="2" s="1"/>
  <c r="P456" i="2"/>
  <c r="N456" i="2"/>
  <c r="O455" i="2"/>
  <c r="Q455" i="2" s="1"/>
  <c r="P455" i="2"/>
  <c r="N455" i="2"/>
  <c r="O454" i="2"/>
  <c r="R454" i="2" s="1"/>
  <c r="P454" i="2"/>
  <c r="N454" i="2"/>
  <c r="O453" i="2"/>
  <c r="P453" i="2"/>
  <c r="N453" i="2"/>
  <c r="O452" i="2"/>
  <c r="R452" i="2" s="1"/>
  <c r="P452" i="2"/>
  <c r="N452" i="2"/>
  <c r="O451" i="2"/>
  <c r="Q451" i="2" s="1"/>
  <c r="P451" i="2"/>
  <c r="N451" i="2"/>
  <c r="O450" i="2"/>
  <c r="R450" i="2" s="1"/>
  <c r="P450" i="2"/>
  <c r="N450" i="2"/>
  <c r="O449" i="2"/>
  <c r="P449" i="2"/>
  <c r="N449" i="2"/>
  <c r="O448" i="2"/>
  <c r="R448" i="2" s="1"/>
  <c r="P448" i="2"/>
  <c r="N448" i="2"/>
  <c r="O447" i="2"/>
  <c r="Q447" i="2" s="1"/>
  <c r="P447" i="2"/>
  <c r="N447" i="2"/>
  <c r="O446" i="2"/>
  <c r="R446" i="2" s="1"/>
  <c r="P446" i="2"/>
  <c r="N446" i="2"/>
  <c r="O445" i="2"/>
  <c r="P445" i="2"/>
  <c r="N445" i="2"/>
  <c r="O444" i="2"/>
  <c r="R444" i="2" s="1"/>
  <c r="P444" i="2"/>
  <c r="N444" i="2"/>
  <c r="O443" i="2"/>
  <c r="Q443" i="2" s="1"/>
  <c r="P443" i="2"/>
  <c r="N443" i="2"/>
  <c r="O442" i="2"/>
  <c r="R442" i="2" s="1"/>
  <c r="P442" i="2"/>
  <c r="N442" i="2"/>
  <c r="O441" i="2"/>
  <c r="P441" i="2"/>
  <c r="N441" i="2"/>
  <c r="O440" i="2"/>
  <c r="R440" i="2" s="1"/>
  <c r="P440" i="2"/>
  <c r="N440" i="2"/>
  <c r="O439" i="2"/>
  <c r="Q439" i="2" s="1"/>
  <c r="P439" i="2"/>
  <c r="N439" i="2"/>
  <c r="O438" i="2"/>
  <c r="R438" i="2" s="1"/>
  <c r="P438" i="2"/>
  <c r="N438" i="2"/>
  <c r="O437" i="2"/>
  <c r="P437" i="2"/>
  <c r="N437" i="2"/>
  <c r="O436" i="2"/>
  <c r="R436" i="2" s="1"/>
  <c r="P436" i="2"/>
  <c r="N436" i="2"/>
  <c r="O435" i="2"/>
  <c r="Q435" i="2" s="1"/>
  <c r="P435" i="2"/>
  <c r="N435" i="2"/>
  <c r="O434" i="2"/>
  <c r="R434" i="2" s="1"/>
  <c r="P434" i="2"/>
  <c r="N434" i="2"/>
  <c r="O433" i="2"/>
  <c r="P433" i="2"/>
  <c r="N433" i="2"/>
  <c r="O432" i="2"/>
  <c r="R432" i="2" s="1"/>
  <c r="P432" i="2"/>
  <c r="N432" i="2"/>
  <c r="O431" i="2"/>
  <c r="Q431" i="2" s="1"/>
  <c r="P431" i="2"/>
  <c r="N431" i="2"/>
  <c r="O430" i="2"/>
  <c r="R430" i="2" s="1"/>
  <c r="P430" i="2"/>
  <c r="N430" i="2"/>
  <c r="O429" i="2"/>
  <c r="P429" i="2"/>
  <c r="N429" i="2"/>
  <c r="O428" i="2"/>
  <c r="R428" i="2" s="1"/>
  <c r="P428" i="2"/>
  <c r="N428" i="2"/>
  <c r="O427" i="2"/>
  <c r="Q427" i="2" s="1"/>
  <c r="P427" i="2"/>
  <c r="N427" i="2"/>
  <c r="O426" i="2"/>
  <c r="R426" i="2" s="1"/>
  <c r="P426" i="2"/>
  <c r="N426" i="2"/>
  <c r="O425" i="2"/>
  <c r="P425" i="2"/>
  <c r="N425" i="2"/>
  <c r="O424" i="2"/>
  <c r="R424" i="2" s="1"/>
  <c r="P424" i="2"/>
  <c r="N424" i="2"/>
  <c r="O423" i="2"/>
  <c r="Q423" i="2" s="1"/>
  <c r="P423" i="2"/>
  <c r="N423" i="2"/>
  <c r="O422" i="2"/>
  <c r="R422" i="2" s="1"/>
  <c r="P422" i="2"/>
  <c r="N422" i="2"/>
  <c r="O421" i="2"/>
  <c r="P421" i="2"/>
  <c r="N421" i="2"/>
  <c r="O420" i="2"/>
  <c r="R420" i="2" s="1"/>
  <c r="P420" i="2"/>
  <c r="N420" i="2"/>
  <c r="O419" i="2"/>
  <c r="Q419" i="2" s="1"/>
  <c r="P419" i="2"/>
  <c r="N419" i="2"/>
  <c r="O418" i="2"/>
  <c r="R418" i="2" s="1"/>
  <c r="P418" i="2"/>
  <c r="N418" i="2"/>
  <c r="O417" i="2"/>
  <c r="P417" i="2"/>
  <c r="N417" i="2"/>
  <c r="O416" i="2"/>
  <c r="R416" i="2" s="1"/>
  <c r="P416" i="2"/>
  <c r="N416" i="2"/>
  <c r="O415" i="2"/>
  <c r="Q415" i="2" s="1"/>
  <c r="P415" i="2"/>
  <c r="N415" i="2"/>
  <c r="O414" i="2"/>
  <c r="R414" i="2" s="1"/>
  <c r="P414" i="2"/>
  <c r="N414" i="2"/>
  <c r="O413" i="2"/>
  <c r="P413" i="2"/>
  <c r="N413" i="2"/>
  <c r="O412" i="2"/>
  <c r="R412" i="2" s="1"/>
  <c r="P412" i="2"/>
  <c r="N412" i="2"/>
  <c r="O411" i="2"/>
  <c r="Q411" i="2" s="1"/>
  <c r="P411" i="2"/>
  <c r="N411" i="2"/>
  <c r="O410" i="2"/>
  <c r="R410" i="2" s="1"/>
  <c r="P410" i="2"/>
  <c r="N410" i="2"/>
  <c r="O409" i="2"/>
  <c r="P409" i="2"/>
  <c r="N409" i="2"/>
  <c r="O408" i="2"/>
  <c r="R408" i="2" s="1"/>
  <c r="P408" i="2"/>
  <c r="N408" i="2"/>
  <c r="O407" i="2"/>
  <c r="Q407" i="2" s="1"/>
  <c r="P407" i="2"/>
  <c r="N407" i="2"/>
  <c r="O406" i="2"/>
  <c r="R406" i="2" s="1"/>
  <c r="P406" i="2"/>
  <c r="N406" i="2"/>
  <c r="O405" i="2"/>
  <c r="P405" i="2"/>
  <c r="N405" i="2"/>
  <c r="O404" i="2"/>
  <c r="R404" i="2" s="1"/>
  <c r="P404" i="2"/>
  <c r="N404" i="2"/>
  <c r="O403" i="2"/>
  <c r="Q403" i="2" s="1"/>
  <c r="P403" i="2"/>
  <c r="N403" i="2"/>
  <c r="O402" i="2"/>
  <c r="R402" i="2" s="1"/>
  <c r="P402" i="2"/>
  <c r="N402" i="2"/>
  <c r="O401" i="2"/>
  <c r="P401" i="2"/>
  <c r="N401" i="2"/>
  <c r="O400" i="2"/>
  <c r="R400" i="2" s="1"/>
  <c r="P400" i="2"/>
  <c r="N400" i="2"/>
  <c r="O399" i="2"/>
  <c r="Q399" i="2" s="1"/>
  <c r="P399" i="2"/>
  <c r="N399" i="2"/>
  <c r="O398" i="2"/>
  <c r="R398" i="2" s="1"/>
  <c r="P398" i="2"/>
  <c r="N398" i="2"/>
  <c r="O397" i="2"/>
  <c r="P397" i="2"/>
  <c r="N397" i="2"/>
  <c r="O396" i="2"/>
  <c r="R396" i="2" s="1"/>
  <c r="P396" i="2"/>
  <c r="N396" i="2"/>
  <c r="O395" i="2"/>
  <c r="Q395" i="2" s="1"/>
  <c r="P395" i="2"/>
  <c r="N395" i="2"/>
  <c r="O394" i="2"/>
  <c r="R394" i="2" s="1"/>
  <c r="P394" i="2"/>
  <c r="N394" i="2"/>
  <c r="O393" i="2"/>
  <c r="P393" i="2"/>
  <c r="N393" i="2"/>
  <c r="O392" i="2"/>
  <c r="R392" i="2" s="1"/>
  <c r="P392" i="2"/>
  <c r="N392" i="2"/>
  <c r="O391" i="2"/>
  <c r="Q391" i="2" s="1"/>
  <c r="P391" i="2"/>
  <c r="N391" i="2"/>
  <c r="O390" i="2"/>
  <c r="R390" i="2" s="1"/>
  <c r="P390" i="2"/>
  <c r="N390" i="2"/>
  <c r="O389" i="2"/>
  <c r="P389" i="2"/>
  <c r="N389" i="2"/>
  <c r="O388" i="2"/>
  <c r="R388" i="2" s="1"/>
  <c r="P388" i="2"/>
  <c r="N388" i="2"/>
  <c r="O387" i="2"/>
  <c r="Q387" i="2" s="1"/>
  <c r="P387" i="2"/>
  <c r="N387" i="2"/>
  <c r="O386" i="2"/>
  <c r="R386" i="2" s="1"/>
  <c r="P386" i="2"/>
  <c r="N386" i="2"/>
  <c r="O385" i="2"/>
  <c r="P385" i="2"/>
  <c r="N385" i="2"/>
  <c r="O384" i="2"/>
  <c r="R384" i="2" s="1"/>
  <c r="P384" i="2"/>
  <c r="N384" i="2"/>
  <c r="O383" i="2"/>
  <c r="Q383" i="2" s="1"/>
  <c r="P383" i="2"/>
  <c r="N383" i="2"/>
  <c r="O382" i="2"/>
  <c r="R382" i="2" s="1"/>
  <c r="P382" i="2"/>
  <c r="N382" i="2"/>
  <c r="O381" i="2"/>
  <c r="P381" i="2"/>
  <c r="N381" i="2"/>
  <c r="O380" i="2"/>
  <c r="R380" i="2" s="1"/>
  <c r="P380" i="2"/>
  <c r="N380" i="2"/>
  <c r="O379" i="2"/>
  <c r="Q379" i="2" s="1"/>
  <c r="P379" i="2"/>
  <c r="N379" i="2"/>
  <c r="O378" i="2"/>
  <c r="R378" i="2" s="1"/>
  <c r="P378" i="2"/>
  <c r="N378" i="2"/>
  <c r="O377" i="2"/>
  <c r="P377" i="2"/>
  <c r="N377" i="2"/>
  <c r="O376" i="2"/>
  <c r="R376" i="2" s="1"/>
  <c r="P376" i="2"/>
  <c r="N376" i="2"/>
  <c r="O375" i="2"/>
  <c r="Q375" i="2" s="1"/>
  <c r="P375" i="2"/>
  <c r="N375" i="2"/>
  <c r="O374" i="2"/>
  <c r="R374" i="2" s="1"/>
  <c r="P374" i="2"/>
  <c r="N374" i="2"/>
  <c r="O373" i="2"/>
  <c r="P373" i="2"/>
  <c r="N373" i="2"/>
  <c r="O372" i="2"/>
  <c r="R372" i="2" s="1"/>
  <c r="P372" i="2"/>
  <c r="N372" i="2"/>
  <c r="O371" i="2"/>
  <c r="Q371" i="2" s="1"/>
  <c r="P371" i="2"/>
  <c r="N371" i="2"/>
  <c r="O370" i="2"/>
  <c r="R370" i="2" s="1"/>
  <c r="P370" i="2"/>
  <c r="N370" i="2"/>
  <c r="O369" i="2"/>
  <c r="P369" i="2"/>
  <c r="N369" i="2"/>
  <c r="O368" i="2"/>
  <c r="R368" i="2" s="1"/>
  <c r="P368" i="2"/>
  <c r="N368" i="2"/>
  <c r="O367" i="2"/>
  <c r="Q367" i="2" s="1"/>
  <c r="P367" i="2"/>
  <c r="N367" i="2"/>
  <c r="O366" i="2"/>
  <c r="R366" i="2" s="1"/>
  <c r="P366" i="2"/>
  <c r="N366" i="2"/>
  <c r="O365" i="2"/>
  <c r="P365" i="2"/>
  <c r="N365" i="2"/>
  <c r="O364" i="2"/>
  <c r="R364" i="2" s="1"/>
  <c r="P364" i="2"/>
  <c r="N364" i="2"/>
  <c r="O363" i="2"/>
  <c r="Q363" i="2" s="1"/>
  <c r="P363" i="2"/>
  <c r="N363" i="2"/>
  <c r="O362" i="2"/>
  <c r="R362" i="2" s="1"/>
  <c r="P362" i="2"/>
  <c r="N362" i="2"/>
  <c r="O361" i="2"/>
  <c r="P361" i="2"/>
  <c r="N361" i="2"/>
  <c r="O360" i="2"/>
  <c r="R360" i="2" s="1"/>
  <c r="P360" i="2"/>
  <c r="N360" i="2"/>
  <c r="O359" i="2"/>
  <c r="Q359" i="2" s="1"/>
  <c r="P359" i="2"/>
  <c r="N359" i="2"/>
  <c r="O358" i="2"/>
  <c r="R358" i="2" s="1"/>
  <c r="P358" i="2"/>
  <c r="N358" i="2"/>
  <c r="O357" i="2"/>
  <c r="P357" i="2"/>
  <c r="N357" i="2"/>
  <c r="O356" i="2"/>
  <c r="R356" i="2" s="1"/>
  <c r="P356" i="2"/>
  <c r="N356" i="2"/>
  <c r="O355" i="2"/>
  <c r="Q355" i="2" s="1"/>
  <c r="P355" i="2"/>
  <c r="N355" i="2"/>
  <c r="O354" i="2"/>
  <c r="R354" i="2" s="1"/>
  <c r="P354" i="2"/>
  <c r="N354" i="2"/>
  <c r="O353" i="2"/>
  <c r="P353" i="2"/>
  <c r="N353" i="2"/>
  <c r="O352" i="2"/>
  <c r="R352" i="2" s="1"/>
  <c r="P352" i="2"/>
  <c r="N352" i="2"/>
  <c r="O351" i="2"/>
  <c r="Q351" i="2" s="1"/>
  <c r="P351" i="2"/>
  <c r="N351" i="2"/>
  <c r="O350" i="2"/>
  <c r="R350" i="2" s="1"/>
  <c r="P350" i="2"/>
  <c r="N350" i="2"/>
  <c r="O349" i="2"/>
  <c r="P349" i="2"/>
  <c r="N349" i="2"/>
  <c r="O348" i="2"/>
  <c r="R348" i="2" s="1"/>
  <c r="P348" i="2"/>
  <c r="N348" i="2"/>
  <c r="O347" i="2"/>
  <c r="Q347" i="2" s="1"/>
  <c r="P347" i="2"/>
  <c r="N347" i="2"/>
  <c r="O346" i="2"/>
  <c r="R346" i="2" s="1"/>
  <c r="P346" i="2"/>
  <c r="N346" i="2"/>
  <c r="O345" i="2"/>
  <c r="P345" i="2"/>
  <c r="N345" i="2"/>
  <c r="O344" i="2"/>
  <c r="R344" i="2" s="1"/>
  <c r="P344" i="2"/>
  <c r="N344" i="2"/>
  <c r="O343" i="2"/>
  <c r="Q343" i="2" s="1"/>
  <c r="P343" i="2"/>
  <c r="N343" i="2"/>
  <c r="O342" i="2"/>
  <c r="R342" i="2" s="1"/>
  <c r="P342" i="2"/>
  <c r="N342" i="2"/>
  <c r="O341" i="2"/>
  <c r="P341" i="2"/>
  <c r="N341" i="2"/>
  <c r="O340" i="2"/>
  <c r="R340" i="2" s="1"/>
  <c r="P340" i="2"/>
  <c r="N340" i="2"/>
  <c r="O339" i="2"/>
  <c r="Q339" i="2" s="1"/>
  <c r="P339" i="2"/>
  <c r="N339" i="2"/>
  <c r="O338" i="2"/>
  <c r="R338" i="2" s="1"/>
  <c r="P338" i="2"/>
  <c r="N338" i="2"/>
  <c r="O337" i="2"/>
  <c r="P337" i="2"/>
  <c r="N337" i="2"/>
  <c r="O336" i="2"/>
  <c r="R336" i="2" s="1"/>
  <c r="P336" i="2"/>
  <c r="N336" i="2"/>
  <c r="O335" i="2"/>
  <c r="Q335" i="2" s="1"/>
  <c r="P335" i="2"/>
  <c r="N335" i="2"/>
  <c r="O334" i="2"/>
  <c r="R334" i="2" s="1"/>
  <c r="P334" i="2"/>
  <c r="N334" i="2"/>
  <c r="O333" i="2"/>
  <c r="P333" i="2"/>
  <c r="N333" i="2"/>
  <c r="O332" i="2"/>
  <c r="R332" i="2" s="1"/>
  <c r="P332" i="2"/>
  <c r="N332" i="2"/>
  <c r="O331" i="2"/>
  <c r="Q331" i="2" s="1"/>
  <c r="P331" i="2"/>
  <c r="N331" i="2"/>
  <c r="O330" i="2"/>
  <c r="R330" i="2" s="1"/>
  <c r="P330" i="2"/>
  <c r="N330" i="2"/>
  <c r="O329" i="2"/>
  <c r="P329" i="2"/>
  <c r="N329" i="2"/>
  <c r="O328" i="2"/>
  <c r="R328" i="2" s="1"/>
  <c r="P328" i="2"/>
  <c r="N328" i="2"/>
  <c r="O327" i="2"/>
  <c r="Q327" i="2" s="1"/>
  <c r="P327" i="2"/>
  <c r="N327" i="2"/>
  <c r="O326" i="2"/>
  <c r="R326" i="2" s="1"/>
  <c r="P326" i="2"/>
  <c r="N326" i="2"/>
  <c r="O325" i="2"/>
  <c r="P325" i="2"/>
  <c r="N325" i="2"/>
  <c r="O324" i="2"/>
  <c r="R324" i="2" s="1"/>
  <c r="P324" i="2"/>
  <c r="N324" i="2"/>
  <c r="O323" i="2"/>
  <c r="Q323" i="2" s="1"/>
  <c r="P323" i="2"/>
  <c r="N323" i="2"/>
  <c r="O322" i="2"/>
  <c r="R322" i="2" s="1"/>
  <c r="P322" i="2"/>
  <c r="N322" i="2"/>
  <c r="O321" i="2"/>
  <c r="P321" i="2"/>
  <c r="N321" i="2"/>
  <c r="O320" i="2"/>
  <c r="R320" i="2" s="1"/>
  <c r="P320" i="2"/>
  <c r="N320" i="2"/>
  <c r="O319" i="2"/>
  <c r="Q319" i="2" s="1"/>
  <c r="P319" i="2"/>
  <c r="N319" i="2"/>
  <c r="O318" i="2"/>
  <c r="R318" i="2" s="1"/>
  <c r="P318" i="2"/>
  <c r="N318" i="2"/>
  <c r="O317" i="2"/>
  <c r="P317" i="2"/>
  <c r="N317" i="2"/>
  <c r="O316" i="2"/>
  <c r="R316" i="2" s="1"/>
  <c r="P316" i="2"/>
  <c r="N316" i="2"/>
  <c r="O315" i="2"/>
  <c r="Q315" i="2" s="1"/>
  <c r="P315" i="2"/>
  <c r="N315" i="2"/>
  <c r="O314" i="2"/>
  <c r="R314" i="2" s="1"/>
  <c r="P314" i="2"/>
  <c r="N314" i="2"/>
  <c r="O313" i="2"/>
  <c r="P313" i="2"/>
  <c r="N313" i="2"/>
  <c r="O312" i="2"/>
  <c r="R312" i="2" s="1"/>
  <c r="P312" i="2"/>
  <c r="N312" i="2"/>
  <c r="O311" i="2"/>
  <c r="Q311" i="2" s="1"/>
  <c r="P311" i="2"/>
  <c r="N311" i="2"/>
  <c r="O310" i="2"/>
  <c r="R310" i="2" s="1"/>
  <c r="P310" i="2"/>
  <c r="N310" i="2"/>
  <c r="O309" i="2"/>
  <c r="P309" i="2"/>
  <c r="N309" i="2"/>
  <c r="O308" i="2"/>
  <c r="R308" i="2" s="1"/>
  <c r="P308" i="2"/>
  <c r="N308" i="2"/>
  <c r="O307" i="2"/>
  <c r="Q307" i="2" s="1"/>
  <c r="P307" i="2"/>
  <c r="N307" i="2"/>
  <c r="O306" i="2"/>
  <c r="R306" i="2" s="1"/>
  <c r="P306" i="2"/>
  <c r="N306" i="2"/>
  <c r="O305" i="2"/>
  <c r="P305" i="2"/>
  <c r="N305" i="2"/>
  <c r="O304" i="2"/>
  <c r="R304" i="2" s="1"/>
  <c r="P304" i="2"/>
  <c r="N304" i="2"/>
  <c r="O303" i="2"/>
  <c r="Q303" i="2" s="1"/>
  <c r="P303" i="2"/>
  <c r="N303" i="2"/>
  <c r="O302" i="2"/>
  <c r="R302" i="2" s="1"/>
  <c r="P302" i="2"/>
  <c r="N302" i="2"/>
  <c r="O301" i="2"/>
  <c r="P301" i="2"/>
  <c r="N301" i="2"/>
  <c r="O300" i="2"/>
  <c r="R300" i="2" s="1"/>
  <c r="P300" i="2"/>
  <c r="N300" i="2"/>
  <c r="O299" i="2"/>
  <c r="Q299" i="2" s="1"/>
  <c r="P299" i="2"/>
  <c r="N299" i="2"/>
  <c r="O298" i="2"/>
  <c r="R298" i="2" s="1"/>
  <c r="P298" i="2"/>
  <c r="N298" i="2"/>
  <c r="O297" i="2"/>
  <c r="R297" i="2" s="1"/>
  <c r="P297" i="2"/>
  <c r="N297" i="2"/>
  <c r="O296" i="2"/>
  <c r="R296" i="2" s="1"/>
  <c r="P296" i="2"/>
  <c r="N296" i="2"/>
  <c r="O295" i="2"/>
  <c r="R295" i="2" s="1"/>
  <c r="P295" i="2"/>
  <c r="N295" i="2"/>
  <c r="N130" i="2"/>
  <c r="O294" i="2"/>
  <c r="Q294" i="2" s="1"/>
  <c r="P294" i="2"/>
  <c r="N294" i="2"/>
  <c r="O293" i="2"/>
  <c r="R293" i="2" s="1"/>
  <c r="P293" i="2"/>
  <c r="N293" i="2"/>
  <c r="O292" i="2"/>
  <c r="P292" i="2"/>
  <c r="N292" i="2"/>
  <c r="O291" i="2"/>
  <c r="R291" i="2" s="1"/>
  <c r="P291" i="2"/>
  <c r="N291" i="2"/>
  <c r="O290" i="2"/>
  <c r="Q290" i="2" s="1"/>
  <c r="P290" i="2"/>
  <c r="N290" i="2"/>
  <c r="O289" i="2"/>
  <c r="R289" i="2" s="1"/>
  <c r="P289" i="2"/>
  <c r="N289" i="2"/>
  <c r="O288" i="2"/>
  <c r="P288" i="2"/>
  <c r="N288" i="2"/>
  <c r="O287" i="2"/>
  <c r="R287" i="2" s="1"/>
  <c r="P287" i="2"/>
  <c r="N287" i="2"/>
  <c r="O286" i="2"/>
  <c r="Q286" i="2" s="1"/>
  <c r="P286" i="2"/>
  <c r="N286" i="2"/>
  <c r="O285" i="2"/>
  <c r="R285" i="2" s="1"/>
  <c r="P285" i="2"/>
  <c r="N285" i="2"/>
  <c r="O284" i="2"/>
  <c r="P284" i="2"/>
  <c r="N284" i="2"/>
  <c r="O283" i="2"/>
  <c r="R283" i="2" s="1"/>
  <c r="P283" i="2"/>
  <c r="N283" i="2"/>
  <c r="O282" i="2"/>
  <c r="Q282" i="2" s="1"/>
  <c r="P282" i="2"/>
  <c r="N282" i="2"/>
  <c r="O281" i="2"/>
  <c r="R281" i="2" s="1"/>
  <c r="P281" i="2"/>
  <c r="N281" i="2"/>
  <c r="O280" i="2"/>
  <c r="P280" i="2"/>
  <c r="N280" i="2"/>
  <c r="O279" i="2"/>
  <c r="R279" i="2" s="1"/>
  <c r="P279" i="2"/>
  <c r="N279" i="2"/>
  <c r="O278" i="2"/>
  <c r="Q278" i="2" s="1"/>
  <c r="P278" i="2"/>
  <c r="N278" i="2"/>
  <c r="O277" i="2"/>
  <c r="R277" i="2" s="1"/>
  <c r="P277" i="2"/>
  <c r="N277" i="2"/>
  <c r="O276" i="2"/>
  <c r="P276" i="2"/>
  <c r="N276" i="2"/>
  <c r="O275" i="2"/>
  <c r="R275" i="2" s="1"/>
  <c r="P275" i="2"/>
  <c r="N275" i="2"/>
  <c r="O274" i="2"/>
  <c r="Q274" i="2" s="1"/>
  <c r="P274" i="2"/>
  <c r="N274" i="2"/>
  <c r="O273" i="2"/>
  <c r="R273" i="2" s="1"/>
  <c r="P273" i="2"/>
  <c r="N273" i="2"/>
  <c r="O272" i="2"/>
  <c r="P272" i="2"/>
  <c r="N272" i="2"/>
  <c r="O271" i="2"/>
  <c r="R271" i="2" s="1"/>
  <c r="P271" i="2"/>
  <c r="N271" i="2"/>
  <c r="O270" i="2"/>
  <c r="Q270" i="2" s="1"/>
  <c r="P270" i="2"/>
  <c r="N270" i="2"/>
  <c r="O269" i="2"/>
  <c r="R269" i="2" s="1"/>
  <c r="P269" i="2"/>
  <c r="N269" i="2"/>
  <c r="O268" i="2"/>
  <c r="P268" i="2"/>
  <c r="N268" i="2"/>
  <c r="O267" i="2"/>
  <c r="R267" i="2" s="1"/>
  <c r="P267" i="2"/>
  <c r="N267" i="2"/>
  <c r="O266" i="2"/>
  <c r="Q266" i="2" s="1"/>
  <c r="P266" i="2"/>
  <c r="N266" i="2"/>
  <c r="O265" i="2"/>
  <c r="R265" i="2" s="1"/>
  <c r="P265" i="2"/>
  <c r="N265" i="2"/>
  <c r="O264" i="2"/>
  <c r="P264" i="2"/>
  <c r="N264" i="2"/>
  <c r="O263" i="2"/>
  <c r="R263" i="2" s="1"/>
  <c r="P263" i="2"/>
  <c r="N263" i="2"/>
  <c r="O262" i="2"/>
  <c r="Q262" i="2" s="1"/>
  <c r="P262" i="2"/>
  <c r="N262" i="2"/>
  <c r="O261" i="2"/>
  <c r="R261" i="2" s="1"/>
  <c r="P261" i="2"/>
  <c r="N261" i="2"/>
  <c r="O260" i="2"/>
  <c r="P260" i="2"/>
  <c r="N260" i="2"/>
  <c r="O259" i="2"/>
  <c r="R259" i="2" s="1"/>
  <c r="P259" i="2"/>
  <c r="N259" i="2"/>
  <c r="O258" i="2"/>
  <c r="Q258" i="2" s="1"/>
  <c r="P258" i="2"/>
  <c r="N258" i="2"/>
  <c r="O257" i="2"/>
  <c r="R257" i="2" s="1"/>
  <c r="P257" i="2"/>
  <c r="N257" i="2"/>
  <c r="O256" i="2"/>
  <c r="P256" i="2"/>
  <c r="N256" i="2"/>
  <c r="O255" i="2"/>
  <c r="R255" i="2" s="1"/>
  <c r="P255" i="2"/>
  <c r="N255" i="2"/>
  <c r="O254" i="2"/>
  <c r="Q254" i="2" s="1"/>
  <c r="P254" i="2"/>
  <c r="N254" i="2"/>
  <c r="O253" i="2"/>
  <c r="R253" i="2" s="1"/>
  <c r="P253" i="2"/>
  <c r="N253" i="2"/>
  <c r="O252" i="2"/>
  <c r="P252" i="2"/>
  <c r="N252" i="2"/>
  <c r="O251" i="2"/>
  <c r="R251" i="2" s="1"/>
  <c r="P251" i="2"/>
  <c r="N251" i="2"/>
  <c r="O250" i="2"/>
  <c r="Q250" i="2" s="1"/>
  <c r="P250" i="2"/>
  <c r="N250" i="2"/>
  <c r="O249" i="2"/>
  <c r="R249" i="2" s="1"/>
  <c r="P249" i="2"/>
  <c r="N249" i="2"/>
  <c r="O248" i="2"/>
  <c r="P248" i="2"/>
  <c r="N248" i="2"/>
  <c r="O247" i="2"/>
  <c r="R247" i="2" s="1"/>
  <c r="P247" i="2"/>
  <c r="N247" i="2"/>
  <c r="O246" i="2"/>
  <c r="Q246" i="2" s="1"/>
  <c r="P246" i="2"/>
  <c r="N246" i="2"/>
  <c r="O245" i="2"/>
  <c r="R245" i="2" s="1"/>
  <c r="P245" i="2"/>
  <c r="N245" i="2"/>
  <c r="O244" i="2"/>
  <c r="P244" i="2"/>
  <c r="N244" i="2"/>
  <c r="O243" i="2"/>
  <c r="R243" i="2" s="1"/>
  <c r="P243" i="2"/>
  <c r="N243" i="2"/>
  <c r="O242" i="2"/>
  <c r="Q242" i="2" s="1"/>
  <c r="P242" i="2"/>
  <c r="N242" i="2"/>
  <c r="O241" i="2"/>
  <c r="R241" i="2" s="1"/>
  <c r="P241" i="2"/>
  <c r="N241" i="2"/>
  <c r="O240" i="2"/>
  <c r="P240" i="2"/>
  <c r="N240" i="2"/>
  <c r="O239" i="2"/>
  <c r="R239" i="2" s="1"/>
  <c r="P239" i="2"/>
  <c r="N239" i="2"/>
  <c r="O238" i="2"/>
  <c r="Q238" i="2" s="1"/>
  <c r="P238" i="2"/>
  <c r="N238" i="2"/>
  <c r="O237" i="2"/>
  <c r="R237" i="2" s="1"/>
  <c r="P237" i="2"/>
  <c r="N237" i="2"/>
  <c r="O236" i="2"/>
  <c r="P236" i="2"/>
  <c r="N236" i="2"/>
  <c r="O235" i="2"/>
  <c r="R235" i="2" s="1"/>
  <c r="P235" i="2"/>
  <c r="N235" i="2"/>
  <c r="O234" i="2"/>
  <c r="Q234" i="2" s="1"/>
  <c r="P234" i="2"/>
  <c r="N234" i="2"/>
  <c r="O233" i="2"/>
  <c r="R233" i="2" s="1"/>
  <c r="P233" i="2"/>
  <c r="N233" i="2"/>
  <c r="O232" i="2"/>
  <c r="P232" i="2"/>
  <c r="N232" i="2"/>
  <c r="O231" i="2"/>
  <c r="R231" i="2" s="1"/>
  <c r="P231" i="2"/>
  <c r="N231" i="2"/>
  <c r="O230" i="2"/>
  <c r="Q230" i="2" s="1"/>
  <c r="P230" i="2"/>
  <c r="N230" i="2"/>
  <c r="O229" i="2"/>
  <c r="R229" i="2" s="1"/>
  <c r="P229" i="2"/>
  <c r="N229" i="2"/>
  <c r="O228" i="2"/>
  <c r="P228" i="2"/>
  <c r="N228" i="2"/>
  <c r="O227" i="2"/>
  <c r="R227" i="2" s="1"/>
  <c r="P227" i="2"/>
  <c r="N227" i="2"/>
  <c r="O226" i="2"/>
  <c r="Q226" i="2" s="1"/>
  <c r="P226" i="2"/>
  <c r="N226" i="2"/>
  <c r="O225" i="2"/>
  <c r="R225" i="2" s="1"/>
  <c r="P225" i="2"/>
  <c r="N225" i="2"/>
  <c r="O224" i="2"/>
  <c r="P224" i="2"/>
  <c r="N224" i="2"/>
  <c r="O223" i="2"/>
  <c r="R223" i="2" s="1"/>
  <c r="P223" i="2"/>
  <c r="N223" i="2"/>
  <c r="O222" i="2"/>
  <c r="Q222" i="2" s="1"/>
  <c r="P222" i="2"/>
  <c r="N222" i="2"/>
  <c r="O221" i="2"/>
  <c r="R221" i="2" s="1"/>
  <c r="P221" i="2"/>
  <c r="N221" i="2"/>
  <c r="O220" i="2"/>
  <c r="P220" i="2"/>
  <c r="N220" i="2"/>
  <c r="O219" i="2"/>
  <c r="R219" i="2" s="1"/>
  <c r="P219" i="2"/>
  <c r="N219" i="2"/>
  <c r="O218" i="2"/>
  <c r="Q218" i="2" s="1"/>
  <c r="P218" i="2"/>
  <c r="N218" i="2"/>
  <c r="O217" i="2"/>
  <c r="R217" i="2" s="1"/>
  <c r="P217" i="2"/>
  <c r="N217" i="2"/>
  <c r="O216" i="2"/>
  <c r="P216" i="2"/>
  <c r="N216" i="2"/>
  <c r="O215" i="2"/>
  <c r="R215" i="2" s="1"/>
  <c r="P215" i="2"/>
  <c r="N215" i="2"/>
  <c r="O214" i="2"/>
  <c r="Q214" i="2" s="1"/>
  <c r="P214" i="2"/>
  <c r="N214" i="2"/>
  <c r="O213" i="2"/>
  <c r="R213" i="2" s="1"/>
  <c r="P213" i="2"/>
  <c r="N213" i="2"/>
  <c r="O212" i="2"/>
  <c r="P212" i="2"/>
  <c r="N212" i="2"/>
  <c r="O211" i="2"/>
  <c r="R211" i="2" s="1"/>
  <c r="P211" i="2"/>
  <c r="N211" i="2"/>
  <c r="O210" i="2"/>
  <c r="Q210" i="2" s="1"/>
  <c r="P210" i="2"/>
  <c r="N210" i="2"/>
  <c r="O209" i="2"/>
  <c r="R209" i="2" s="1"/>
  <c r="P209" i="2"/>
  <c r="N209" i="2"/>
  <c r="O208" i="2"/>
  <c r="P208" i="2"/>
  <c r="N208" i="2"/>
  <c r="O207" i="2"/>
  <c r="R207" i="2" s="1"/>
  <c r="P207" i="2"/>
  <c r="N207" i="2"/>
  <c r="O206" i="2"/>
  <c r="Q206" i="2" s="1"/>
  <c r="P206" i="2"/>
  <c r="N206" i="2"/>
  <c r="O205" i="2"/>
  <c r="R205" i="2" s="1"/>
  <c r="P205" i="2"/>
  <c r="N205" i="2"/>
  <c r="O204" i="2"/>
  <c r="P204" i="2"/>
  <c r="N204" i="2"/>
  <c r="O203" i="2"/>
  <c r="R203" i="2" s="1"/>
  <c r="P203" i="2"/>
  <c r="N203" i="2"/>
  <c r="O202" i="2"/>
  <c r="Q202" i="2" s="1"/>
  <c r="P202" i="2"/>
  <c r="N202" i="2"/>
  <c r="O201" i="2"/>
  <c r="R201" i="2" s="1"/>
  <c r="P201" i="2"/>
  <c r="N201" i="2"/>
  <c r="O200" i="2"/>
  <c r="P200" i="2"/>
  <c r="N200" i="2"/>
  <c r="O199" i="2"/>
  <c r="R199" i="2" s="1"/>
  <c r="P199" i="2"/>
  <c r="N199" i="2"/>
  <c r="O198" i="2"/>
  <c r="Q198" i="2" s="1"/>
  <c r="P198" i="2"/>
  <c r="N198" i="2"/>
  <c r="O197" i="2"/>
  <c r="R197" i="2" s="1"/>
  <c r="P197" i="2"/>
  <c r="N197" i="2"/>
  <c r="O196" i="2"/>
  <c r="P196" i="2"/>
  <c r="N196" i="2"/>
  <c r="O195" i="2"/>
  <c r="R195" i="2" s="1"/>
  <c r="P195" i="2"/>
  <c r="N195" i="2"/>
  <c r="O194" i="2"/>
  <c r="Q194" i="2" s="1"/>
  <c r="P194" i="2"/>
  <c r="N194" i="2"/>
  <c r="O193" i="2"/>
  <c r="R193" i="2" s="1"/>
  <c r="P193" i="2"/>
  <c r="N193" i="2"/>
  <c r="O192" i="2"/>
  <c r="P192" i="2"/>
  <c r="N192" i="2"/>
  <c r="O191" i="2"/>
  <c r="R191" i="2" s="1"/>
  <c r="P191" i="2"/>
  <c r="N191" i="2"/>
  <c r="O190" i="2"/>
  <c r="Q190" i="2" s="1"/>
  <c r="P190" i="2"/>
  <c r="N190" i="2"/>
  <c r="O189" i="2"/>
  <c r="R189" i="2" s="1"/>
  <c r="P189" i="2"/>
  <c r="N189" i="2"/>
  <c r="O188" i="2"/>
  <c r="R188" i="2" s="1"/>
  <c r="P188" i="2"/>
  <c r="N188" i="2"/>
  <c r="O187" i="2"/>
  <c r="R187" i="2" s="1"/>
  <c r="P187" i="2"/>
  <c r="N187" i="2"/>
  <c r="O186" i="2"/>
  <c r="R186" i="2" s="1"/>
  <c r="P186" i="2"/>
  <c r="N186" i="2"/>
  <c r="O185" i="2"/>
  <c r="R185" i="2" s="1"/>
  <c r="P185" i="2"/>
  <c r="N185" i="2"/>
  <c r="O184" i="2"/>
  <c r="R184" i="2" s="1"/>
  <c r="P184" i="2"/>
  <c r="N184" i="2"/>
  <c r="O183" i="2"/>
  <c r="R183" i="2" s="1"/>
  <c r="P183" i="2"/>
  <c r="N183" i="2"/>
  <c r="O182" i="2"/>
  <c r="R182" i="2" s="1"/>
  <c r="P182" i="2"/>
  <c r="N182" i="2"/>
  <c r="O181" i="2"/>
  <c r="R181" i="2" s="1"/>
  <c r="P181" i="2"/>
  <c r="N181" i="2"/>
  <c r="O180" i="2"/>
  <c r="R180" i="2" s="1"/>
  <c r="P180" i="2"/>
  <c r="N180" i="2"/>
  <c r="O179" i="2"/>
  <c r="R179" i="2" s="1"/>
  <c r="P179" i="2"/>
  <c r="N179" i="2"/>
  <c r="O178" i="2"/>
  <c r="R178" i="2" s="1"/>
  <c r="P178" i="2"/>
  <c r="N178" i="2"/>
  <c r="O177" i="2"/>
  <c r="R177" i="2" s="1"/>
  <c r="P177" i="2"/>
  <c r="N177" i="2"/>
  <c r="O176" i="2"/>
  <c r="R176" i="2" s="1"/>
  <c r="P176" i="2"/>
  <c r="N176" i="2"/>
  <c r="O175" i="2"/>
  <c r="R175" i="2" s="1"/>
  <c r="P175" i="2"/>
  <c r="N175" i="2"/>
  <c r="O174" i="2"/>
  <c r="R174" i="2" s="1"/>
  <c r="P174" i="2"/>
  <c r="N174" i="2"/>
  <c r="O173" i="2"/>
  <c r="R173" i="2" s="1"/>
  <c r="P173" i="2"/>
  <c r="N173" i="2"/>
  <c r="O172" i="2"/>
  <c r="R172" i="2" s="1"/>
  <c r="P172" i="2"/>
  <c r="N172" i="2"/>
  <c r="O171" i="2"/>
  <c r="R171" i="2" s="1"/>
  <c r="P171" i="2"/>
  <c r="N171" i="2"/>
  <c r="O170" i="2"/>
  <c r="R170" i="2" s="1"/>
  <c r="P170" i="2"/>
  <c r="N170" i="2"/>
  <c r="O169" i="2"/>
  <c r="R169" i="2" s="1"/>
  <c r="P169" i="2"/>
  <c r="N169" i="2"/>
  <c r="O168" i="2"/>
  <c r="R168" i="2" s="1"/>
  <c r="P168" i="2"/>
  <c r="N168" i="2"/>
  <c r="O167" i="2"/>
  <c r="R167" i="2" s="1"/>
  <c r="P167" i="2"/>
  <c r="N167" i="2"/>
  <c r="O166" i="2"/>
  <c r="R166" i="2" s="1"/>
  <c r="P166" i="2"/>
  <c r="N166" i="2"/>
  <c r="O165" i="2"/>
  <c r="R165" i="2" s="1"/>
  <c r="P165" i="2"/>
  <c r="N165" i="2"/>
  <c r="O164" i="2"/>
  <c r="R164" i="2" s="1"/>
  <c r="P164" i="2"/>
  <c r="N164" i="2"/>
  <c r="O163" i="2"/>
  <c r="R163" i="2" s="1"/>
  <c r="P163" i="2"/>
  <c r="N163" i="2"/>
  <c r="O162" i="2"/>
  <c r="R162" i="2" s="1"/>
  <c r="P162" i="2"/>
  <c r="N162" i="2"/>
  <c r="O161" i="2"/>
  <c r="R161" i="2" s="1"/>
  <c r="P161" i="2"/>
  <c r="N161" i="2"/>
  <c r="O160" i="2"/>
  <c r="R160" i="2" s="1"/>
  <c r="P160" i="2"/>
  <c r="N160" i="2"/>
  <c r="O159" i="2"/>
  <c r="R159" i="2" s="1"/>
  <c r="P159" i="2"/>
  <c r="N159" i="2"/>
  <c r="O158" i="2"/>
  <c r="R158" i="2" s="1"/>
  <c r="P158" i="2"/>
  <c r="N158" i="2"/>
  <c r="O157" i="2"/>
  <c r="R157" i="2" s="1"/>
  <c r="P157" i="2"/>
  <c r="N157" i="2"/>
  <c r="O156" i="2"/>
  <c r="R156" i="2" s="1"/>
  <c r="P156" i="2"/>
  <c r="N156" i="2"/>
  <c r="O155" i="2"/>
  <c r="R155" i="2" s="1"/>
  <c r="P155" i="2"/>
  <c r="N155" i="2"/>
  <c r="O154" i="2"/>
  <c r="R154" i="2" s="1"/>
  <c r="P154" i="2"/>
  <c r="N154" i="2"/>
  <c r="O153" i="2"/>
  <c r="R153" i="2" s="1"/>
  <c r="P153" i="2"/>
  <c r="N153" i="2"/>
  <c r="O152" i="2"/>
  <c r="R152" i="2" s="1"/>
  <c r="P152" i="2"/>
  <c r="N152" i="2"/>
  <c r="O151" i="2"/>
  <c r="R151" i="2" s="1"/>
  <c r="P151" i="2"/>
  <c r="N151" i="2"/>
  <c r="O150" i="2"/>
  <c r="R150" i="2" s="1"/>
  <c r="P150" i="2"/>
  <c r="N150" i="2"/>
  <c r="O149" i="2"/>
  <c r="R149" i="2" s="1"/>
  <c r="P149" i="2"/>
  <c r="N149" i="2"/>
  <c r="O148" i="2"/>
  <c r="R148" i="2" s="1"/>
  <c r="P148" i="2"/>
  <c r="N148" i="2"/>
  <c r="O147" i="2"/>
  <c r="R147" i="2" s="1"/>
  <c r="P147" i="2"/>
  <c r="N147" i="2"/>
  <c r="O146" i="2"/>
  <c r="R146" i="2" s="1"/>
  <c r="P146" i="2"/>
  <c r="N146" i="2"/>
  <c r="O145" i="2"/>
  <c r="R145" i="2" s="1"/>
  <c r="P145" i="2"/>
  <c r="N145" i="2"/>
  <c r="O144" i="2"/>
  <c r="R144" i="2" s="1"/>
  <c r="P144" i="2"/>
  <c r="N144" i="2"/>
  <c r="O143" i="2"/>
  <c r="R143" i="2" s="1"/>
  <c r="P143" i="2"/>
  <c r="N143" i="2"/>
  <c r="O142" i="2"/>
  <c r="R142" i="2" s="1"/>
  <c r="P142" i="2"/>
  <c r="N142" i="2"/>
  <c r="O141" i="2"/>
  <c r="R141" i="2" s="1"/>
  <c r="P141" i="2"/>
  <c r="N141" i="2"/>
  <c r="O140" i="2"/>
  <c r="R140" i="2" s="1"/>
  <c r="P140" i="2"/>
  <c r="N140" i="2"/>
  <c r="O139" i="2"/>
  <c r="R139" i="2" s="1"/>
  <c r="P139" i="2"/>
  <c r="N139" i="2"/>
  <c r="O138" i="2"/>
  <c r="R138" i="2" s="1"/>
  <c r="P138" i="2"/>
  <c r="N138" i="2"/>
  <c r="O137" i="2"/>
  <c r="R137" i="2" s="1"/>
  <c r="P137" i="2"/>
  <c r="N137" i="2"/>
  <c r="O136" i="2"/>
  <c r="R136" i="2" s="1"/>
  <c r="P136" i="2"/>
  <c r="N136" i="2"/>
  <c r="O135" i="2"/>
  <c r="R135" i="2" s="1"/>
  <c r="P135" i="2"/>
  <c r="N135" i="2"/>
  <c r="O134" i="2"/>
  <c r="R134" i="2" s="1"/>
  <c r="P134" i="2"/>
  <c r="N134" i="2"/>
  <c r="O133" i="2"/>
  <c r="R133" i="2" s="1"/>
  <c r="P133" i="2"/>
  <c r="N133" i="2"/>
  <c r="O132" i="2"/>
  <c r="R132" i="2" s="1"/>
  <c r="P132" i="2"/>
  <c r="N132" i="2"/>
  <c r="O131" i="2"/>
  <c r="R131" i="2" s="1"/>
  <c r="P131" i="2"/>
  <c r="N131" i="2"/>
  <c r="O130" i="2"/>
  <c r="R130" i="2" s="1"/>
  <c r="P130" i="2"/>
  <c r="O129" i="2"/>
  <c r="R129" i="2" s="1"/>
  <c r="P129" i="2"/>
  <c r="N129" i="2"/>
  <c r="O128" i="2"/>
  <c r="Q128" i="2" s="1"/>
  <c r="P128" i="2"/>
  <c r="N128" i="2"/>
  <c r="O127" i="2"/>
  <c r="R127" i="2" s="1"/>
  <c r="P127" i="2"/>
  <c r="N127" i="2"/>
  <c r="O126" i="2"/>
  <c r="P126" i="2"/>
  <c r="N126" i="2"/>
  <c r="O125" i="2"/>
  <c r="R125" i="2" s="1"/>
  <c r="P125" i="2"/>
  <c r="N125" i="2"/>
  <c r="O124" i="2"/>
  <c r="Q124" i="2" s="1"/>
  <c r="P124" i="2"/>
  <c r="N124" i="2"/>
  <c r="O123" i="2"/>
  <c r="R123" i="2" s="1"/>
  <c r="P123" i="2"/>
  <c r="N123" i="2"/>
  <c r="O122" i="2"/>
  <c r="P122" i="2"/>
  <c r="N122" i="2"/>
  <c r="O121" i="2"/>
  <c r="R121" i="2" s="1"/>
  <c r="P121" i="2"/>
  <c r="N121" i="2"/>
  <c r="O120" i="2"/>
  <c r="Q120" i="2" s="1"/>
  <c r="P120" i="2"/>
  <c r="N120" i="2"/>
  <c r="O119" i="2"/>
  <c r="R119" i="2" s="1"/>
  <c r="P119" i="2"/>
  <c r="N119" i="2"/>
  <c r="O118" i="2"/>
  <c r="P118" i="2"/>
  <c r="N118" i="2"/>
  <c r="O117" i="2"/>
  <c r="R117" i="2" s="1"/>
  <c r="P117" i="2"/>
  <c r="N117" i="2"/>
  <c r="O116" i="2"/>
  <c r="Q116" i="2" s="1"/>
  <c r="P116" i="2"/>
  <c r="N116" i="2"/>
  <c r="O115" i="2"/>
  <c r="R115" i="2" s="1"/>
  <c r="P115" i="2"/>
  <c r="N115" i="2"/>
  <c r="O114" i="2"/>
  <c r="P114" i="2"/>
  <c r="N114" i="2"/>
  <c r="O113" i="2"/>
  <c r="R113" i="2" s="1"/>
  <c r="P113" i="2"/>
  <c r="N113" i="2"/>
  <c r="O112" i="2"/>
  <c r="Q112" i="2" s="1"/>
  <c r="P112" i="2"/>
  <c r="N112" i="2"/>
  <c r="O111" i="2"/>
  <c r="R111" i="2" s="1"/>
  <c r="P111" i="2"/>
  <c r="N111" i="2"/>
  <c r="O110" i="2"/>
  <c r="P110" i="2"/>
  <c r="N110" i="2"/>
  <c r="O109" i="2"/>
  <c r="R109" i="2" s="1"/>
  <c r="P109" i="2"/>
  <c r="N109" i="2"/>
  <c r="O108" i="2"/>
  <c r="Q108" i="2" s="1"/>
  <c r="P108" i="2"/>
  <c r="N108" i="2"/>
  <c r="O107" i="2"/>
  <c r="R107" i="2" s="1"/>
  <c r="P107" i="2"/>
  <c r="N107" i="2"/>
  <c r="O106" i="2"/>
  <c r="P106" i="2"/>
  <c r="N106" i="2"/>
  <c r="O105" i="2"/>
  <c r="R105" i="2" s="1"/>
  <c r="P105" i="2"/>
  <c r="N105" i="2"/>
  <c r="O104" i="2"/>
  <c r="Q104" i="2" s="1"/>
  <c r="P104" i="2"/>
  <c r="N104" i="2"/>
  <c r="O103" i="2"/>
  <c r="R103" i="2" s="1"/>
  <c r="P103" i="2"/>
  <c r="N103" i="2"/>
  <c r="O102" i="2"/>
  <c r="P102" i="2"/>
  <c r="N102" i="2"/>
  <c r="O101" i="2"/>
  <c r="R101" i="2" s="1"/>
  <c r="P101" i="2"/>
  <c r="N101" i="2"/>
  <c r="O100" i="2"/>
  <c r="Q100" i="2" s="1"/>
  <c r="P100" i="2"/>
  <c r="N100" i="2"/>
  <c r="O99" i="2"/>
  <c r="R99" i="2" s="1"/>
  <c r="P99" i="2"/>
  <c r="N99" i="2"/>
  <c r="O98" i="2"/>
  <c r="P98" i="2"/>
  <c r="N98" i="2"/>
  <c r="O97" i="2"/>
  <c r="R97" i="2" s="1"/>
  <c r="P97" i="2"/>
  <c r="N97" i="2"/>
  <c r="O96" i="2"/>
  <c r="Q96" i="2" s="1"/>
  <c r="P96" i="2"/>
  <c r="N96" i="2"/>
  <c r="O95" i="2"/>
  <c r="R95" i="2" s="1"/>
  <c r="P95" i="2"/>
  <c r="N95" i="2"/>
  <c r="O94" i="2"/>
  <c r="P94" i="2"/>
  <c r="N94" i="2"/>
  <c r="O93" i="2"/>
  <c r="R93" i="2" s="1"/>
  <c r="P93" i="2"/>
  <c r="N93" i="2"/>
  <c r="O92" i="2"/>
  <c r="Q92" i="2" s="1"/>
  <c r="P92" i="2"/>
  <c r="N92" i="2"/>
  <c r="O91" i="2"/>
  <c r="R91" i="2" s="1"/>
  <c r="P91" i="2"/>
  <c r="N91" i="2"/>
  <c r="O90" i="2"/>
  <c r="P90" i="2"/>
  <c r="N90" i="2"/>
  <c r="O89" i="2"/>
  <c r="R89" i="2" s="1"/>
  <c r="P89" i="2"/>
  <c r="N89" i="2"/>
  <c r="O88" i="2"/>
  <c r="Q88" i="2" s="1"/>
  <c r="P88" i="2"/>
  <c r="N88" i="2"/>
  <c r="O87" i="2"/>
  <c r="R87" i="2" s="1"/>
  <c r="P87" i="2"/>
  <c r="N87" i="2"/>
  <c r="O86" i="2"/>
  <c r="P86" i="2"/>
  <c r="N86" i="2"/>
  <c r="O85" i="2"/>
  <c r="R85" i="2" s="1"/>
  <c r="P85" i="2"/>
  <c r="N85" i="2"/>
  <c r="O84" i="2"/>
  <c r="Q84" i="2" s="1"/>
  <c r="P84" i="2"/>
  <c r="N84" i="2"/>
  <c r="O83" i="2"/>
  <c r="R83" i="2" s="1"/>
  <c r="P83" i="2"/>
  <c r="N83" i="2"/>
  <c r="O82" i="2"/>
  <c r="P82" i="2"/>
  <c r="N82" i="2"/>
  <c r="O81" i="2"/>
  <c r="R81" i="2" s="1"/>
  <c r="P81" i="2"/>
  <c r="N81" i="2"/>
  <c r="O80" i="2"/>
  <c r="Q80" i="2" s="1"/>
  <c r="P80" i="2"/>
  <c r="N80" i="2"/>
  <c r="O79" i="2"/>
  <c r="R79" i="2" s="1"/>
  <c r="P79" i="2"/>
  <c r="N79" i="2"/>
  <c r="O78" i="2"/>
  <c r="P78" i="2"/>
  <c r="N78" i="2"/>
  <c r="O77" i="2"/>
  <c r="R77" i="2" s="1"/>
  <c r="P77" i="2"/>
  <c r="N77" i="2"/>
  <c r="O76" i="2"/>
  <c r="Q76" i="2" s="1"/>
  <c r="P76" i="2"/>
  <c r="N76" i="2"/>
  <c r="O75" i="2"/>
  <c r="R75" i="2" s="1"/>
  <c r="P75" i="2"/>
  <c r="N75" i="2"/>
  <c r="O74" i="2"/>
  <c r="P74" i="2"/>
  <c r="N74" i="2"/>
  <c r="O73" i="2"/>
  <c r="R73" i="2" s="1"/>
  <c r="P73" i="2"/>
  <c r="N73" i="2"/>
  <c r="O72" i="2"/>
  <c r="Q72" i="2" s="1"/>
  <c r="P72" i="2"/>
  <c r="N72" i="2"/>
  <c r="O71" i="2"/>
  <c r="R71" i="2" s="1"/>
  <c r="P71" i="2"/>
  <c r="N71" i="2"/>
  <c r="O70" i="2"/>
  <c r="P70" i="2"/>
  <c r="N70" i="2"/>
  <c r="O69" i="2"/>
  <c r="R69" i="2" s="1"/>
  <c r="P69" i="2"/>
  <c r="N69" i="2"/>
  <c r="O68" i="2"/>
  <c r="Q68" i="2" s="1"/>
  <c r="P68" i="2"/>
  <c r="N68" i="2"/>
  <c r="O67" i="2"/>
  <c r="R67" i="2" s="1"/>
  <c r="P67" i="2"/>
  <c r="N67" i="2"/>
  <c r="O66" i="2"/>
  <c r="P66" i="2"/>
  <c r="N66" i="2"/>
  <c r="O65" i="2"/>
  <c r="R65" i="2" s="1"/>
  <c r="P65" i="2"/>
  <c r="N65" i="2"/>
  <c r="O64" i="2"/>
  <c r="Q64" i="2" s="1"/>
  <c r="P64" i="2"/>
  <c r="N64" i="2"/>
  <c r="O63" i="2"/>
  <c r="R63" i="2" s="1"/>
  <c r="P63" i="2"/>
  <c r="N63" i="2"/>
  <c r="O62" i="2"/>
  <c r="P62" i="2"/>
  <c r="N62" i="2"/>
  <c r="O61" i="2"/>
  <c r="R61" i="2" s="1"/>
  <c r="P61" i="2"/>
  <c r="N61" i="2"/>
  <c r="O60" i="2"/>
  <c r="Q60" i="2" s="1"/>
  <c r="P60" i="2"/>
  <c r="N60" i="2"/>
  <c r="O59" i="2"/>
  <c r="R59" i="2" s="1"/>
  <c r="P59" i="2"/>
  <c r="N59" i="2"/>
  <c r="O58" i="2"/>
  <c r="P58" i="2"/>
  <c r="N58" i="2"/>
  <c r="O57" i="2"/>
  <c r="R57" i="2" s="1"/>
  <c r="P57" i="2"/>
  <c r="N57" i="2"/>
  <c r="O56" i="2"/>
  <c r="Q56" i="2" s="1"/>
  <c r="P56" i="2"/>
  <c r="N56" i="2"/>
  <c r="O55" i="2"/>
  <c r="R55" i="2" s="1"/>
  <c r="P55" i="2"/>
  <c r="N55" i="2"/>
  <c r="O54" i="2"/>
  <c r="P54" i="2"/>
  <c r="N54" i="2"/>
  <c r="O53" i="2"/>
  <c r="R53" i="2" s="1"/>
  <c r="P53" i="2"/>
  <c r="N53" i="2"/>
  <c r="O52" i="2"/>
  <c r="Q52" i="2" s="1"/>
  <c r="P52" i="2"/>
  <c r="N52" i="2"/>
  <c r="O51" i="2"/>
  <c r="R51" i="2" s="1"/>
  <c r="P51" i="2"/>
  <c r="N51" i="2"/>
  <c r="O50" i="2"/>
  <c r="P50" i="2"/>
  <c r="N50" i="2"/>
  <c r="O49" i="2"/>
  <c r="R49" i="2" s="1"/>
  <c r="P49" i="2"/>
  <c r="N49" i="2"/>
  <c r="O48" i="2"/>
  <c r="Q48" i="2" s="1"/>
  <c r="P48" i="2"/>
  <c r="N48" i="2"/>
  <c r="O47" i="2"/>
  <c r="R47" i="2" s="1"/>
  <c r="P47" i="2"/>
  <c r="N47" i="2"/>
  <c r="O46" i="2"/>
  <c r="P46" i="2"/>
  <c r="N46" i="2"/>
  <c r="O45" i="2"/>
  <c r="R45" i="2" s="1"/>
  <c r="P45" i="2"/>
  <c r="N45" i="2"/>
  <c r="O44" i="2"/>
  <c r="Q44" i="2" s="1"/>
  <c r="P44" i="2"/>
  <c r="N44" i="2"/>
  <c r="O43" i="2"/>
  <c r="R43" i="2" s="1"/>
  <c r="P43" i="2"/>
  <c r="N43" i="2"/>
  <c r="O42" i="2"/>
  <c r="P42" i="2"/>
  <c r="N42" i="2"/>
  <c r="O41" i="2"/>
  <c r="R41" i="2" s="1"/>
  <c r="P41" i="2"/>
  <c r="N41" i="2"/>
  <c r="O40" i="2"/>
  <c r="Q40" i="2" s="1"/>
  <c r="P40" i="2"/>
  <c r="N40" i="2"/>
  <c r="O39" i="2"/>
  <c r="R39" i="2" s="1"/>
  <c r="P39" i="2"/>
  <c r="N39" i="2"/>
  <c r="O38" i="2"/>
  <c r="P38" i="2"/>
  <c r="N38" i="2"/>
  <c r="O37" i="2"/>
  <c r="R37" i="2" s="1"/>
  <c r="P37" i="2"/>
  <c r="N37" i="2"/>
  <c r="O36" i="2"/>
  <c r="Q36" i="2" s="1"/>
  <c r="P36" i="2"/>
  <c r="N36" i="2"/>
  <c r="O35" i="2"/>
  <c r="R35" i="2" s="1"/>
  <c r="P35" i="2"/>
  <c r="N35" i="2"/>
  <c r="O34" i="2"/>
  <c r="P34" i="2"/>
  <c r="N34" i="2"/>
  <c r="O33" i="2"/>
  <c r="R33" i="2" s="1"/>
  <c r="P33" i="2"/>
  <c r="N33" i="2"/>
  <c r="O32" i="2"/>
  <c r="Q32" i="2" s="1"/>
  <c r="P32" i="2"/>
  <c r="N32" i="2"/>
  <c r="O31" i="2"/>
  <c r="R31" i="2" s="1"/>
  <c r="P31" i="2"/>
  <c r="N31" i="2"/>
  <c r="O30" i="2"/>
  <c r="P30" i="2"/>
  <c r="N30" i="2"/>
  <c r="O29" i="2"/>
  <c r="R29" i="2" s="1"/>
  <c r="P29" i="2"/>
  <c r="N29" i="2"/>
  <c r="O28" i="2"/>
  <c r="Q28" i="2" s="1"/>
  <c r="P28" i="2"/>
  <c r="N28" i="2"/>
  <c r="O27" i="2"/>
  <c r="R27" i="2" s="1"/>
  <c r="P27" i="2"/>
  <c r="N27" i="2"/>
  <c r="O26" i="2"/>
  <c r="P26" i="2"/>
  <c r="N26" i="2"/>
  <c r="O25" i="2"/>
  <c r="R25" i="2" s="1"/>
  <c r="P25" i="2"/>
  <c r="N25" i="2"/>
  <c r="N13" i="2"/>
  <c r="N14" i="2"/>
  <c r="N15" i="2"/>
  <c r="N16" i="2"/>
  <c r="N17" i="2"/>
  <c r="N18" i="2"/>
  <c r="N19" i="2"/>
  <c r="N20" i="2"/>
  <c r="N21" i="2"/>
  <c r="N22" i="2"/>
  <c r="N23" i="2"/>
  <c r="N24" i="2"/>
  <c r="O13" i="2"/>
  <c r="R13" i="2" s="1"/>
  <c r="O14" i="2"/>
  <c r="R14" i="2" s="1"/>
  <c r="O15" i="2"/>
  <c r="R15" i="2" s="1"/>
  <c r="O16" i="2"/>
  <c r="R16" i="2" s="1"/>
  <c r="O17" i="2"/>
  <c r="R17" i="2" s="1"/>
  <c r="O18" i="2"/>
  <c r="R18" i="2" s="1"/>
  <c r="O19" i="2"/>
  <c r="R19" i="2" s="1"/>
  <c r="O20" i="2"/>
  <c r="R20" i="2" s="1"/>
  <c r="O21" i="2"/>
  <c r="R21" i="2" s="1"/>
  <c r="O22" i="2"/>
  <c r="R22" i="2" s="1"/>
  <c r="O23" i="2"/>
  <c r="R23" i="2" s="1"/>
  <c r="O24" i="2"/>
  <c r="P13" i="2"/>
  <c r="P14" i="2"/>
  <c r="P15" i="2"/>
  <c r="P16" i="2"/>
  <c r="P17" i="2"/>
  <c r="P18" i="2"/>
  <c r="P19" i="2"/>
  <c r="P20" i="2"/>
  <c r="P21" i="2"/>
  <c r="P22" i="2"/>
  <c r="P23" i="2"/>
  <c r="P24" i="2"/>
  <c r="Q13" i="2"/>
  <c r="Q14" i="2"/>
  <c r="N2" i="2"/>
  <c r="N3" i="2"/>
  <c r="N4" i="2"/>
  <c r="N5" i="2"/>
  <c r="N6" i="2"/>
  <c r="N7" i="2"/>
  <c r="N9" i="2"/>
  <c r="N10" i="2"/>
  <c r="N11" i="2"/>
  <c r="N12" i="2"/>
  <c r="O7" i="2"/>
  <c r="R7" i="2" s="1"/>
  <c r="O8" i="2"/>
  <c r="R8" i="2" s="1"/>
  <c r="O9" i="2"/>
  <c r="O10" i="2"/>
  <c r="R10" i="2" s="1"/>
  <c r="O11" i="2"/>
  <c r="R11" i="2" s="1"/>
  <c r="O12" i="2"/>
  <c r="R12" i="2" s="1"/>
  <c r="P7" i="2"/>
  <c r="P8" i="2"/>
  <c r="P9" i="2"/>
  <c r="P10" i="2"/>
  <c r="P11" i="2"/>
  <c r="P12" i="2"/>
  <c r="O3" i="2"/>
  <c r="R3" i="2" s="1"/>
  <c r="O4" i="2"/>
  <c r="R4" i="2" s="1"/>
  <c r="O5" i="2"/>
  <c r="R5" i="2" s="1"/>
  <c r="O6" i="2"/>
  <c r="R6" i="2" s="1"/>
  <c r="O2" i="2"/>
  <c r="R2" i="2" s="1"/>
  <c r="C3" i="1"/>
  <c r="P2" i="2" s="1"/>
  <c r="C4" i="1"/>
  <c r="P3" i="2"/>
  <c r="C7" i="1"/>
  <c r="P4" i="2" s="1"/>
  <c r="C8" i="1"/>
  <c r="P5" i="2" s="1"/>
  <c r="P6" i="2"/>
  <c r="C6" i="1"/>
  <c r="C5" i="1"/>
  <c r="Q24" i="2" l="1"/>
  <c r="Q30" i="2"/>
  <c r="Q38" i="2"/>
  <c r="Q46" i="2"/>
  <c r="Q58" i="2"/>
  <c r="Q62" i="2"/>
  <c r="Q70" i="2"/>
  <c r="Q82" i="2"/>
  <c r="Q86" i="2"/>
  <c r="Q94" i="2"/>
  <c r="Q106" i="2"/>
  <c r="Q122" i="2"/>
  <c r="Q1880" i="2"/>
  <c r="Q26" i="2"/>
  <c r="Q34" i="2"/>
  <c r="Q42" i="2"/>
  <c r="Q50" i="2"/>
  <c r="Q54" i="2"/>
  <c r="Q66" i="2"/>
  <c r="Q74" i="2"/>
  <c r="Q78" i="2"/>
  <c r="Q90" i="2"/>
  <c r="Q98" i="2"/>
  <c r="Q102" i="2"/>
  <c r="Q110" i="2"/>
  <c r="Q114" i="2"/>
  <c r="Q118" i="2"/>
  <c r="Q126" i="2"/>
  <c r="Q474" i="2"/>
  <c r="Q478" i="2"/>
  <c r="Q490" i="2"/>
  <c r="Q494" i="2"/>
  <c r="Q498" i="2"/>
  <c r="Q502" i="2"/>
  <c r="Q506" i="2"/>
  <c r="Q510" i="2"/>
  <c r="Q522" i="2"/>
  <c r="Q534" i="2"/>
  <c r="Q1142" i="2"/>
  <c r="Q1146" i="2"/>
  <c r="Q1158" i="2"/>
  <c r="Q1170" i="2"/>
  <c r="Q1182" i="2"/>
  <c r="Q1190" i="2"/>
  <c r="Q1202" i="2"/>
  <c r="Q1214" i="2"/>
  <c r="Q1222" i="2"/>
  <c r="Q1234" i="2"/>
  <c r="Q1250" i="2"/>
  <c r="Q1262" i="2"/>
  <c r="Q1270" i="2"/>
  <c r="Q1786" i="2"/>
  <c r="Q1794" i="2"/>
  <c r="Q1806" i="2"/>
  <c r="Q1822" i="2"/>
  <c r="Q1834" i="2"/>
  <c r="Q1838" i="2"/>
  <c r="Q1842" i="2"/>
  <c r="Q1890" i="2"/>
  <c r="Q1902" i="2"/>
  <c r="Q530" i="2"/>
  <c r="Q1114" i="2"/>
  <c r="Q1122" i="2"/>
  <c r="Q1138" i="2"/>
  <c r="Q1154" i="2"/>
  <c r="Q1166" i="2"/>
  <c r="Q1174" i="2"/>
  <c r="Q1186" i="2"/>
  <c r="Q1198" i="2"/>
  <c r="Q1206" i="2"/>
  <c r="Q1218" i="2"/>
  <c r="Q1230" i="2"/>
  <c r="Q1238" i="2"/>
  <c r="Q1246" i="2"/>
  <c r="Q1254" i="2"/>
  <c r="Q1266" i="2"/>
  <c r="Q192" i="2"/>
  <c r="Q196" i="2"/>
  <c r="Q200" i="2"/>
  <c r="Q204" i="2"/>
  <c r="Q208" i="2"/>
  <c r="Q212" i="2"/>
  <c r="Q216" i="2"/>
  <c r="Q220" i="2"/>
  <c r="Q224" i="2"/>
  <c r="Q228" i="2"/>
  <c r="Q232" i="2"/>
  <c r="Q236" i="2"/>
  <c r="Q240" i="2"/>
  <c r="Q244" i="2"/>
  <c r="Q248" i="2"/>
  <c r="Q252" i="2"/>
  <c r="Q256" i="2"/>
  <c r="Q260" i="2"/>
  <c r="Q264" i="2"/>
  <c r="Q268" i="2"/>
  <c r="Q272" i="2"/>
  <c r="Q276" i="2"/>
  <c r="Q280" i="2"/>
  <c r="Q284" i="2"/>
  <c r="Q288" i="2"/>
  <c r="Q292" i="2"/>
  <c r="Q301" i="2"/>
  <c r="Q305" i="2"/>
  <c r="Q309" i="2"/>
  <c r="Q313" i="2"/>
  <c r="Q317" i="2"/>
  <c r="Q321" i="2"/>
  <c r="Q325" i="2"/>
  <c r="Q329" i="2"/>
  <c r="Q333" i="2"/>
  <c r="Q337" i="2"/>
  <c r="Q341" i="2"/>
  <c r="Q345" i="2"/>
  <c r="Q349" i="2"/>
  <c r="Q353" i="2"/>
  <c r="Q357" i="2"/>
  <c r="Q361" i="2"/>
  <c r="Q365" i="2"/>
  <c r="Q369" i="2"/>
  <c r="Q373" i="2"/>
  <c r="Q377" i="2"/>
  <c r="Q381" i="2"/>
  <c r="Q385" i="2"/>
  <c r="Q389" i="2"/>
  <c r="Q393" i="2"/>
  <c r="Q397" i="2"/>
  <c r="Q401" i="2"/>
  <c r="Q405" i="2"/>
  <c r="Q409" i="2"/>
  <c r="Q413" i="2"/>
  <c r="Q417" i="2"/>
  <c r="Q421" i="2"/>
  <c r="Q425" i="2"/>
  <c r="Q429" i="2"/>
  <c r="Q433" i="2"/>
  <c r="Q437" i="2"/>
  <c r="Q441" i="2"/>
  <c r="Q445" i="2"/>
  <c r="Q453" i="2"/>
  <c r="Q457" i="2"/>
  <c r="Q461" i="2"/>
  <c r="Q465" i="2"/>
  <c r="Q469" i="2"/>
  <c r="Q19" i="2"/>
  <c r="Q18" i="2"/>
  <c r="Q17" i="2"/>
  <c r="Q16" i="2"/>
  <c r="Q15" i="2"/>
  <c r="Q22" i="2"/>
  <c r="Q21" i="2"/>
  <c r="Q821" i="2"/>
  <c r="Q23" i="2"/>
  <c r="Q20" i="2"/>
  <c r="Q2014" i="2"/>
  <c r="Q2018" i="2"/>
  <c r="R1840" i="2"/>
  <c r="R1842" i="2"/>
  <c r="Q2022" i="2"/>
  <c r="R24" i="2"/>
  <c r="Q1674" i="2"/>
  <c r="Q95" i="2"/>
  <c r="R96" i="2"/>
  <c r="R204" i="2"/>
  <c r="R284" i="2"/>
  <c r="Q1675" i="2"/>
  <c r="Q2" i="2"/>
  <c r="Q127" i="2"/>
  <c r="R128" i="2"/>
  <c r="R200" i="2"/>
  <c r="R274" i="2"/>
  <c r="R341" i="2"/>
  <c r="Q1032" i="2"/>
  <c r="Q1092" i="2"/>
  <c r="Q1108" i="2"/>
  <c r="Q1140" i="2"/>
  <c r="R294" i="2"/>
  <c r="R389" i="2"/>
  <c r="Q1673" i="2"/>
  <c r="Q297" i="2"/>
  <c r="R290" i="2"/>
  <c r="Q673" i="2"/>
  <c r="Q948" i="2"/>
  <c r="Q295" i="2"/>
  <c r="R192" i="2"/>
  <c r="R208" i="2"/>
  <c r="R258" i="2"/>
  <c r="R268" i="2"/>
  <c r="R278" i="2"/>
  <c r="Q432" i="2"/>
  <c r="R433" i="2"/>
  <c r="Q784" i="2"/>
  <c r="Q785" i="2"/>
  <c r="Q1143" i="2"/>
  <c r="Q1383" i="2"/>
  <c r="Q1431" i="2"/>
  <c r="R1772" i="2"/>
  <c r="Q1781" i="2"/>
  <c r="Q47" i="2"/>
  <c r="R48" i="2"/>
  <c r="Q141" i="2"/>
  <c r="Q142" i="2"/>
  <c r="Q158" i="2"/>
  <c r="Q174" i="2"/>
  <c r="R196" i="2"/>
  <c r="R212" i="2"/>
  <c r="R262" i="2"/>
  <c r="R325" i="2"/>
  <c r="Q31" i="2"/>
  <c r="R32" i="2"/>
  <c r="Q111" i="2"/>
  <c r="R112" i="2"/>
  <c r="R190" i="2"/>
  <c r="R198" i="2"/>
  <c r="R206" i="2"/>
  <c r="R214" i="2"/>
  <c r="R260" i="2"/>
  <c r="R266" i="2"/>
  <c r="R286" i="2"/>
  <c r="R292" i="2"/>
  <c r="R357" i="2"/>
  <c r="R401" i="2"/>
  <c r="Q436" i="2"/>
  <c r="R437" i="2"/>
  <c r="R534" i="2"/>
  <c r="Q580" i="2"/>
  <c r="Q600" i="2"/>
  <c r="Q601" i="2"/>
  <c r="Q697" i="2"/>
  <c r="Q820" i="2"/>
  <c r="Q1141" i="2"/>
  <c r="Q1374" i="2"/>
  <c r="Q1378" i="2"/>
  <c r="Q1382" i="2"/>
  <c r="R1832" i="2"/>
  <c r="R1834" i="2"/>
  <c r="Q1893" i="2"/>
  <c r="R1902" i="2"/>
  <c r="Q1906" i="2"/>
  <c r="Q1910" i="2"/>
  <c r="Q2009" i="2"/>
  <c r="R369" i="2"/>
  <c r="R405" i="2"/>
  <c r="Q464" i="2"/>
  <c r="R465" i="2"/>
  <c r="R494" i="2"/>
  <c r="Q1481" i="2"/>
  <c r="Q1482" i="2"/>
  <c r="Q1483" i="2"/>
  <c r="Q1550" i="2"/>
  <c r="Q1594" i="2"/>
  <c r="Q1630" i="2"/>
  <c r="R1760" i="2"/>
  <c r="R1820" i="2"/>
  <c r="R1822" i="2"/>
  <c r="Q63" i="2"/>
  <c r="R64" i="2"/>
  <c r="Q187" i="2"/>
  <c r="R194" i="2"/>
  <c r="R202" i="2"/>
  <c r="R210" i="2"/>
  <c r="R270" i="2"/>
  <c r="R276" i="2"/>
  <c r="R282" i="2"/>
  <c r="R337" i="2"/>
  <c r="R373" i="2"/>
  <c r="R421" i="2"/>
  <c r="Q468" i="2"/>
  <c r="R469" i="2"/>
  <c r="R478" i="2"/>
  <c r="Q851" i="2"/>
  <c r="Q947" i="2"/>
  <c r="Q1011" i="2"/>
  <c r="Q1031" i="2"/>
  <c r="Q1107" i="2"/>
  <c r="Q1541" i="2"/>
  <c r="Q1549" i="2"/>
  <c r="Q1593" i="2"/>
  <c r="Q1629" i="2"/>
  <c r="Q1669" i="2"/>
  <c r="R1720" i="2"/>
  <c r="Q1925" i="2"/>
  <c r="R216" i="2"/>
  <c r="R218" i="2"/>
  <c r="R220" i="2"/>
  <c r="R222" i="2"/>
  <c r="R224" i="2"/>
  <c r="R226" i="2"/>
  <c r="R228" i="2"/>
  <c r="R230" i="2"/>
  <c r="R232" i="2"/>
  <c r="R234" i="2"/>
  <c r="R236" i="2"/>
  <c r="R238" i="2"/>
  <c r="R240" i="2"/>
  <c r="R242" i="2"/>
  <c r="R244" i="2"/>
  <c r="R246" i="2"/>
  <c r="R248" i="2"/>
  <c r="R250" i="2"/>
  <c r="R252" i="2"/>
  <c r="R254" i="2"/>
  <c r="R256" i="2"/>
  <c r="R264" i="2"/>
  <c r="R272" i="2"/>
  <c r="R280" i="2"/>
  <c r="R288" i="2"/>
  <c r="R309" i="2"/>
  <c r="Q526" i="2"/>
  <c r="R526" i="2"/>
  <c r="R537" i="2"/>
  <c r="Q537" i="2"/>
  <c r="R549" i="2"/>
  <c r="Q549" i="2"/>
  <c r="Q1280" i="2"/>
  <c r="R1280" i="2"/>
  <c r="R1312" i="2"/>
  <c r="Q1312" i="2"/>
  <c r="Q1424" i="2"/>
  <c r="R1424" i="2"/>
  <c r="Q1750" i="2"/>
  <c r="R1750" i="2"/>
  <c r="R321" i="2"/>
  <c r="R353" i="2"/>
  <c r="R385" i="2"/>
  <c r="R417" i="2"/>
  <c r="Q448" i="2"/>
  <c r="Q449" i="2"/>
  <c r="R449" i="2"/>
  <c r="Q452" i="2"/>
  <c r="R453" i="2"/>
  <c r="R506" i="2"/>
  <c r="Q12" i="2"/>
  <c r="Q173" i="2"/>
  <c r="R681" i="2"/>
  <c r="Q681" i="2"/>
  <c r="R841" i="2"/>
  <c r="Q841" i="2"/>
  <c r="R865" i="2"/>
  <c r="Q865" i="2"/>
  <c r="R885" i="2"/>
  <c r="Q885" i="2"/>
  <c r="R889" i="2"/>
  <c r="Q889" i="2"/>
  <c r="R905" i="2"/>
  <c r="Q905" i="2"/>
  <c r="R969" i="2"/>
  <c r="Q969" i="2"/>
  <c r="R1061" i="2"/>
  <c r="Q1061" i="2"/>
  <c r="Q1278" i="2"/>
  <c r="R1278" i="2"/>
  <c r="Q1426" i="2"/>
  <c r="R1426" i="2"/>
  <c r="R1527" i="2"/>
  <c r="Q1527" i="2"/>
  <c r="R1563" i="2"/>
  <c r="Q1563" i="2"/>
  <c r="R1611" i="2"/>
  <c r="Q1611" i="2"/>
  <c r="R1655" i="2"/>
  <c r="Q1655" i="2"/>
  <c r="Q1736" i="2"/>
  <c r="R1736" i="2"/>
  <c r="Q79" i="2"/>
  <c r="R80" i="2"/>
  <c r="Q159" i="2"/>
  <c r="R305" i="2"/>
  <c r="R538" i="2"/>
  <c r="Q538" i="2"/>
  <c r="R649" i="2"/>
  <c r="Q649" i="2"/>
  <c r="R753" i="2"/>
  <c r="Q753" i="2"/>
  <c r="R1691" i="2"/>
  <c r="Q1691" i="2"/>
  <c r="Q548" i="2"/>
  <c r="Q883" i="2"/>
  <c r="Q884" i="2"/>
  <c r="Q1310" i="2"/>
  <c r="Q1311" i="2"/>
  <c r="Q1561" i="2"/>
  <c r="Q1562" i="2"/>
  <c r="Q1609" i="2"/>
  <c r="Q1610" i="2"/>
  <c r="Q1689" i="2"/>
  <c r="Q1690" i="2"/>
  <c r="Q1999" i="2"/>
  <c r="Q2000" i="2"/>
  <c r="Q2001" i="2"/>
  <c r="Q508" i="2"/>
  <c r="Q535" i="2"/>
  <c r="Q536" i="2"/>
  <c r="Q624" i="2"/>
  <c r="Q680" i="2"/>
  <c r="Q752" i="2"/>
  <c r="Q819" i="2"/>
  <c r="Q896" i="2"/>
  <c r="Q904" i="2"/>
  <c r="Q949" i="2"/>
  <c r="Q968" i="2"/>
  <c r="Q1033" i="2"/>
  <c r="Q1109" i="2"/>
  <c r="Q1110" i="2"/>
  <c r="Q1139" i="2"/>
  <c r="Q1144" i="2"/>
  <c r="Q1308" i="2"/>
  <c r="Q1384" i="2"/>
  <c r="Q1402" i="2"/>
  <c r="Q1493" i="2"/>
  <c r="Q1501" i="2"/>
  <c r="Q1502" i="2"/>
  <c r="Q1503" i="2"/>
  <c r="Q1526" i="2"/>
  <c r="Q1551" i="2"/>
  <c r="Q1595" i="2"/>
  <c r="Q1631" i="2"/>
  <c r="Q1654" i="2"/>
  <c r="Q1782" i="2"/>
  <c r="R1784" i="2"/>
  <c r="R1786" i="2"/>
  <c r="R1880" i="2"/>
  <c r="Q1921" i="2"/>
  <c r="Q1934" i="2"/>
  <c r="Q1950" i="2"/>
  <c r="Q1958" i="2"/>
  <c r="Q1966" i="2"/>
  <c r="Q1974" i="2"/>
  <c r="Q1982" i="2"/>
  <c r="Q1990" i="2"/>
  <c r="Q1998" i="2"/>
  <c r="Q55" i="2"/>
  <c r="R56" i="2"/>
  <c r="Q87" i="2"/>
  <c r="R88" i="2"/>
  <c r="Q119" i="2"/>
  <c r="R120" i="2"/>
  <c r="Q150" i="2"/>
  <c r="R625" i="2"/>
  <c r="Q625" i="2"/>
  <c r="R1679" i="2"/>
  <c r="Q1679" i="2"/>
  <c r="Q1858" i="2"/>
  <c r="R1858" i="2"/>
  <c r="R1866" i="2"/>
  <c r="Q1866" i="2"/>
  <c r="R313" i="2"/>
  <c r="R329" i="2"/>
  <c r="R345" i="2"/>
  <c r="R361" i="2"/>
  <c r="R377" i="2"/>
  <c r="R393" i="2"/>
  <c r="R409" i="2"/>
  <c r="R425" i="2"/>
  <c r="Q440" i="2"/>
  <c r="R441" i="2"/>
  <c r="Q456" i="2"/>
  <c r="R457" i="2"/>
  <c r="Q472" i="2"/>
  <c r="Q573" i="2"/>
  <c r="R705" i="2"/>
  <c r="Q705" i="2"/>
  <c r="R729" i="2"/>
  <c r="Q729" i="2"/>
  <c r="R801" i="2"/>
  <c r="Q801" i="2"/>
  <c r="Q1816" i="2"/>
  <c r="R1816" i="2"/>
  <c r="Q6" i="2"/>
  <c r="R657" i="2"/>
  <c r="Q657" i="2"/>
  <c r="R777" i="2"/>
  <c r="Q777" i="2"/>
  <c r="R853" i="2"/>
  <c r="Q853" i="2"/>
  <c r="R917" i="2"/>
  <c r="Q917" i="2"/>
  <c r="R981" i="2"/>
  <c r="Q981" i="2"/>
  <c r="R1013" i="2"/>
  <c r="Q1013" i="2"/>
  <c r="R1065" i="2"/>
  <c r="Q1065" i="2"/>
  <c r="R1348" i="2"/>
  <c r="Q1348" i="2"/>
  <c r="Q1896" i="2"/>
  <c r="R1896" i="2"/>
  <c r="R2011" i="2"/>
  <c r="Q2011" i="2"/>
  <c r="Q157" i="2"/>
  <c r="Q189" i="2"/>
  <c r="Q39" i="2"/>
  <c r="R40" i="2"/>
  <c r="Q71" i="2"/>
  <c r="R72" i="2"/>
  <c r="Q103" i="2"/>
  <c r="R104" i="2"/>
  <c r="Q134" i="2"/>
  <c r="Q143" i="2"/>
  <c r="Q166" i="2"/>
  <c r="Q175" i="2"/>
  <c r="R301" i="2"/>
  <c r="R317" i="2"/>
  <c r="R333" i="2"/>
  <c r="R349" i="2"/>
  <c r="R365" i="2"/>
  <c r="R381" i="2"/>
  <c r="R397" i="2"/>
  <c r="R413" i="2"/>
  <c r="Q428" i="2"/>
  <c r="R429" i="2"/>
  <c r="Q444" i="2"/>
  <c r="R445" i="2"/>
  <c r="Q460" i="2"/>
  <c r="R461" i="2"/>
  <c r="R498" i="2"/>
  <c r="Q540" i="2"/>
  <c r="R541" i="2"/>
  <c r="Q541" i="2"/>
  <c r="Q572" i="2"/>
  <c r="Q581" i="2"/>
  <c r="R825" i="2"/>
  <c r="Q825" i="2"/>
  <c r="Q1394" i="2"/>
  <c r="R1394" i="2"/>
  <c r="Q532" i="2"/>
  <c r="Q648" i="2"/>
  <c r="Q672" i="2"/>
  <c r="Q696" i="2"/>
  <c r="Q728" i="2"/>
  <c r="Q832" i="2"/>
  <c r="Q840" i="2"/>
  <c r="Q864" i="2"/>
  <c r="Q903" i="2"/>
  <c r="Q937" i="2"/>
  <c r="Q967" i="2"/>
  <c r="Q995" i="2"/>
  <c r="Q999" i="2"/>
  <c r="Q1000" i="2"/>
  <c r="Q1001" i="2"/>
  <c r="Q1029" i="2"/>
  <c r="Q1059" i="2"/>
  <c r="Q1095" i="2"/>
  <c r="Q1096" i="2"/>
  <c r="Q1097" i="2"/>
  <c r="Q1121" i="2"/>
  <c r="R1122" i="2"/>
  <c r="Q1136" i="2"/>
  <c r="Q1137" i="2"/>
  <c r="R1138" i="2"/>
  <c r="R1142" i="2"/>
  <c r="R1270" i="2"/>
  <c r="R1272" i="2"/>
  <c r="Q1362" i="2"/>
  <c r="Q1363" i="2"/>
  <c r="Q1364" i="2"/>
  <c r="Q1401" i="2"/>
  <c r="Q1477" i="2"/>
  <c r="R1487" i="2"/>
  <c r="Q1487" i="2"/>
  <c r="R1499" i="2"/>
  <c r="Q1499" i="2"/>
  <c r="Q1509" i="2"/>
  <c r="R1531" i="2"/>
  <c r="Q1531" i="2"/>
  <c r="R1547" i="2"/>
  <c r="Q1547" i="2"/>
  <c r="Q1605" i="2"/>
  <c r="R1615" i="2"/>
  <c r="Q1615" i="2"/>
  <c r="R1627" i="2"/>
  <c r="Q1627" i="2"/>
  <c r="Q1685" i="2"/>
  <c r="R1695" i="2"/>
  <c r="Q1695" i="2"/>
  <c r="Q1704" i="2"/>
  <c r="R1704" i="2"/>
  <c r="Q1728" i="2"/>
  <c r="R1728" i="2"/>
  <c r="Q1756" i="2"/>
  <c r="R1756" i="2"/>
  <c r="Q1776" i="2"/>
  <c r="R1776" i="2"/>
  <c r="R1804" i="2"/>
  <c r="R1806" i="2"/>
  <c r="Q1848" i="2"/>
  <c r="R1848" i="2"/>
  <c r="Q1885" i="2"/>
  <c r="R1890" i="2"/>
  <c r="Q656" i="2"/>
  <c r="Q704" i="2"/>
  <c r="Q776" i="2"/>
  <c r="Q800" i="2"/>
  <c r="Q839" i="2"/>
  <c r="Q852" i="2"/>
  <c r="Q915" i="2"/>
  <c r="Q916" i="2"/>
  <c r="Q936" i="2"/>
  <c r="Q979" i="2"/>
  <c r="Q980" i="2"/>
  <c r="Q1028" i="2"/>
  <c r="Q1063" i="2"/>
  <c r="Q1064" i="2"/>
  <c r="Q1113" i="2"/>
  <c r="R1114" i="2"/>
  <c r="R1148" i="2"/>
  <c r="Q1338" i="2"/>
  <c r="Q1346" i="2"/>
  <c r="Q1347" i="2"/>
  <c r="R1392" i="2"/>
  <c r="Q1392" i="2"/>
  <c r="R1738" i="2"/>
  <c r="Q1738" i="2"/>
  <c r="R1755" i="2"/>
  <c r="Q1755" i="2"/>
  <c r="Q1818" i="2"/>
  <c r="R1818" i="2"/>
  <c r="Q1864" i="2"/>
  <c r="R1864" i="2"/>
  <c r="Q1898" i="2"/>
  <c r="R1898" i="2"/>
  <c r="Q935" i="2"/>
  <c r="Q1012" i="2"/>
  <c r="Q1390" i="2"/>
  <c r="Q1400" i="2"/>
  <c r="R1400" i="2"/>
  <c r="Q1557" i="2"/>
  <c r="R1567" i="2"/>
  <c r="Q1567" i="2"/>
  <c r="R1591" i="2"/>
  <c r="Q1591" i="2"/>
  <c r="Q1637" i="2"/>
  <c r="R1659" i="2"/>
  <c r="Q1659" i="2"/>
  <c r="R1706" i="2"/>
  <c r="Q1706" i="2"/>
  <c r="Q1730" i="2"/>
  <c r="R1730" i="2"/>
  <c r="Q1768" i="2"/>
  <c r="R1768" i="2"/>
  <c r="R1778" i="2"/>
  <c r="Q1778" i="2"/>
  <c r="Q1850" i="2"/>
  <c r="R1850" i="2"/>
  <c r="Q2021" i="2"/>
  <c r="Q1497" i="2"/>
  <c r="Q1498" i="2"/>
  <c r="Q1545" i="2"/>
  <c r="Q1546" i="2"/>
  <c r="Q1573" i="2"/>
  <c r="Q1621" i="2"/>
  <c r="Q1625" i="2"/>
  <c r="Q1626" i="2"/>
  <c r="Q1705" i="2"/>
  <c r="Q1753" i="2"/>
  <c r="Q1754" i="2"/>
  <c r="Q1757" i="2"/>
  <c r="Q1769" i="2"/>
  <c r="Q1777" i="2"/>
  <c r="R1780" i="2"/>
  <c r="Q1865" i="2"/>
  <c r="R1868" i="2"/>
  <c r="Q1937" i="2"/>
  <c r="Q1393" i="2"/>
  <c r="Q1398" i="2"/>
  <c r="Q1399" i="2"/>
  <c r="Q1485" i="2"/>
  <c r="Q1486" i="2"/>
  <c r="Q1529" i="2"/>
  <c r="Q1530" i="2"/>
  <c r="Q1565" i="2"/>
  <c r="Q1566" i="2"/>
  <c r="Q1590" i="2"/>
  <c r="Q1613" i="2"/>
  <c r="Q1614" i="2"/>
  <c r="Q1657" i="2"/>
  <c r="Q1658" i="2"/>
  <c r="Q1677" i="2"/>
  <c r="Q1678" i="2"/>
  <c r="Q1686" i="2"/>
  <c r="Q1693" i="2"/>
  <c r="Q1694" i="2"/>
  <c r="Q1702" i="2"/>
  <c r="Q1703" i="2"/>
  <c r="Q1718" i="2"/>
  <c r="Q1721" i="2"/>
  <c r="Q1734" i="2"/>
  <c r="Q1735" i="2"/>
  <c r="Q1737" i="2"/>
  <c r="Q1949" i="2"/>
  <c r="Q1957" i="2"/>
  <c r="Q1965" i="2"/>
  <c r="Q1973" i="2"/>
  <c r="Q1981" i="2"/>
  <c r="Q1989" i="2"/>
  <c r="Q1997" i="2"/>
  <c r="Q133" i="2"/>
  <c r="Q181" i="2"/>
  <c r="Q182" i="2"/>
  <c r="Q5" i="2"/>
  <c r="Q33" i="2"/>
  <c r="R34" i="2"/>
  <c r="Q49" i="2"/>
  <c r="R50" i="2"/>
  <c r="Q65" i="2"/>
  <c r="R66" i="2"/>
  <c r="Q81" i="2"/>
  <c r="R82" i="2"/>
  <c r="Q97" i="2"/>
  <c r="R98" i="2"/>
  <c r="Q113" i="2"/>
  <c r="R114" i="2"/>
  <c r="Q129" i="2"/>
  <c r="Q132" i="2"/>
  <c r="Q138" i="2"/>
  <c r="Q144" i="2"/>
  <c r="Q148" i="2"/>
  <c r="Q154" i="2"/>
  <c r="Q160" i="2"/>
  <c r="Q164" i="2"/>
  <c r="Q170" i="2"/>
  <c r="Q176" i="2"/>
  <c r="Q180" i="2"/>
  <c r="R299" i="2"/>
  <c r="R307" i="2"/>
  <c r="R315" i="2"/>
  <c r="R323" i="2"/>
  <c r="R331" i="2"/>
  <c r="R339" i="2"/>
  <c r="R347" i="2"/>
  <c r="R355" i="2"/>
  <c r="R363" i="2"/>
  <c r="R371" i="2"/>
  <c r="R379" i="2"/>
  <c r="R387" i="2"/>
  <c r="R395" i="2"/>
  <c r="R403" i="2"/>
  <c r="R411" i="2"/>
  <c r="R419" i="2"/>
  <c r="R427" i="2"/>
  <c r="R435" i="2"/>
  <c r="R443" i="2"/>
  <c r="R451" i="2"/>
  <c r="R459" i="2"/>
  <c r="R467" i="2"/>
  <c r="R474" i="2"/>
  <c r="R510" i="2"/>
  <c r="R522" i="2"/>
  <c r="R609" i="2"/>
  <c r="Q609" i="2"/>
  <c r="R617" i="2"/>
  <c r="Q617" i="2"/>
  <c r="R665" i="2"/>
  <c r="Q665" i="2"/>
  <c r="R473" i="2"/>
  <c r="Q473" i="2"/>
  <c r="R589" i="2"/>
  <c r="Q589" i="2"/>
  <c r="R597" i="2"/>
  <c r="Q597" i="2"/>
  <c r="R737" i="2"/>
  <c r="Q737" i="2"/>
  <c r="Q8" i="2"/>
  <c r="Q25" i="2"/>
  <c r="R26" i="2"/>
  <c r="Q41" i="2"/>
  <c r="R42" i="2"/>
  <c r="Q57" i="2"/>
  <c r="R58" i="2"/>
  <c r="Q73" i="2"/>
  <c r="R74" i="2"/>
  <c r="Q89" i="2"/>
  <c r="R90" i="2"/>
  <c r="Q105" i="2"/>
  <c r="R106" i="2"/>
  <c r="Q121" i="2"/>
  <c r="R122" i="2"/>
  <c r="Q130" i="2"/>
  <c r="Q135" i="2"/>
  <c r="Q136" i="2"/>
  <c r="Q140" i="2"/>
  <c r="Q146" i="2"/>
  <c r="Q151" i="2"/>
  <c r="Q152" i="2"/>
  <c r="Q156" i="2"/>
  <c r="Q162" i="2"/>
  <c r="Q167" i="2"/>
  <c r="Q168" i="2"/>
  <c r="Q172" i="2"/>
  <c r="Q178" i="2"/>
  <c r="Q188" i="2"/>
  <c r="R303" i="2"/>
  <c r="R311" i="2"/>
  <c r="R319" i="2"/>
  <c r="R327" i="2"/>
  <c r="R335" i="2"/>
  <c r="R343" i="2"/>
  <c r="R351" i="2"/>
  <c r="R359" i="2"/>
  <c r="R367" i="2"/>
  <c r="R375" i="2"/>
  <c r="R383" i="2"/>
  <c r="R391" i="2"/>
  <c r="R399" i="2"/>
  <c r="R407" i="2"/>
  <c r="R415" i="2"/>
  <c r="R423" i="2"/>
  <c r="R431" i="2"/>
  <c r="R439" i="2"/>
  <c r="R447" i="2"/>
  <c r="R455" i="2"/>
  <c r="R463" i="2"/>
  <c r="R471" i="2"/>
  <c r="Q479" i="2"/>
  <c r="Q480" i="2"/>
  <c r="Q481" i="2"/>
  <c r="Q486" i="2"/>
  <c r="Q500" i="2"/>
  <c r="R502" i="2"/>
  <c r="R505" i="2"/>
  <c r="Q505" i="2"/>
  <c r="R689" i="2"/>
  <c r="Q689" i="2"/>
  <c r="Q149" i="2"/>
  <c r="Q165" i="2"/>
  <c r="Q476" i="2"/>
  <c r="Q511" i="2"/>
  <c r="Q512" i="2"/>
  <c r="Q513" i="2"/>
  <c r="R557" i="2"/>
  <c r="Q557" i="2"/>
  <c r="R565" i="2"/>
  <c r="Q565" i="2"/>
  <c r="R633" i="2"/>
  <c r="Q633" i="2"/>
  <c r="R641" i="2"/>
  <c r="Q641" i="2"/>
  <c r="R713" i="2"/>
  <c r="Q713" i="2"/>
  <c r="R721" i="2"/>
  <c r="Q721" i="2"/>
  <c r="R761" i="2"/>
  <c r="Q761" i="2"/>
  <c r="R1017" i="2"/>
  <c r="Q1017" i="2"/>
  <c r="Q1800" i="2"/>
  <c r="R1800" i="2"/>
  <c r="Q1882" i="2"/>
  <c r="R1882" i="2"/>
  <c r="Q503" i="2"/>
  <c r="Q504" i="2"/>
  <c r="R530" i="2"/>
  <c r="Q564" i="2"/>
  <c r="Q596" i="2"/>
  <c r="Q616" i="2"/>
  <c r="Q640" i="2"/>
  <c r="Q664" i="2"/>
  <c r="Q720" i="2"/>
  <c r="Q744" i="2"/>
  <c r="Q745" i="2"/>
  <c r="Q768" i="2"/>
  <c r="Q769" i="2"/>
  <c r="Q792" i="2"/>
  <c r="Q793" i="2"/>
  <c r="Q824" i="2"/>
  <c r="Q835" i="2"/>
  <c r="Q836" i="2"/>
  <c r="Q837" i="2"/>
  <c r="Q849" i="2"/>
  <c r="Q888" i="2"/>
  <c r="Q899" i="2"/>
  <c r="Q900" i="2"/>
  <c r="Q901" i="2"/>
  <c r="Q931" i="2"/>
  <c r="Q932" i="2"/>
  <c r="Q933" i="2"/>
  <c r="Q963" i="2"/>
  <c r="Q964" i="2"/>
  <c r="Q965" i="2"/>
  <c r="Q1027" i="2"/>
  <c r="Q1043" i="2"/>
  <c r="Q1044" i="2"/>
  <c r="Q1045" i="2"/>
  <c r="R1049" i="2"/>
  <c r="Q1049" i="2"/>
  <c r="Q1060" i="2"/>
  <c r="Q1093" i="2"/>
  <c r="R1118" i="2"/>
  <c r="Q1118" i="2"/>
  <c r="R1292" i="2"/>
  <c r="Q1292" i="2"/>
  <c r="R1380" i="2"/>
  <c r="Q1380" i="2"/>
  <c r="R1432" i="2"/>
  <c r="Q1432" i="2"/>
  <c r="Q1456" i="2"/>
  <c r="R1456" i="2"/>
  <c r="Q556" i="2"/>
  <c r="Q588" i="2"/>
  <c r="Q608" i="2"/>
  <c r="Q632" i="2"/>
  <c r="Q688" i="2"/>
  <c r="Q712" i="2"/>
  <c r="Q736" i="2"/>
  <c r="Q760" i="2"/>
  <c r="Q803" i="2"/>
  <c r="Q804" i="2"/>
  <c r="Q805" i="2"/>
  <c r="Q823" i="2"/>
  <c r="Q867" i="2"/>
  <c r="Q868" i="2"/>
  <c r="Q869" i="2"/>
  <c r="Q887" i="2"/>
  <c r="Q919" i="2"/>
  <c r="Q920" i="2"/>
  <c r="Q921" i="2"/>
  <c r="Q951" i="2"/>
  <c r="Q952" i="2"/>
  <c r="Q953" i="2"/>
  <c r="Q983" i="2"/>
  <c r="Q997" i="2"/>
  <c r="Q1075" i="2"/>
  <c r="Q1076" i="2"/>
  <c r="Q1077" i="2"/>
  <c r="R1081" i="2"/>
  <c r="Q1081" i="2"/>
  <c r="R1117" i="2"/>
  <c r="Q1117" i="2"/>
  <c r="R1416" i="2"/>
  <c r="Q1416" i="2"/>
  <c r="Q815" i="2"/>
  <c r="Q847" i="2"/>
  <c r="Q879" i="2"/>
  <c r="Q911" i="2"/>
  <c r="R985" i="2"/>
  <c r="Q985" i="2"/>
  <c r="Q996" i="2"/>
  <c r="Q1091" i="2"/>
  <c r="R1112" i="2"/>
  <c r="Q1120" i="2"/>
  <c r="R1120" i="2"/>
  <c r="Q1156" i="2"/>
  <c r="R1156" i="2"/>
  <c r="Q1164" i="2"/>
  <c r="R1164" i="2"/>
  <c r="Q1172" i="2"/>
  <c r="R1172" i="2"/>
  <c r="Q1180" i="2"/>
  <c r="R1180" i="2"/>
  <c r="Q1188" i="2"/>
  <c r="R1188" i="2"/>
  <c r="Q1196" i="2"/>
  <c r="R1196" i="2"/>
  <c r="Q1204" i="2"/>
  <c r="R1204" i="2"/>
  <c r="Q1212" i="2"/>
  <c r="R1212" i="2"/>
  <c r="Q1220" i="2"/>
  <c r="R1220" i="2"/>
  <c r="Q1228" i="2"/>
  <c r="R1228" i="2"/>
  <c r="Q1236" i="2"/>
  <c r="R1236" i="2"/>
  <c r="Q1244" i="2"/>
  <c r="R1244" i="2"/>
  <c r="Q1252" i="2"/>
  <c r="R1252" i="2"/>
  <c r="Q1260" i="2"/>
  <c r="R1260" i="2"/>
  <c r="R1324" i="2"/>
  <c r="Q1324" i="2"/>
  <c r="R1344" i="2"/>
  <c r="Q1344" i="2"/>
  <c r="Q1358" i="2"/>
  <c r="Q984" i="2"/>
  <c r="Q1015" i="2"/>
  <c r="Q1016" i="2"/>
  <c r="Q1047" i="2"/>
  <c r="Q1048" i="2"/>
  <c r="Q1079" i="2"/>
  <c r="Q1080" i="2"/>
  <c r="Q1115" i="2"/>
  <c r="Q1116" i="2"/>
  <c r="Q1147" i="2"/>
  <c r="R1158" i="2"/>
  <c r="R1160" i="2"/>
  <c r="R1166" i="2"/>
  <c r="R1168" i="2"/>
  <c r="R1174" i="2"/>
  <c r="R1176" i="2"/>
  <c r="R1182" i="2"/>
  <c r="R1184" i="2"/>
  <c r="R1190" i="2"/>
  <c r="R1192" i="2"/>
  <c r="R1198" i="2"/>
  <c r="R1200" i="2"/>
  <c r="R1206" i="2"/>
  <c r="R1208" i="2"/>
  <c r="R1214" i="2"/>
  <c r="R1216" i="2"/>
  <c r="R1222" i="2"/>
  <c r="R1224" i="2"/>
  <c r="R1230" i="2"/>
  <c r="R1232" i="2"/>
  <c r="R1238" i="2"/>
  <c r="R1240" i="2"/>
  <c r="R1246" i="2"/>
  <c r="R1248" i="2"/>
  <c r="R1254" i="2"/>
  <c r="R1256" i="2"/>
  <c r="R1262" i="2"/>
  <c r="R1264" i="2"/>
  <c r="Q1276" i="2"/>
  <c r="R1276" i="2"/>
  <c r="Q1290" i="2"/>
  <c r="Q1291" i="2"/>
  <c r="R1296" i="2"/>
  <c r="Q1296" i="2"/>
  <c r="Q1307" i="2"/>
  <c r="Q1391" i="2"/>
  <c r="R1448" i="2"/>
  <c r="R1766" i="2"/>
  <c r="Q1766" i="2"/>
  <c r="Q1824" i="2"/>
  <c r="R1824" i="2"/>
  <c r="Q1268" i="2"/>
  <c r="R1268" i="2"/>
  <c r="Q1306" i="2"/>
  <c r="Q1322" i="2"/>
  <c r="Q1323" i="2"/>
  <c r="R1328" i="2"/>
  <c r="Q1328" i="2"/>
  <c r="R1434" i="2"/>
  <c r="Q1434" i="2"/>
  <c r="Q1458" i="2"/>
  <c r="R1458" i="2"/>
  <c r="R1463" i="2"/>
  <c r="Q1463" i="2"/>
  <c r="Q1802" i="2"/>
  <c r="R1802" i="2"/>
  <c r="Q1852" i="2"/>
  <c r="R1852" i="2"/>
  <c r="R1368" i="2"/>
  <c r="Q1368" i="2"/>
  <c r="Q1379" i="2"/>
  <c r="R1408" i="2"/>
  <c r="Q1408" i="2"/>
  <c r="R1471" i="2"/>
  <c r="Q1471" i="2"/>
  <c r="Q1494" i="2"/>
  <c r="Q1510" i="2"/>
  <c r="R1511" i="2"/>
  <c r="Q1511" i="2"/>
  <c r="R1515" i="2"/>
  <c r="Q1515" i="2"/>
  <c r="Q1558" i="2"/>
  <c r="Q1574" i="2"/>
  <c r="R1575" i="2"/>
  <c r="Q1575" i="2"/>
  <c r="R1579" i="2"/>
  <c r="Q1579" i="2"/>
  <c r="Q1622" i="2"/>
  <c r="Q1638" i="2"/>
  <c r="R1639" i="2"/>
  <c r="Q1639" i="2"/>
  <c r="R1643" i="2"/>
  <c r="Q1643" i="2"/>
  <c r="Q1764" i="2"/>
  <c r="R1764" i="2"/>
  <c r="Q1826" i="2"/>
  <c r="R1826" i="2"/>
  <c r="Q1942" i="2"/>
  <c r="Q2010" i="2"/>
  <c r="Q2019" i="2"/>
  <c r="Q1414" i="2"/>
  <c r="Q1417" i="2"/>
  <c r="Q1430" i="2"/>
  <c r="Q1433" i="2"/>
  <c r="Q1470" i="2"/>
  <c r="Q1513" i="2"/>
  <c r="Q1514" i="2"/>
  <c r="Q1577" i="2"/>
  <c r="Q1578" i="2"/>
  <c r="Q1641" i="2"/>
  <c r="Q1642" i="2"/>
  <c r="Q1765" i="2"/>
  <c r="Q1905" i="2"/>
  <c r="Q1294" i="2"/>
  <c r="Q1295" i="2"/>
  <c r="Q1326" i="2"/>
  <c r="Q1327" i="2"/>
  <c r="Q1343" i="2"/>
  <c r="Q1366" i="2"/>
  <c r="Q1367" i="2"/>
  <c r="Q1446" i="2"/>
  <c r="Q1449" i="2"/>
  <c r="Q1462" i="2"/>
  <c r="Q1749" i="2"/>
  <c r="Q1761" i="2"/>
  <c r="Q1762" i="2"/>
  <c r="Q1773" i="2"/>
  <c r="Q1785" i="2"/>
  <c r="Q1870" i="2"/>
  <c r="Q1871" i="2"/>
  <c r="Q1886" i="2"/>
  <c r="Q1909" i="2"/>
  <c r="Q1926" i="2"/>
  <c r="Q2002" i="2"/>
  <c r="Q2008" i="2"/>
  <c r="R497" i="2"/>
  <c r="Q497" i="2"/>
  <c r="R621" i="2"/>
  <c r="Q621" i="2"/>
  <c r="R749" i="2"/>
  <c r="Q749" i="2"/>
  <c r="R829" i="2"/>
  <c r="Q829" i="2"/>
  <c r="R893" i="2"/>
  <c r="Q893" i="2"/>
  <c r="Q1130" i="2"/>
  <c r="R1130" i="2"/>
  <c r="R1479" i="2"/>
  <c r="Q1479" i="2"/>
  <c r="R1491" i="2"/>
  <c r="Q1491" i="2"/>
  <c r="R1519" i="2"/>
  <c r="Q1519" i="2"/>
  <c r="R1543" i="2"/>
  <c r="Q1543" i="2"/>
  <c r="R1555" i="2"/>
  <c r="Q1555" i="2"/>
  <c r="R1583" i="2"/>
  <c r="Q1583" i="2"/>
  <c r="R1647" i="2"/>
  <c r="Q1647" i="2"/>
  <c r="R1671" i="2"/>
  <c r="Q1671" i="2"/>
  <c r="R1683" i="2"/>
  <c r="Q1683" i="2"/>
  <c r="R1712" i="2"/>
  <c r="Q1712" i="2"/>
  <c r="Q1844" i="2"/>
  <c r="R1844" i="2"/>
  <c r="Q131" i="2"/>
  <c r="Q147" i="2"/>
  <c r="Q163" i="2"/>
  <c r="Q179" i="2"/>
  <c r="R490" i="2"/>
  <c r="R717" i="2"/>
  <c r="Q717" i="2"/>
  <c r="R1125" i="2"/>
  <c r="Q1125" i="2"/>
  <c r="Q1162" i="2"/>
  <c r="R1162" i="2"/>
  <c r="Q1178" i="2"/>
  <c r="R1178" i="2"/>
  <c r="Q1194" i="2"/>
  <c r="R1194" i="2"/>
  <c r="Q1210" i="2"/>
  <c r="R1210" i="2"/>
  <c r="Q1226" i="2"/>
  <c r="R1226" i="2"/>
  <c r="Q1242" i="2"/>
  <c r="R1242" i="2"/>
  <c r="Q1258" i="2"/>
  <c r="R1258" i="2"/>
  <c r="Q1274" i="2"/>
  <c r="R1274" i="2"/>
  <c r="R521" i="2"/>
  <c r="Q521" i="2"/>
  <c r="R1134" i="2"/>
  <c r="Q1134" i="2"/>
  <c r="R1395" i="2"/>
  <c r="Q1395" i="2"/>
  <c r="Q1442" i="2"/>
  <c r="R1442" i="2"/>
  <c r="R1607" i="2"/>
  <c r="Q1607" i="2"/>
  <c r="R1619" i="2"/>
  <c r="Q1619" i="2"/>
  <c r="R1774" i="2"/>
  <c r="Q1774" i="2"/>
  <c r="Q139" i="2"/>
  <c r="Q155" i="2"/>
  <c r="Q171" i="2"/>
  <c r="Q186" i="2"/>
  <c r="Q11" i="2"/>
  <c r="Q7" i="2"/>
  <c r="R9" i="2"/>
  <c r="Q9" i="2"/>
  <c r="Q29" i="2"/>
  <c r="R30" i="2"/>
  <c r="Q37" i="2"/>
  <c r="R38" i="2"/>
  <c r="Q45" i="2"/>
  <c r="R46" i="2"/>
  <c r="Q53" i="2"/>
  <c r="R54" i="2"/>
  <c r="Q61" i="2"/>
  <c r="R62" i="2"/>
  <c r="Q69" i="2"/>
  <c r="R70" i="2"/>
  <c r="Q77" i="2"/>
  <c r="R78" i="2"/>
  <c r="Q85" i="2"/>
  <c r="R86" i="2"/>
  <c r="Q93" i="2"/>
  <c r="R94" i="2"/>
  <c r="Q101" i="2"/>
  <c r="R102" i="2"/>
  <c r="Q109" i="2"/>
  <c r="R110" i="2"/>
  <c r="Q117" i="2"/>
  <c r="R118" i="2"/>
  <c r="Q125" i="2"/>
  <c r="R126" i="2"/>
  <c r="Q137" i="2"/>
  <c r="Q145" i="2"/>
  <c r="Q153" i="2"/>
  <c r="Q161" i="2"/>
  <c r="Q169" i="2"/>
  <c r="Q177" i="2"/>
  <c r="Q482" i="2"/>
  <c r="R489" i="2"/>
  <c r="Q489" i="2"/>
  <c r="R685" i="2"/>
  <c r="Q685" i="2"/>
  <c r="R817" i="2"/>
  <c r="Q817" i="2"/>
  <c r="R857" i="2"/>
  <c r="Q857" i="2"/>
  <c r="R881" i="2"/>
  <c r="Q881" i="2"/>
  <c r="Q3" i="2"/>
  <c r="Q27" i="2"/>
  <c r="R28" i="2"/>
  <c r="Q35" i="2"/>
  <c r="R36" i="2"/>
  <c r="Q43" i="2"/>
  <c r="R44" i="2"/>
  <c r="Q51" i="2"/>
  <c r="R52" i="2"/>
  <c r="Q59" i="2"/>
  <c r="R60" i="2"/>
  <c r="Q67" i="2"/>
  <c r="R68" i="2"/>
  <c r="Q75" i="2"/>
  <c r="R76" i="2"/>
  <c r="Q83" i="2"/>
  <c r="R84" i="2"/>
  <c r="Q91" i="2"/>
  <c r="R92" i="2"/>
  <c r="Q99" i="2"/>
  <c r="R100" i="2"/>
  <c r="Q107" i="2"/>
  <c r="R108" i="2"/>
  <c r="Q115" i="2"/>
  <c r="R116" i="2"/>
  <c r="Q123" i="2"/>
  <c r="R124" i="2"/>
  <c r="Q184" i="2"/>
  <c r="R514" i="2"/>
  <c r="Q514" i="2"/>
  <c r="R518" i="2"/>
  <c r="Q518" i="2"/>
  <c r="R653" i="2"/>
  <c r="Q653" i="2"/>
  <c r="R781" i="2"/>
  <c r="Q781" i="2"/>
  <c r="R613" i="2"/>
  <c r="Q613" i="2"/>
  <c r="R645" i="2"/>
  <c r="Q645" i="2"/>
  <c r="R677" i="2"/>
  <c r="Q677" i="2"/>
  <c r="R709" i="2"/>
  <c r="Q709" i="2"/>
  <c r="R741" i="2"/>
  <c r="Q741" i="2"/>
  <c r="R773" i="2"/>
  <c r="Q773" i="2"/>
  <c r="Q831" i="2"/>
  <c r="R845" i="2"/>
  <c r="Q845" i="2"/>
  <c r="Q848" i="2"/>
  <c r="Q895" i="2"/>
  <c r="R909" i="2"/>
  <c r="Q909" i="2"/>
  <c r="Q912" i="2"/>
  <c r="R913" i="2"/>
  <c r="Q913" i="2"/>
  <c r="R925" i="2"/>
  <c r="Q925" i="2"/>
  <c r="R929" i="2"/>
  <c r="Q929" i="2"/>
  <c r="R941" i="2"/>
  <c r="Q941" i="2"/>
  <c r="R945" i="2"/>
  <c r="Q945" i="2"/>
  <c r="R957" i="2"/>
  <c r="Q957" i="2"/>
  <c r="R961" i="2"/>
  <c r="Q961" i="2"/>
  <c r="R973" i="2"/>
  <c r="Q973" i="2"/>
  <c r="R977" i="2"/>
  <c r="Q977" i="2"/>
  <c r="R989" i="2"/>
  <c r="Q989" i="2"/>
  <c r="R993" i="2"/>
  <c r="Q993" i="2"/>
  <c r="R1005" i="2"/>
  <c r="Q1005" i="2"/>
  <c r="R1009" i="2"/>
  <c r="Q1009" i="2"/>
  <c r="R1021" i="2"/>
  <c r="Q1021" i="2"/>
  <c r="R1025" i="2"/>
  <c r="Q1025" i="2"/>
  <c r="R1037" i="2"/>
  <c r="Q1037" i="2"/>
  <c r="R1041" i="2"/>
  <c r="Q1041" i="2"/>
  <c r="R1053" i="2"/>
  <c r="Q1053" i="2"/>
  <c r="R1057" i="2"/>
  <c r="Q1057" i="2"/>
  <c r="R1069" i="2"/>
  <c r="Q1069" i="2"/>
  <c r="R1073" i="2"/>
  <c r="Q1073" i="2"/>
  <c r="R1085" i="2"/>
  <c r="Q1085" i="2"/>
  <c r="R1089" i="2"/>
  <c r="Q1089" i="2"/>
  <c r="R1101" i="2"/>
  <c r="Q1101" i="2"/>
  <c r="R1105" i="2"/>
  <c r="Q1105" i="2"/>
  <c r="R1128" i="2"/>
  <c r="R1133" i="2"/>
  <c r="Q1133" i="2"/>
  <c r="R1154" i="2"/>
  <c r="R1170" i="2"/>
  <c r="R1186" i="2"/>
  <c r="R1202" i="2"/>
  <c r="R1218" i="2"/>
  <c r="R1234" i="2"/>
  <c r="R1250" i="2"/>
  <c r="R1266" i="2"/>
  <c r="R1284" i="2"/>
  <c r="Q1284" i="2"/>
  <c r="R1288" i="2"/>
  <c r="Q1288" i="2"/>
  <c r="R1300" i="2"/>
  <c r="Q1300" i="2"/>
  <c r="R1304" i="2"/>
  <c r="Q1304" i="2"/>
  <c r="R1316" i="2"/>
  <c r="Q1316" i="2"/>
  <c r="R1320" i="2"/>
  <c r="Q1320" i="2"/>
  <c r="R1332" i="2"/>
  <c r="Q1332" i="2"/>
  <c r="R1336" i="2"/>
  <c r="Q1336" i="2"/>
  <c r="R1352" i="2"/>
  <c r="Q1352" i="2"/>
  <c r="R1360" i="2"/>
  <c r="Q1360" i="2"/>
  <c r="R1372" i="2"/>
  <c r="Q1372" i="2"/>
  <c r="Q1375" i="2"/>
  <c r="R1376" i="2"/>
  <c r="Q1376" i="2"/>
  <c r="R1388" i="2"/>
  <c r="Q1388" i="2"/>
  <c r="R1744" i="2"/>
  <c r="Q1744" i="2"/>
  <c r="Q1790" i="2"/>
  <c r="R1790" i="2"/>
  <c r="Q1808" i="2"/>
  <c r="R1808" i="2"/>
  <c r="Q484" i="2"/>
  <c r="Q487" i="2"/>
  <c r="Q488" i="2"/>
  <c r="Q516" i="2"/>
  <c r="Q519" i="2"/>
  <c r="Q520" i="2"/>
  <c r="R605" i="2"/>
  <c r="Q605" i="2"/>
  <c r="R637" i="2"/>
  <c r="Q637" i="2"/>
  <c r="R669" i="2"/>
  <c r="Q669" i="2"/>
  <c r="R701" i="2"/>
  <c r="Q701" i="2"/>
  <c r="R733" i="2"/>
  <c r="Q733" i="2"/>
  <c r="R765" i="2"/>
  <c r="Q765" i="2"/>
  <c r="R797" i="2"/>
  <c r="Q797" i="2"/>
  <c r="Q855" i="2"/>
  <c r="Q856" i="2"/>
  <c r="R861" i="2"/>
  <c r="Q861" i="2"/>
  <c r="R1153" i="2"/>
  <c r="Q1153" i="2"/>
  <c r="R1440" i="2"/>
  <c r="Q1440" i="2"/>
  <c r="R1467" i="2"/>
  <c r="Q1467" i="2"/>
  <c r="Q1714" i="2"/>
  <c r="R1714" i="2"/>
  <c r="R1758" i="2"/>
  <c r="Q1758" i="2"/>
  <c r="Q1874" i="2"/>
  <c r="R1874" i="2"/>
  <c r="Q1884" i="2"/>
  <c r="R1884" i="2"/>
  <c r="Q10" i="2"/>
  <c r="Q492" i="2"/>
  <c r="Q495" i="2"/>
  <c r="Q496" i="2"/>
  <c r="Q524" i="2"/>
  <c r="Q527" i="2"/>
  <c r="Q528" i="2"/>
  <c r="Q529" i="2"/>
  <c r="Q544" i="2"/>
  <c r="Q545" i="2"/>
  <c r="Q552" i="2"/>
  <c r="Q553" i="2"/>
  <c r="Q560" i="2"/>
  <c r="Q561" i="2"/>
  <c r="Q568" i="2"/>
  <c r="Q569" i="2"/>
  <c r="Q576" i="2"/>
  <c r="Q577" i="2"/>
  <c r="Q584" i="2"/>
  <c r="Q585" i="2"/>
  <c r="Q592" i="2"/>
  <c r="Q593" i="2"/>
  <c r="R629" i="2"/>
  <c r="Q629" i="2"/>
  <c r="R661" i="2"/>
  <c r="Q661" i="2"/>
  <c r="R693" i="2"/>
  <c r="Q693" i="2"/>
  <c r="R725" i="2"/>
  <c r="Q725" i="2"/>
  <c r="R757" i="2"/>
  <c r="Q757" i="2"/>
  <c r="R789" i="2"/>
  <c r="Q789" i="2"/>
  <c r="Q799" i="2"/>
  <c r="Q807" i="2"/>
  <c r="Q808" i="2"/>
  <c r="Q809" i="2"/>
  <c r="R813" i="2"/>
  <c r="Q813" i="2"/>
  <c r="Q816" i="2"/>
  <c r="Q833" i="2"/>
  <c r="Q863" i="2"/>
  <c r="Q871" i="2"/>
  <c r="Q872" i="2"/>
  <c r="Q873" i="2"/>
  <c r="R877" i="2"/>
  <c r="Q877" i="2"/>
  <c r="Q880" i="2"/>
  <c r="Q897" i="2"/>
  <c r="R1126" i="2"/>
  <c r="Q1126" i="2"/>
  <c r="Q1410" i="2"/>
  <c r="R1410" i="2"/>
  <c r="R1418" i="2"/>
  <c r="Q1418" i="2"/>
  <c r="Q1746" i="2"/>
  <c r="R1746" i="2"/>
  <c r="Q1788" i="2"/>
  <c r="R1788" i="2"/>
  <c r="Q1810" i="2"/>
  <c r="R1810" i="2"/>
  <c r="Q1814" i="2"/>
  <c r="R1814" i="2"/>
  <c r="R1507" i="2"/>
  <c r="Q1507" i="2"/>
  <c r="R1571" i="2"/>
  <c r="Q1571" i="2"/>
  <c r="R1635" i="2"/>
  <c r="Q1635" i="2"/>
  <c r="R1699" i="2"/>
  <c r="Q1699" i="2"/>
  <c r="Q1796" i="2"/>
  <c r="R1796" i="2"/>
  <c r="Q1830" i="2"/>
  <c r="R1830" i="2"/>
  <c r="R1872" i="2"/>
  <c r="Q1872" i="2"/>
  <c r="R2007" i="2"/>
  <c r="Q2007" i="2"/>
  <c r="Q927" i="2"/>
  <c r="Q928" i="2"/>
  <c r="Q943" i="2"/>
  <c r="Q944" i="2"/>
  <c r="Q959" i="2"/>
  <c r="Q960" i="2"/>
  <c r="Q975" i="2"/>
  <c r="Q976" i="2"/>
  <c r="Q991" i="2"/>
  <c r="Q992" i="2"/>
  <c r="Q1007" i="2"/>
  <c r="Q1008" i="2"/>
  <c r="Q1023" i="2"/>
  <c r="Q1024" i="2"/>
  <c r="Q1039" i="2"/>
  <c r="Q1040" i="2"/>
  <c r="Q1055" i="2"/>
  <c r="Q1056" i="2"/>
  <c r="Q1071" i="2"/>
  <c r="Q1072" i="2"/>
  <c r="Q1087" i="2"/>
  <c r="Q1088" i="2"/>
  <c r="Q1103" i="2"/>
  <c r="Q1104" i="2"/>
  <c r="Q1131" i="2"/>
  <c r="Q1132" i="2"/>
  <c r="Q1286" i="2"/>
  <c r="Q1287" i="2"/>
  <c r="Q1302" i="2"/>
  <c r="Q1303" i="2"/>
  <c r="Q1318" i="2"/>
  <c r="Q1319" i="2"/>
  <c r="Q1334" i="2"/>
  <c r="Q1335" i="2"/>
  <c r="R1340" i="2"/>
  <c r="Q1340" i="2"/>
  <c r="Q1517" i="2"/>
  <c r="Q1518" i="2"/>
  <c r="R1523" i="2"/>
  <c r="Q1523" i="2"/>
  <c r="Q1581" i="2"/>
  <c r="Q1582" i="2"/>
  <c r="R1587" i="2"/>
  <c r="Q1587" i="2"/>
  <c r="Q1645" i="2"/>
  <c r="Q1646" i="2"/>
  <c r="R1651" i="2"/>
  <c r="Q1651" i="2"/>
  <c r="R1792" i="2"/>
  <c r="R1794" i="2"/>
  <c r="Q1812" i="2"/>
  <c r="R1812" i="2"/>
  <c r="R1836" i="2"/>
  <c r="R1838" i="2"/>
  <c r="Q1846" i="2"/>
  <c r="R1846" i="2"/>
  <c r="R1856" i="2"/>
  <c r="R1860" i="2"/>
  <c r="R1863" i="2"/>
  <c r="Q1863" i="2"/>
  <c r="Q1892" i="2"/>
  <c r="R1892" i="2"/>
  <c r="Q1941" i="2"/>
  <c r="Q604" i="2"/>
  <c r="Q612" i="2"/>
  <c r="Q620" i="2"/>
  <c r="Q628" i="2"/>
  <c r="Q636" i="2"/>
  <c r="Q644" i="2"/>
  <c r="Q652" i="2"/>
  <c r="Q660" i="2"/>
  <c r="Q668" i="2"/>
  <c r="Q676" i="2"/>
  <c r="Q684" i="2"/>
  <c r="Q692" i="2"/>
  <c r="Q700" i="2"/>
  <c r="Q708" i="2"/>
  <c r="Q716" i="2"/>
  <c r="Q724" i="2"/>
  <c r="Q732" i="2"/>
  <c r="Q740" i="2"/>
  <c r="Q748" i="2"/>
  <c r="Q756" i="2"/>
  <c r="Q764" i="2"/>
  <c r="Q772" i="2"/>
  <c r="Q780" i="2"/>
  <c r="Q788" i="2"/>
  <c r="Q796" i="2"/>
  <c r="Q811" i="2"/>
  <c r="Q812" i="2"/>
  <c r="Q827" i="2"/>
  <c r="Q828" i="2"/>
  <c r="Q843" i="2"/>
  <c r="Q844" i="2"/>
  <c r="Q859" i="2"/>
  <c r="Q860" i="2"/>
  <c r="Q875" i="2"/>
  <c r="Q876" i="2"/>
  <c r="Q891" i="2"/>
  <c r="Q892" i="2"/>
  <c r="Q907" i="2"/>
  <c r="Q908" i="2"/>
  <c r="Q923" i="2"/>
  <c r="Q924" i="2"/>
  <c r="Q939" i="2"/>
  <c r="Q940" i="2"/>
  <c r="Q955" i="2"/>
  <c r="Q956" i="2"/>
  <c r="Q971" i="2"/>
  <c r="Q972" i="2"/>
  <c r="Q987" i="2"/>
  <c r="Q988" i="2"/>
  <c r="Q1003" i="2"/>
  <c r="Q1004" i="2"/>
  <c r="Q1019" i="2"/>
  <c r="Q1020" i="2"/>
  <c r="Q1035" i="2"/>
  <c r="Q1036" i="2"/>
  <c r="Q1051" i="2"/>
  <c r="Q1052" i="2"/>
  <c r="Q1067" i="2"/>
  <c r="Q1068" i="2"/>
  <c r="Q1083" i="2"/>
  <c r="Q1084" i="2"/>
  <c r="Q1099" i="2"/>
  <c r="Q1100" i="2"/>
  <c r="Q1123" i="2"/>
  <c r="Q1124" i="2"/>
  <c r="Q1151" i="2"/>
  <c r="Q1152" i="2"/>
  <c r="Q1155" i="2"/>
  <c r="Q1159" i="2"/>
  <c r="Q1163" i="2"/>
  <c r="Q1167" i="2"/>
  <c r="Q1171" i="2"/>
  <c r="Q1175" i="2"/>
  <c r="Q1179" i="2"/>
  <c r="Q1183" i="2"/>
  <c r="Q1187" i="2"/>
  <c r="Q1191" i="2"/>
  <c r="Q1195" i="2"/>
  <c r="Q1199" i="2"/>
  <c r="Q1203" i="2"/>
  <c r="Q1207" i="2"/>
  <c r="Q1211" i="2"/>
  <c r="Q1215" i="2"/>
  <c r="Q1219" i="2"/>
  <c r="Q1223" i="2"/>
  <c r="Q1227" i="2"/>
  <c r="Q1231" i="2"/>
  <c r="Q1235" i="2"/>
  <c r="Q1239" i="2"/>
  <c r="Q1243" i="2"/>
  <c r="Q1247" i="2"/>
  <c r="Q1251" i="2"/>
  <c r="Q1255" i="2"/>
  <c r="Q1259" i="2"/>
  <c r="Q1263" i="2"/>
  <c r="Q1267" i="2"/>
  <c r="Q1271" i="2"/>
  <c r="Q1275" i="2"/>
  <c r="Q1279" i="2"/>
  <c r="Q1282" i="2"/>
  <c r="Q1283" i="2"/>
  <c r="Q1298" i="2"/>
  <c r="Q1299" i="2"/>
  <c r="Q1314" i="2"/>
  <c r="Q1315" i="2"/>
  <c r="Q1330" i="2"/>
  <c r="Q1331" i="2"/>
  <c r="Q1342" i="2"/>
  <c r="Q1350" i="2"/>
  <c r="Q1351" i="2"/>
  <c r="R1356" i="2"/>
  <c r="Q1356" i="2"/>
  <c r="Q1359" i="2"/>
  <c r="Q1415" i="2"/>
  <c r="Q1447" i="2"/>
  <c r="Q1450" i="2"/>
  <c r="R1475" i="2"/>
  <c r="Q1475" i="2"/>
  <c r="Q1478" i="2"/>
  <c r="Q1495" i="2"/>
  <c r="Q1525" i="2"/>
  <c r="Q1533" i="2"/>
  <c r="Q1534" i="2"/>
  <c r="Q1535" i="2"/>
  <c r="R1539" i="2"/>
  <c r="Q1539" i="2"/>
  <c r="Q1542" i="2"/>
  <c r="Q1559" i="2"/>
  <c r="Q1589" i="2"/>
  <c r="Q1597" i="2"/>
  <c r="Q1598" i="2"/>
  <c r="Q1599" i="2"/>
  <c r="R1603" i="2"/>
  <c r="Q1603" i="2"/>
  <c r="Q1606" i="2"/>
  <c r="Q1623" i="2"/>
  <c r="Q1653" i="2"/>
  <c r="Q1661" i="2"/>
  <c r="Q1662" i="2"/>
  <c r="Q1663" i="2"/>
  <c r="R1667" i="2"/>
  <c r="Q1667" i="2"/>
  <c r="Q1670" i="2"/>
  <c r="Q1687" i="2"/>
  <c r="Q1719" i="2"/>
  <c r="Q1722" i="2"/>
  <c r="Q1770" i="2"/>
  <c r="Q1798" i="2"/>
  <c r="R1798" i="2"/>
  <c r="Q1828" i="2"/>
  <c r="R1828" i="2"/>
  <c r="R1855" i="2"/>
  <c r="Q1855" i="2"/>
  <c r="Q1878" i="2"/>
  <c r="R1879" i="2"/>
  <c r="Q1879" i="2"/>
  <c r="Q1894" i="2"/>
  <c r="Q1922" i="2"/>
  <c r="R2003" i="2"/>
  <c r="Q2003" i="2"/>
  <c r="R1888" i="2"/>
  <c r="Q1888" i="2"/>
  <c r="Q1933" i="2"/>
  <c r="Q2013" i="2"/>
  <c r="R2015" i="2"/>
  <c r="Q2015" i="2"/>
  <c r="Q1339" i="2"/>
  <c r="Q1354" i="2"/>
  <c r="Q1355" i="2"/>
  <c r="Q1370" i="2"/>
  <c r="Q1371" i="2"/>
  <c r="Q1386" i="2"/>
  <c r="Q1387" i="2"/>
  <c r="Q1406" i="2"/>
  <c r="Q1407" i="2"/>
  <c r="Q1409" i="2"/>
  <c r="Q1422" i="2"/>
  <c r="Q1423" i="2"/>
  <c r="Q1425" i="2"/>
  <c r="Q1438" i="2"/>
  <c r="Q1439" i="2"/>
  <c r="Q1441" i="2"/>
  <c r="Q1454" i="2"/>
  <c r="Q1455" i="2"/>
  <c r="Q1457" i="2"/>
  <c r="Q1466" i="2"/>
  <c r="Q1474" i="2"/>
  <c r="Q1489" i="2"/>
  <c r="Q1490" i="2"/>
  <c r="Q1505" i="2"/>
  <c r="Q1506" i="2"/>
  <c r="Q1521" i="2"/>
  <c r="Q1522" i="2"/>
  <c r="Q1537" i="2"/>
  <c r="Q1538" i="2"/>
  <c r="Q1553" i="2"/>
  <c r="Q1554" i="2"/>
  <c r="Q1569" i="2"/>
  <c r="Q1570" i="2"/>
  <c r="Q1585" i="2"/>
  <c r="Q1586" i="2"/>
  <c r="Q1601" i="2"/>
  <c r="Q1602" i="2"/>
  <c r="Q1617" i="2"/>
  <c r="Q1618" i="2"/>
  <c r="Q1633" i="2"/>
  <c r="Q1634" i="2"/>
  <c r="Q1649" i="2"/>
  <c r="Q1650" i="2"/>
  <c r="Q1665" i="2"/>
  <c r="Q1666" i="2"/>
  <c r="Q1681" i="2"/>
  <c r="Q1682" i="2"/>
  <c r="Q1697" i="2"/>
  <c r="Q1698" i="2"/>
  <c r="Q1710" i="2"/>
  <c r="Q1711" i="2"/>
  <c r="Q1713" i="2"/>
  <c r="Q1726" i="2"/>
  <c r="Q1727" i="2"/>
  <c r="Q1729" i="2"/>
  <c r="Q1742" i="2"/>
  <c r="Q1743" i="2"/>
  <c r="Q1745" i="2"/>
  <c r="Q1857" i="2"/>
  <c r="Q1862" i="2"/>
  <c r="Q1873" i="2"/>
  <c r="Q1876" i="2"/>
  <c r="R1876" i="2"/>
  <c r="R1887" i="2"/>
  <c r="Q1887" i="2"/>
  <c r="R1895" i="2"/>
  <c r="Q1895" i="2"/>
  <c r="Q1901" i="2"/>
  <c r="Q1917" i="2"/>
  <c r="Q1918" i="2"/>
  <c r="Q1938" i="2"/>
  <c r="Q2017" i="2"/>
  <c r="Q1789" i="2"/>
  <c r="Q1793" i="2"/>
  <c r="Q1797" i="2"/>
  <c r="Q1801" i="2"/>
  <c r="Q1805" i="2"/>
  <c r="Q1809" i="2"/>
  <c r="Q1813" i="2"/>
  <c r="Q1817" i="2"/>
  <c r="Q1821" i="2"/>
  <c r="Q1825" i="2"/>
  <c r="Q1829" i="2"/>
  <c r="Q1833" i="2"/>
  <c r="Q1837" i="2"/>
  <c r="Q1841" i="2"/>
  <c r="Q1845" i="2"/>
  <c r="Q1849" i="2"/>
  <c r="Q1854" i="2"/>
  <c r="Q1881" i="2"/>
  <c r="Q1883" i="2"/>
  <c r="Q1889" i="2"/>
  <c r="Q1891" i="2"/>
  <c r="Q1897" i="2"/>
  <c r="Q1913" i="2"/>
  <c r="Q1914" i="2"/>
  <c r="Q1929" i="2"/>
  <c r="Q1930" i="2"/>
  <c r="Q1945" i="2"/>
  <c r="Q1946" i="2"/>
  <c r="Q1953" i="2"/>
  <c r="Q1954" i="2"/>
  <c r="Q1961" i="2"/>
  <c r="Q1962" i="2"/>
  <c r="Q1969" i="2"/>
  <c r="Q1970" i="2"/>
  <c r="Q1977" i="2"/>
  <c r="Q1978" i="2"/>
  <c r="Q1985" i="2"/>
  <c r="Q1986" i="2"/>
  <c r="Q1993" i="2"/>
  <c r="Q1994" i="2"/>
  <c r="Q2004" i="2"/>
  <c r="Q2005" i="2"/>
  <c r="Q2006" i="2"/>
  <c r="R477" i="2"/>
  <c r="Q477" i="2"/>
  <c r="R509" i="2"/>
  <c r="Q509" i="2"/>
  <c r="R542" i="2"/>
  <c r="Q542" i="2"/>
  <c r="R550" i="2"/>
  <c r="Q550" i="2"/>
  <c r="R558" i="2"/>
  <c r="Q558" i="2"/>
  <c r="R566" i="2"/>
  <c r="Q566" i="2"/>
  <c r="R574" i="2"/>
  <c r="Q574" i="2"/>
  <c r="R582" i="2"/>
  <c r="Q582" i="2"/>
  <c r="R590" i="2"/>
  <c r="Q590" i="2"/>
  <c r="R598" i="2"/>
  <c r="Q598" i="2"/>
  <c r="R606" i="2"/>
  <c r="Q606" i="2"/>
  <c r="R614" i="2"/>
  <c r="Q614" i="2"/>
  <c r="R622" i="2"/>
  <c r="Q622" i="2"/>
  <c r="R630" i="2"/>
  <c r="Q630" i="2"/>
  <c r="R638" i="2"/>
  <c r="Q638" i="2"/>
  <c r="R646" i="2"/>
  <c r="Q646" i="2"/>
  <c r="R654" i="2"/>
  <c r="Q654" i="2"/>
  <c r="R662" i="2"/>
  <c r="Q662" i="2"/>
  <c r="R670" i="2"/>
  <c r="Q670" i="2"/>
  <c r="R678" i="2"/>
  <c r="Q678" i="2"/>
  <c r="R686" i="2"/>
  <c r="Q686" i="2"/>
  <c r="R694" i="2"/>
  <c r="Q694" i="2"/>
  <c r="R702" i="2"/>
  <c r="Q702" i="2"/>
  <c r="R710" i="2"/>
  <c r="Q710" i="2"/>
  <c r="R718" i="2"/>
  <c r="Q718" i="2"/>
  <c r="R726" i="2"/>
  <c r="Q726" i="2"/>
  <c r="R734" i="2"/>
  <c r="Q734" i="2"/>
  <c r="R742" i="2"/>
  <c r="Q742" i="2"/>
  <c r="R750" i="2"/>
  <c r="Q750" i="2"/>
  <c r="R758" i="2"/>
  <c r="Q758" i="2"/>
  <c r="R766" i="2"/>
  <c r="Q766" i="2"/>
  <c r="R774" i="2"/>
  <c r="Q774" i="2"/>
  <c r="R782" i="2"/>
  <c r="Q782" i="2"/>
  <c r="R790" i="2"/>
  <c r="Q790" i="2"/>
  <c r="R798" i="2"/>
  <c r="Q798" i="2"/>
  <c r="R814" i="2"/>
  <c r="Q814" i="2"/>
  <c r="R830" i="2"/>
  <c r="Q830" i="2"/>
  <c r="R846" i="2"/>
  <c r="Q846" i="2"/>
  <c r="R862" i="2"/>
  <c r="Q862" i="2"/>
  <c r="R878" i="2"/>
  <c r="Q878" i="2"/>
  <c r="R894" i="2"/>
  <c r="Q894" i="2"/>
  <c r="R910" i="2"/>
  <c r="Q910" i="2"/>
  <c r="R926" i="2"/>
  <c r="Q926" i="2"/>
  <c r="R942" i="2"/>
  <c r="Q942" i="2"/>
  <c r="R958" i="2"/>
  <c r="Q958" i="2"/>
  <c r="R974" i="2"/>
  <c r="Q974" i="2"/>
  <c r="R990" i="2"/>
  <c r="Q990" i="2"/>
  <c r="R1006" i="2"/>
  <c r="Q1006" i="2"/>
  <c r="R1022" i="2"/>
  <c r="Q1022" i="2"/>
  <c r="R1038" i="2"/>
  <c r="Q1038" i="2"/>
  <c r="R1054" i="2"/>
  <c r="Q1054" i="2"/>
  <c r="R1070" i="2"/>
  <c r="Q1070" i="2"/>
  <c r="R1086" i="2"/>
  <c r="Q1086" i="2"/>
  <c r="R1102" i="2"/>
  <c r="Q1102" i="2"/>
  <c r="R1285" i="2"/>
  <c r="Q1285" i="2"/>
  <c r="R1301" i="2"/>
  <c r="Q1301" i="2"/>
  <c r="R1317" i="2"/>
  <c r="Q1317" i="2"/>
  <c r="R1333" i="2"/>
  <c r="Q1333" i="2"/>
  <c r="R1349" i="2"/>
  <c r="Q1349" i="2"/>
  <c r="R1365" i="2"/>
  <c r="Q1365" i="2"/>
  <c r="R1381" i="2"/>
  <c r="Q1381" i="2"/>
  <c r="R1404" i="2"/>
  <c r="Q1404" i="2"/>
  <c r="R1420" i="2"/>
  <c r="Q1420" i="2"/>
  <c r="R1436" i="2"/>
  <c r="Q1436" i="2"/>
  <c r="R1452" i="2"/>
  <c r="Q1452" i="2"/>
  <c r="R1484" i="2"/>
  <c r="Q1484" i="2"/>
  <c r="R1500" i="2"/>
  <c r="Q1500" i="2"/>
  <c r="R1516" i="2"/>
  <c r="Q1516" i="2"/>
  <c r="R1532" i="2"/>
  <c r="Q1532" i="2"/>
  <c r="R1548" i="2"/>
  <c r="Q1548" i="2"/>
  <c r="R1564" i="2"/>
  <c r="Q1564" i="2"/>
  <c r="R1580" i="2"/>
  <c r="Q1580" i="2"/>
  <c r="R1596" i="2"/>
  <c r="Q1596" i="2"/>
  <c r="R1612" i="2"/>
  <c r="Q1612" i="2"/>
  <c r="R1628" i="2"/>
  <c r="Q1628" i="2"/>
  <c r="R1644" i="2"/>
  <c r="Q1644" i="2"/>
  <c r="R1660" i="2"/>
  <c r="Q1660" i="2"/>
  <c r="R1676" i="2"/>
  <c r="Q1676" i="2"/>
  <c r="R1692" i="2"/>
  <c r="Q1692" i="2"/>
  <c r="R1708" i="2"/>
  <c r="Q1708" i="2"/>
  <c r="R1724" i="2"/>
  <c r="Q1724" i="2"/>
  <c r="R1740" i="2"/>
  <c r="Q1740" i="2"/>
  <c r="Q183" i="2"/>
  <c r="Q191" i="2"/>
  <c r="Q193" i="2"/>
  <c r="Q195" i="2"/>
  <c r="Q197" i="2"/>
  <c r="Q199" i="2"/>
  <c r="Q201" i="2"/>
  <c r="Q203" i="2"/>
  <c r="Q205" i="2"/>
  <c r="Q207" i="2"/>
  <c r="Q209" i="2"/>
  <c r="Q211" i="2"/>
  <c r="Q213" i="2"/>
  <c r="Q215" i="2"/>
  <c r="Q217" i="2"/>
  <c r="Q219" i="2"/>
  <c r="Q221" i="2"/>
  <c r="Q223" i="2"/>
  <c r="Q225" i="2"/>
  <c r="Q227" i="2"/>
  <c r="Q229" i="2"/>
  <c r="Q231" i="2"/>
  <c r="Q233" i="2"/>
  <c r="Q235" i="2"/>
  <c r="Q237" i="2"/>
  <c r="Q239" i="2"/>
  <c r="Q241" i="2"/>
  <c r="Q243" i="2"/>
  <c r="Q245" i="2"/>
  <c r="Q247" i="2"/>
  <c r="Q249" i="2"/>
  <c r="Q251" i="2"/>
  <c r="Q253" i="2"/>
  <c r="Q255" i="2"/>
  <c r="Q257" i="2"/>
  <c r="Q259" i="2"/>
  <c r="Q261" i="2"/>
  <c r="Q263" i="2"/>
  <c r="Q265" i="2"/>
  <c r="Q267" i="2"/>
  <c r="Q269" i="2"/>
  <c r="Q271" i="2"/>
  <c r="Q273" i="2"/>
  <c r="Q275" i="2"/>
  <c r="Q277" i="2"/>
  <c r="Q279" i="2"/>
  <c r="Q281" i="2"/>
  <c r="Q283" i="2"/>
  <c r="Q285" i="2"/>
  <c r="Q287" i="2"/>
  <c r="Q289" i="2"/>
  <c r="Q291" i="2"/>
  <c r="Q293" i="2"/>
  <c r="R485" i="2"/>
  <c r="Q485" i="2"/>
  <c r="R517" i="2"/>
  <c r="Q517" i="2"/>
  <c r="Q4" i="2"/>
  <c r="Q185" i="2"/>
  <c r="R493" i="2"/>
  <c r="Q493" i="2"/>
  <c r="R525" i="2"/>
  <c r="Q525" i="2"/>
  <c r="R546" i="2"/>
  <c r="Q546" i="2"/>
  <c r="R554" i="2"/>
  <c r="Q554" i="2"/>
  <c r="R562" i="2"/>
  <c r="Q562" i="2"/>
  <c r="R570" i="2"/>
  <c r="Q570" i="2"/>
  <c r="R578" i="2"/>
  <c r="Q578" i="2"/>
  <c r="R586" i="2"/>
  <c r="Q586" i="2"/>
  <c r="R594" i="2"/>
  <c r="Q594" i="2"/>
  <c r="R602" i="2"/>
  <c r="Q602" i="2"/>
  <c r="R610" i="2"/>
  <c r="Q610" i="2"/>
  <c r="R618" i="2"/>
  <c r="Q618" i="2"/>
  <c r="R626" i="2"/>
  <c r="Q626" i="2"/>
  <c r="R634" i="2"/>
  <c r="Q634" i="2"/>
  <c r="R642" i="2"/>
  <c r="Q642" i="2"/>
  <c r="R650" i="2"/>
  <c r="Q650" i="2"/>
  <c r="R658" i="2"/>
  <c r="Q658" i="2"/>
  <c r="R666" i="2"/>
  <c r="Q666" i="2"/>
  <c r="R674" i="2"/>
  <c r="Q674" i="2"/>
  <c r="R682" i="2"/>
  <c r="Q682" i="2"/>
  <c r="R690" i="2"/>
  <c r="Q690" i="2"/>
  <c r="R698" i="2"/>
  <c r="Q698" i="2"/>
  <c r="R706" i="2"/>
  <c r="Q706" i="2"/>
  <c r="R714" i="2"/>
  <c r="Q714" i="2"/>
  <c r="R722" i="2"/>
  <c r="Q722" i="2"/>
  <c r="R730" i="2"/>
  <c r="Q730" i="2"/>
  <c r="R738" i="2"/>
  <c r="Q738" i="2"/>
  <c r="R746" i="2"/>
  <c r="Q746" i="2"/>
  <c r="R754" i="2"/>
  <c r="Q754" i="2"/>
  <c r="R762" i="2"/>
  <c r="Q762" i="2"/>
  <c r="R770" i="2"/>
  <c r="Q770" i="2"/>
  <c r="R778" i="2"/>
  <c r="Q778" i="2"/>
  <c r="R786" i="2"/>
  <c r="Q786" i="2"/>
  <c r="R794" i="2"/>
  <c r="Q794" i="2"/>
  <c r="Q296" i="2"/>
  <c r="Q298" i="2"/>
  <c r="Q300" i="2"/>
  <c r="Q302" i="2"/>
  <c r="Q304" i="2"/>
  <c r="Q306" i="2"/>
  <c r="Q308" i="2"/>
  <c r="Q310" i="2"/>
  <c r="Q312" i="2"/>
  <c r="Q314" i="2"/>
  <c r="Q316" i="2"/>
  <c r="Q318" i="2"/>
  <c r="Q320" i="2"/>
  <c r="Q322" i="2"/>
  <c r="Q324" i="2"/>
  <c r="Q326" i="2"/>
  <c r="Q328" i="2"/>
  <c r="Q330" i="2"/>
  <c r="Q332" i="2"/>
  <c r="Q334" i="2"/>
  <c r="Q336" i="2"/>
  <c r="Q338" i="2"/>
  <c r="Q340" i="2"/>
  <c r="Q342" i="2"/>
  <c r="Q344" i="2"/>
  <c r="Q346" i="2"/>
  <c r="Q348" i="2"/>
  <c r="Q350" i="2"/>
  <c r="Q352" i="2"/>
  <c r="Q354" i="2"/>
  <c r="Q356" i="2"/>
  <c r="Q358" i="2"/>
  <c r="Q360" i="2"/>
  <c r="Q362" i="2"/>
  <c r="Q364" i="2"/>
  <c r="Q366" i="2"/>
  <c r="Q368" i="2"/>
  <c r="Q370" i="2"/>
  <c r="Q372" i="2"/>
  <c r="Q374" i="2"/>
  <c r="Q376" i="2"/>
  <c r="Q378" i="2"/>
  <c r="Q380" i="2"/>
  <c r="Q382" i="2"/>
  <c r="Q384" i="2"/>
  <c r="Q386" i="2"/>
  <c r="Q388" i="2"/>
  <c r="Q390" i="2"/>
  <c r="Q392" i="2"/>
  <c r="Q394" i="2"/>
  <c r="Q396" i="2"/>
  <c r="Q398" i="2"/>
  <c r="Q400" i="2"/>
  <c r="Q402" i="2"/>
  <c r="Q404" i="2"/>
  <c r="Q406" i="2"/>
  <c r="Q408" i="2"/>
  <c r="Q410" i="2"/>
  <c r="Q412" i="2"/>
  <c r="Q414" i="2"/>
  <c r="Q416" i="2"/>
  <c r="Q418" i="2"/>
  <c r="Q420" i="2"/>
  <c r="Q422" i="2"/>
  <c r="Q424" i="2"/>
  <c r="Q426" i="2"/>
  <c r="Q430" i="2"/>
  <c r="Q434" i="2"/>
  <c r="Q438" i="2"/>
  <c r="Q442" i="2"/>
  <c r="Q446" i="2"/>
  <c r="Q450" i="2"/>
  <c r="Q454" i="2"/>
  <c r="Q458" i="2"/>
  <c r="Q462" i="2"/>
  <c r="Q466" i="2"/>
  <c r="Q470" i="2"/>
  <c r="R501" i="2"/>
  <c r="Q501" i="2"/>
  <c r="R533" i="2"/>
  <c r="Q533" i="2"/>
  <c r="R1875" i="2"/>
  <c r="Q1875" i="2"/>
  <c r="R1919" i="2"/>
  <c r="Q1919" i="2"/>
  <c r="Q475" i="2"/>
  <c r="Q483" i="2"/>
  <c r="Q491" i="2"/>
  <c r="Q499" i="2"/>
  <c r="Q507" i="2"/>
  <c r="Q515" i="2"/>
  <c r="Q523" i="2"/>
  <c r="Q531" i="2"/>
  <c r="Q539" i="2"/>
  <c r="R810" i="2"/>
  <c r="Q810" i="2"/>
  <c r="R826" i="2"/>
  <c r="Q826" i="2"/>
  <c r="R842" i="2"/>
  <c r="Q842" i="2"/>
  <c r="R858" i="2"/>
  <c r="Q858" i="2"/>
  <c r="R874" i="2"/>
  <c r="Q874" i="2"/>
  <c r="R890" i="2"/>
  <c r="Q890" i="2"/>
  <c r="R906" i="2"/>
  <c r="Q906" i="2"/>
  <c r="R922" i="2"/>
  <c r="Q922" i="2"/>
  <c r="R938" i="2"/>
  <c r="Q938" i="2"/>
  <c r="R954" i="2"/>
  <c r="Q954" i="2"/>
  <c r="R970" i="2"/>
  <c r="Q970" i="2"/>
  <c r="R986" i="2"/>
  <c r="Q986" i="2"/>
  <c r="R1002" i="2"/>
  <c r="Q1002" i="2"/>
  <c r="R1018" i="2"/>
  <c r="Q1018" i="2"/>
  <c r="R1034" i="2"/>
  <c r="Q1034" i="2"/>
  <c r="R1050" i="2"/>
  <c r="Q1050" i="2"/>
  <c r="R1066" i="2"/>
  <c r="Q1066" i="2"/>
  <c r="R1082" i="2"/>
  <c r="Q1082" i="2"/>
  <c r="R1098" i="2"/>
  <c r="Q1098" i="2"/>
  <c r="Q1150" i="2"/>
  <c r="R1150" i="2"/>
  <c r="Q543" i="2"/>
  <c r="Q547" i="2"/>
  <c r="Q551" i="2"/>
  <c r="Q555" i="2"/>
  <c r="Q559" i="2"/>
  <c r="Q563" i="2"/>
  <c r="Q567" i="2"/>
  <c r="Q571" i="2"/>
  <c r="Q575" i="2"/>
  <c r="Q579" i="2"/>
  <c r="Q583" i="2"/>
  <c r="Q587" i="2"/>
  <c r="Q591" i="2"/>
  <c r="Q595" i="2"/>
  <c r="Q599" i="2"/>
  <c r="Q603" i="2"/>
  <c r="Q607" i="2"/>
  <c r="Q611" i="2"/>
  <c r="Q615" i="2"/>
  <c r="Q619" i="2"/>
  <c r="Q623" i="2"/>
  <c r="Q627" i="2"/>
  <c r="Q631" i="2"/>
  <c r="Q635" i="2"/>
  <c r="Q639" i="2"/>
  <c r="Q643" i="2"/>
  <c r="Q647" i="2"/>
  <c r="Q651" i="2"/>
  <c r="Q655" i="2"/>
  <c r="Q659" i="2"/>
  <c r="Q663" i="2"/>
  <c r="Q667" i="2"/>
  <c r="Q671" i="2"/>
  <c r="Q675" i="2"/>
  <c r="Q679" i="2"/>
  <c r="Q683" i="2"/>
  <c r="Q687" i="2"/>
  <c r="Q691" i="2"/>
  <c r="Q695" i="2"/>
  <c r="Q699" i="2"/>
  <c r="Q703" i="2"/>
  <c r="Q707" i="2"/>
  <c r="Q711" i="2"/>
  <c r="Q715" i="2"/>
  <c r="Q719" i="2"/>
  <c r="Q723" i="2"/>
  <c r="Q727" i="2"/>
  <c r="Q731" i="2"/>
  <c r="Q735" i="2"/>
  <c r="Q739" i="2"/>
  <c r="Q743" i="2"/>
  <c r="Q747" i="2"/>
  <c r="Q751" i="2"/>
  <c r="Q755" i="2"/>
  <c r="Q759" i="2"/>
  <c r="Q763" i="2"/>
  <c r="Q767" i="2"/>
  <c r="Q771" i="2"/>
  <c r="Q775" i="2"/>
  <c r="Q779" i="2"/>
  <c r="Q783" i="2"/>
  <c r="Q787" i="2"/>
  <c r="Q791" i="2"/>
  <c r="Q795" i="2"/>
  <c r="R806" i="2"/>
  <c r="Q806" i="2"/>
  <c r="R822" i="2"/>
  <c r="Q822" i="2"/>
  <c r="R838" i="2"/>
  <c r="Q838" i="2"/>
  <c r="R854" i="2"/>
  <c r="Q854" i="2"/>
  <c r="R870" i="2"/>
  <c r="Q870" i="2"/>
  <c r="R886" i="2"/>
  <c r="Q886" i="2"/>
  <c r="R902" i="2"/>
  <c r="Q902" i="2"/>
  <c r="R918" i="2"/>
  <c r="Q918" i="2"/>
  <c r="R934" i="2"/>
  <c r="Q934" i="2"/>
  <c r="R950" i="2"/>
  <c r="Q950" i="2"/>
  <c r="R966" i="2"/>
  <c r="Q966" i="2"/>
  <c r="R982" i="2"/>
  <c r="Q982" i="2"/>
  <c r="R998" i="2"/>
  <c r="Q998" i="2"/>
  <c r="R1014" i="2"/>
  <c r="Q1014" i="2"/>
  <c r="R1030" i="2"/>
  <c r="Q1030" i="2"/>
  <c r="R1046" i="2"/>
  <c r="Q1046" i="2"/>
  <c r="R1062" i="2"/>
  <c r="Q1062" i="2"/>
  <c r="R1078" i="2"/>
  <c r="Q1078" i="2"/>
  <c r="R1094" i="2"/>
  <c r="Q1094" i="2"/>
  <c r="R1149" i="2"/>
  <c r="Q1149" i="2"/>
  <c r="R802" i="2"/>
  <c r="Q802" i="2"/>
  <c r="R818" i="2"/>
  <c r="Q818" i="2"/>
  <c r="R834" i="2"/>
  <c r="Q834" i="2"/>
  <c r="R850" i="2"/>
  <c r="Q850" i="2"/>
  <c r="R866" i="2"/>
  <c r="Q866" i="2"/>
  <c r="R882" i="2"/>
  <c r="Q882" i="2"/>
  <c r="R898" i="2"/>
  <c r="Q898" i="2"/>
  <c r="R914" i="2"/>
  <c r="Q914" i="2"/>
  <c r="R930" i="2"/>
  <c r="Q930" i="2"/>
  <c r="R946" i="2"/>
  <c r="Q946" i="2"/>
  <c r="R962" i="2"/>
  <c r="Q962" i="2"/>
  <c r="R978" i="2"/>
  <c r="Q978" i="2"/>
  <c r="R994" i="2"/>
  <c r="Q994" i="2"/>
  <c r="R1010" i="2"/>
  <c r="Q1010" i="2"/>
  <c r="R1026" i="2"/>
  <c r="Q1026" i="2"/>
  <c r="R1042" i="2"/>
  <c r="Q1042" i="2"/>
  <c r="R1058" i="2"/>
  <c r="Q1058" i="2"/>
  <c r="R1074" i="2"/>
  <c r="Q1074" i="2"/>
  <c r="R1090" i="2"/>
  <c r="Q1090" i="2"/>
  <c r="R1106" i="2"/>
  <c r="Q1106" i="2"/>
  <c r="Q1129" i="2"/>
  <c r="Q1111" i="2"/>
  <c r="Q1119" i="2"/>
  <c r="Q1127" i="2"/>
  <c r="Q1135" i="2"/>
  <c r="Q1145" i="2"/>
  <c r="R1157" i="2"/>
  <c r="Q1157" i="2"/>
  <c r="R1161" i="2"/>
  <c r="Q1161" i="2"/>
  <c r="R1165" i="2"/>
  <c r="Q1165" i="2"/>
  <c r="R1169" i="2"/>
  <c r="Q1169" i="2"/>
  <c r="R1173" i="2"/>
  <c r="Q1173" i="2"/>
  <c r="R1177" i="2"/>
  <c r="Q1177" i="2"/>
  <c r="R1181" i="2"/>
  <c r="Q1181" i="2"/>
  <c r="R1185" i="2"/>
  <c r="Q1185" i="2"/>
  <c r="R1189" i="2"/>
  <c r="Q1189" i="2"/>
  <c r="R1193" i="2"/>
  <c r="Q1193" i="2"/>
  <c r="R1197" i="2"/>
  <c r="Q1197" i="2"/>
  <c r="R1201" i="2"/>
  <c r="Q1201" i="2"/>
  <c r="R1205" i="2"/>
  <c r="Q1205" i="2"/>
  <c r="R1209" i="2"/>
  <c r="Q1209" i="2"/>
  <c r="R1213" i="2"/>
  <c r="Q1213" i="2"/>
  <c r="R1217" i="2"/>
  <c r="Q1217" i="2"/>
  <c r="R1221" i="2"/>
  <c r="Q1221" i="2"/>
  <c r="R1225" i="2"/>
  <c r="Q1225" i="2"/>
  <c r="R1229" i="2"/>
  <c r="Q1229" i="2"/>
  <c r="R1233" i="2"/>
  <c r="Q1233" i="2"/>
  <c r="R1237" i="2"/>
  <c r="Q1237" i="2"/>
  <c r="R1241" i="2"/>
  <c r="Q1241" i="2"/>
  <c r="R1245" i="2"/>
  <c r="Q1245" i="2"/>
  <c r="R1249" i="2"/>
  <c r="Q1249" i="2"/>
  <c r="R1253" i="2"/>
  <c r="Q1253" i="2"/>
  <c r="R1257" i="2"/>
  <c r="Q1257" i="2"/>
  <c r="R1261" i="2"/>
  <c r="Q1261" i="2"/>
  <c r="R1265" i="2"/>
  <c r="Q1265" i="2"/>
  <c r="R1269" i="2"/>
  <c r="Q1269" i="2"/>
  <c r="R1273" i="2"/>
  <c r="Q1273" i="2"/>
  <c r="R1277" i="2"/>
  <c r="Q1277" i="2"/>
  <c r="R1281" i="2"/>
  <c r="Q1281" i="2"/>
  <c r="R1297" i="2"/>
  <c r="Q1297" i="2"/>
  <c r="R1313" i="2"/>
  <c r="Q1313" i="2"/>
  <c r="R1329" i="2"/>
  <c r="Q1329" i="2"/>
  <c r="R1345" i="2"/>
  <c r="Q1345" i="2"/>
  <c r="R1361" i="2"/>
  <c r="Q1361" i="2"/>
  <c r="R1377" i="2"/>
  <c r="Q1377" i="2"/>
  <c r="R1146" i="2"/>
  <c r="R1293" i="2"/>
  <c r="Q1293" i="2"/>
  <c r="R1309" i="2"/>
  <c r="Q1309" i="2"/>
  <c r="R1325" i="2"/>
  <c r="Q1325" i="2"/>
  <c r="R1341" i="2"/>
  <c r="Q1341" i="2"/>
  <c r="R1357" i="2"/>
  <c r="Q1357" i="2"/>
  <c r="R1373" i="2"/>
  <c r="Q1373" i="2"/>
  <c r="R1389" i="2"/>
  <c r="Q1389" i="2"/>
  <c r="R1396" i="2"/>
  <c r="Q1396" i="2"/>
  <c r="R1412" i="2"/>
  <c r="Q1412" i="2"/>
  <c r="R1428" i="2"/>
  <c r="Q1428" i="2"/>
  <c r="R1444" i="2"/>
  <c r="Q1444" i="2"/>
  <c r="R1289" i="2"/>
  <c r="Q1289" i="2"/>
  <c r="R1305" i="2"/>
  <c r="Q1305" i="2"/>
  <c r="R1321" i="2"/>
  <c r="Q1321" i="2"/>
  <c r="R1337" i="2"/>
  <c r="Q1337" i="2"/>
  <c r="R1353" i="2"/>
  <c r="Q1353" i="2"/>
  <c r="R1369" i="2"/>
  <c r="Q1369" i="2"/>
  <c r="R1385" i="2"/>
  <c r="Q1385" i="2"/>
  <c r="Q1403" i="2"/>
  <c r="Q1411" i="2"/>
  <c r="Q1419" i="2"/>
  <c r="Q1427" i="2"/>
  <c r="Q1435" i="2"/>
  <c r="Q1443" i="2"/>
  <c r="Q1451" i="2"/>
  <c r="Q1459" i="2"/>
  <c r="Q1460" i="2"/>
  <c r="Q1461" i="2"/>
  <c r="Q1464" i="2"/>
  <c r="Q1465" i="2"/>
  <c r="Q1468" i="2"/>
  <c r="Q1469" i="2"/>
  <c r="Q1472" i="2"/>
  <c r="Q1473" i="2"/>
  <c r="R1480" i="2"/>
  <c r="Q1480" i="2"/>
  <c r="R1496" i="2"/>
  <c r="Q1496" i="2"/>
  <c r="R1512" i="2"/>
  <c r="Q1512" i="2"/>
  <c r="R1528" i="2"/>
  <c r="Q1528" i="2"/>
  <c r="R1544" i="2"/>
  <c r="Q1544" i="2"/>
  <c r="R1560" i="2"/>
  <c r="Q1560" i="2"/>
  <c r="R1576" i="2"/>
  <c r="Q1576" i="2"/>
  <c r="R1592" i="2"/>
  <c r="Q1592" i="2"/>
  <c r="R1608" i="2"/>
  <c r="Q1608" i="2"/>
  <c r="R1624" i="2"/>
  <c r="Q1624" i="2"/>
  <c r="R1640" i="2"/>
  <c r="Q1640" i="2"/>
  <c r="R1656" i="2"/>
  <c r="Q1656" i="2"/>
  <c r="R1672" i="2"/>
  <c r="Q1672" i="2"/>
  <c r="R1688" i="2"/>
  <c r="Q1688" i="2"/>
  <c r="Q1752" i="2"/>
  <c r="R1752" i="2"/>
  <c r="Q1397" i="2"/>
  <c r="Q1405" i="2"/>
  <c r="Q1413" i="2"/>
  <c r="Q1421" i="2"/>
  <c r="Q1429" i="2"/>
  <c r="Q1437" i="2"/>
  <c r="Q1445" i="2"/>
  <c r="Q1453" i="2"/>
  <c r="R1476" i="2"/>
  <c r="Q1476" i="2"/>
  <c r="R1492" i="2"/>
  <c r="Q1492" i="2"/>
  <c r="R1508" i="2"/>
  <c r="Q1508" i="2"/>
  <c r="R1524" i="2"/>
  <c r="Q1524" i="2"/>
  <c r="R1540" i="2"/>
  <c r="Q1540" i="2"/>
  <c r="R1556" i="2"/>
  <c r="Q1556" i="2"/>
  <c r="R1572" i="2"/>
  <c r="Q1572" i="2"/>
  <c r="R1588" i="2"/>
  <c r="Q1588" i="2"/>
  <c r="R1604" i="2"/>
  <c r="Q1604" i="2"/>
  <c r="R1620" i="2"/>
  <c r="Q1620" i="2"/>
  <c r="R1636" i="2"/>
  <c r="Q1636" i="2"/>
  <c r="R1652" i="2"/>
  <c r="Q1652" i="2"/>
  <c r="R1668" i="2"/>
  <c r="Q1668" i="2"/>
  <c r="R1684" i="2"/>
  <c r="Q1684" i="2"/>
  <c r="R1700" i="2"/>
  <c r="Q1700" i="2"/>
  <c r="R1716" i="2"/>
  <c r="Q1716" i="2"/>
  <c r="R1732" i="2"/>
  <c r="Q1732" i="2"/>
  <c r="R1751" i="2"/>
  <c r="Q1751" i="2"/>
  <c r="R1488" i="2"/>
  <c r="Q1488" i="2"/>
  <c r="R1504" i="2"/>
  <c r="Q1504" i="2"/>
  <c r="R1520" i="2"/>
  <c r="Q1520" i="2"/>
  <c r="R1536" i="2"/>
  <c r="Q1536" i="2"/>
  <c r="R1552" i="2"/>
  <c r="Q1552" i="2"/>
  <c r="R1568" i="2"/>
  <c r="Q1568" i="2"/>
  <c r="R1584" i="2"/>
  <c r="Q1584" i="2"/>
  <c r="R1600" i="2"/>
  <c r="Q1600" i="2"/>
  <c r="R1616" i="2"/>
  <c r="Q1616" i="2"/>
  <c r="R1632" i="2"/>
  <c r="Q1632" i="2"/>
  <c r="R1648" i="2"/>
  <c r="Q1648" i="2"/>
  <c r="R1664" i="2"/>
  <c r="Q1664" i="2"/>
  <c r="R1680" i="2"/>
  <c r="Q1680" i="2"/>
  <c r="R1696" i="2"/>
  <c r="Q1696" i="2"/>
  <c r="Q1707" i="2"/>
  <c r="Q1715" i="2"/>
  <c r="Q1723" i="2"/>
  <c r="Q1731" i="2"/>
  <c r="Q1739" i="2"/>
  <c r="Q1747" i="2"/>
  <c r="R1759" i="2"/>
  <c r="Q1759" i="2"/>
  <c r="R1763" i="2"/>
  <c r="Q1763" i="2"/>
  <c r="R1767" i="2"/>
  <c r="Q1767" i="2"/>
  <c r="R1771" i="2"/>
  <c r="Q1771" i="2"/>
  <c r="R1775" i="2"/>
  <c r="Q1775" i="2"/>
  <c r="R1779" i="2"/>
  <c r="Q1779" i="2"/>
  <c r="R1783" i="2"/>
  <c r="Q1783" i="2"/>
  <c r="R1787" i="2"/>
  <c r="Q1787" i="2"/>
  <c r="R1791" i="2"/>
  <c r="Q1791" i="2"/>
  <c r="R1795" i="2"/>
  <c r="Q1795" i="2"/>
  <c r="R1799" i="2"/>
  <c r="Q1799" i="2"/>
  <c r="R1803" i="2"/>
  <c r="Q1803" i="2"/>
  <c r="R1807" i="2"/>
  <c r="Q1807" i="2"/>
  <c r="R1811" i="2"/>
  <c r="Q1811" i="2"/>
  <c r="R1815" i="2"/>
  <c r="Q1815" i="2"/>
  <c r="R1819" i="2"/>
  <c r="Q1819" i="2"/>
  <c r="R1823" i="2"/>
  <c r="Q1823" i="2"/>
  <c r="R1827" i="2"/>
  <c r="Q1827" i="2"/>
  <c r="R1831" i="2"/>
  <c r="Q1831" i="2"/>
  <c r="R1835" i="2"/>
  <c r="Q1835" i="2"/>
  <c r="R1839" i="2"/>
  <c r="Q1839" i="2"/>
  <c r="R1843" i="2"/>
  <c r="Q1843" i="2"/>
  <c r="R1847" i="2"/>
  <c r="Q1847" i="2"/>
  <c r="R1851" i="2"/>
  <c r="Q1851" i="2"/>
  <c r="R1899" i="2"/>
  <c r="Q1899" i="2"/>
  <c r="Q1701" i="2"/>
  <c r="Q1709" i="2"/>
  <c r="Q1717" i="2"/>
  <c r="Q1725" i="2"/>
  <c r="Q1733" i="2"/>
  <c r="Q1741" i="2"/>
  <c r="R1748" i="2"/>
  <c r="R1859" i="2"/>
  <c r="Q1859" i="2"/>
  <c r="R1867" i="2"/>
  <c r="Q1867" i="2"/>
  <c r="R1907" i="2"/>
  <c r="Q1907" i="2"/>
  <c r="R1911" i="2"/>
  <c r="Q1911" i="2"/>
  <c r="Q1853" i="2"/>
  <c r="Q1861" i="2"/>
  <c r="Q1869" i="2"/>
  <c r="Q1877" i="2"/>
  <c r="Q1900" i="2"/>
  <c r="R1900" i="2"/>
  <c r="R1903" i="2"/>
  <c r="Q1903" i="2"/>
  <c r="R1915" i="2"/>
  <c r="Q1915" i="2"/>
  <c r="Q1904" i="2"/>
  <c r="Q1908" i="2"/>
  <c r="Q1912" i="2"/>
  <c r="Q1916" i="2"/>
  <c r="Q1920" i="2"/>
  <c r="Q1923" i="2"/>
  <c r="Q1924" i="2"/>
  <c r="Q1927" i="2"/>
  <c r="Q1928" i="2"/>
  <c r="Q1931" i="2"/>
  <c r="Q1932" i="2"/>
  <c r="Q1935" i="2"/>
  <c r="Q1936" i="2"/>
  <c r="Q1939" i="2"/>
  <c r="Q1940" i="2"/>
  <c r="Q1943" i="2"/>
  <c r="Q1944" i="2"/>
  <c r="Q1947" i="2"/>
  <c r="Q1948" i="2"/>
  <c r="Q1951" i="2"/>
  <c r="Q1952" i="2"/>
  <c r="Q1955" i="2"/>
  <c r="Q1956" i="2"/>
  <c r="Q1959" i="2"/>
  <c r="Q1960" i="2"/>
  <c r="Q1963" i="2"/>
  <c r="Q1964" i="2"/>
  <c r="Q1967" i="2"/>
  <c r="Q1968" i="2"/>
  <c r="Q1971" i="2"/>
  <c r="Q1972" i="2"/>
  <c r="Q1975" i="2"/>
  <c r="Q1976" i="2"/>
  <c r="Q1979" i="2"/>
  <c r="Q1980" i="2"/>
  <c r="Q1983" i="2"/>
  <c r="Q1984" i="2"/>
  <c r="Q1987" i="2"/>
  <c r="Q1988" i="2"/>
  <c r="Q1991" i="2"/>
  <c r="Q1992" i="2"/>
  <c r="Q1995" i="2"/>
  <c r="Q1996" i="2"/>
  <c r="Q2012" i="2"/>
  <c r="Q2020" i="2"/>
  <c r="Q2016" i="2"/>
</calcChain>
</file>

<file path=xl/sharedStrings.xml><?xml version="1.0" encoding="utf-8"?>
<sst xmlns="http://schemas.openxmlformats.org/spreadsheetml/2006/main" count="123" uniqueCount="75">
  <si>
    <t>Tabela de depreciação</t>
  </si>
  <si>
    <t>Categoria</t>
  </si>
  <si>
    <t>Taxa anual</t>
  </si>
  <si>
    <t>Vida útil (anos)</t>
  </si>
  <si>
    <t>Edifícios</t>
  </si>
  <si>
    <t>Máquinas e Equipamentos</t>
  </si>
  <si>
    <t>Instalações</t>
  </si>
  <si>
    <t>Móveis e Utensílios</t>
  </si>
  <si>
    <t>Veículos</t>
  </si>
  <si>
    <t>Computadores e Periféricos</t>
  </si>
  <si>
    <t>Departamento</t>
  </si>
  <si>
    <t>RH</t>
  </si>
  <si>
    <t>T.I.</t>
  </si>
  <si>
    <t>Fiscal</t>
  </si>
  <si>
    <t>Contabilidade</t>
  </si>
  <si>
    <t>Logística</t>
  </si>
  <si>
    <t>Jurídico</t>
  </si>
  <si>
    <t>Financeiro</t>
  </si>
  <si>
    <t>Compras</t>
  </si>
  <si>
    <t>Vendas</t>
  </si>
  <si>
    <t>Placa</t>
  </si>
  <si>
    <t>Descrição do bem</t>
  </si>
  <si>
    <t>Valor</t>
  </si>
  <si>
    <t>Data da compra</t>
  </si>
  <si>
    <t>Descrição do local</t>
  </si>
  <si>
    <t>Responsável</t>
  </si>
  <si>
    <t>Vida útil</t>
  </si>
  <si>
    <t>Idade</t>
  </si>
  <si>
    <t>Valor atual</t>
  </si>
  <si>
    <t>X001</t>
  </si>
  <si>
    <t xml:space="preserve">Notebook </t>
  </si>
  <si>
    <t>Fornecedor</t>
  </si>
  <si>
    <t>Série</t>
  </si>
  <si>
    <t>NF</t>
  </si>
  <si>
    <t>DELL</t>
  </si>
  <si>
    <t>Mesa 001</t>
  </si>
  <si>
    <t>Charles Xavier</t>
  </si>
  <si>
    <t>X002</t>
  </si>
  <si>
    <t>Prédio administrativo</t>
  </si>
  <si>
    <t>Geral</t>
  </si>
  <si>
    <t>Situado á rua Guilherme, 1500. Centro de Joinville/SC. Registro de imóvel abcde156</t>
  </si>
  <si>
    <t>Ciclope</t>
  </si>
  <si>
    <t>X003</t>
  </si>
  <si>
    <t>Mesa de escritório</t>
  </si>
  <si>
    <t>Stell móveis</t>
  </si>
  <si>
    <t>Estado do bem</t>
  </si>
  <si>
    <t>Bom</t>
  </si>
  <si>
    <t>Médio</t>
  </si>
  <si>
    <t>X004</t>
  </si>
  <si>
    <t>Gol 1.0</t>
  </si>
  <si>
    <t>VW Fla</t>
  </si>
  <si>
    <t>Placa XXY-1020</t>
  </si>
  <si>
    <t>Wolverine</t>
  </si>
  <si>
    <t>Trocar / Reformar em:</t>
  </si>
  <si>
    <t>X005</t>
  </si>
  <si>
    <t>Ruim</t>
  </si>
  <si>
    <t>Uno 1.0</t>
  </si>
  <si>
    <t>Fiat Vas</t>
  </si>
  <si>
    <t>Placa XXK-5050</t>
  </si>
  <si>
    <t>Gambit</t>
  </si>
  <si>
    <t>Trocar</t>
  </si>
  <si>
    <t>(vazio)</t>
  </si>
  <si>
    <t>Revisar em (anos)</t>
  </si>
  <si>
    <t>Última revisão do bem</t>
  </si>
  <si>
    <t>Próxima revisão</t>
  </si>
  <si>
    <t>Qtde.</t>
  </si>
  <si>
    <t>Valor compra</t>
  </si>
  <si>
    <t xml:space="preserve">Valor atual </t>
  </si>
  <si>
    <t xml:space="preserve">Vida útil </t>
  </si>
  <si>
    <t>Média idade</t>
  </si>
  <si>
    <t>Categorias/Departamento/Situação</t>
  </si>
  <si>
    <t>Situação atual do inventário</t>
  </si>
  <si>
    <t xml:space="preserve">Próxima revisão </t>
  </si>
  <si>
    <t>Valores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</si>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</sst>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6" formatCode="&quot;R$&quot;\ #,##0;[Red]\-&quot;R$&quot;\ #,##0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0_ ;[Red]\-0.00\ "/>
    <numFmt numFmtId="167" formatCode="#,###;[Red]\-#,###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4" fillId="0" borderId="0" xfId="0" applyFont="1"/>
    <xf numFmtId="9" fontId="0" fillId="0" borderId="0" xfId="3" applyFont="1"/>
    <xf numFmtId="164" fontId="0" fillId="0" borderId="0" xfId="1" applyNumberFormat="1" applyFont="1"/>
    <xf numFmtId="0" fontId="2" fillId="0" borderId="1" xfId="0" applyFont="1" applyBorder="1" applyAlignment="1">
      <alignment horizontal="centerContinuous"/>
    </xf>
    <xf numFmtId="44" fontId="0" fillId="0" borderId="0" xfId="2" applyFont="1"/>
    <xf numFmtId="14" fontId="0" fillId="0" borderId="0" xfId="0" applyNumberFormat="1"/>
    <xf numFmtId="165" fontId="0" fillId="0" borderId="0" xfId="0" applyNumberFormat="1"/>
    <xf numFmtId="6" fontId="0" fillId="0" borderId="0" xfId="2" applyNumberFormat="1" applyFont="1"/>
    <xf numFmtId="166" fontId="0" fillId="0" borderId="0" xfId="0" applyNumberFormat="1"/>
    <xf numFmtId="0" fontId="0" fillId="0" borderId="0" xfId="0" applyAlignment="1">
      <alignment horizontal="center" vertical="center" wrapText="1"/>
    </xf>
    <xf numFmtId="44" fontId="0" fillId="0" borderId="0" xfId="2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Continuous"/>
    </xf>
    <xf numFmtId="41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Continuous"/>
    </xf>
    <xf numFmtId="167" fontId="3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44" fontId="0" fillId="0" borderId="0" xfId="2" applyFont="1" applyBorder="1"/>
    <xf numFmtId="6" fontId="0" fillId="0" borderId="0" xfId="2" applyNumberFormat="1" applyFont="1" applyBorder="1"/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623">
    <dxf>
      <numFmt numFmtId="19" formatCode="dd/mm/yyyy"/>
    </dxf>
    <dxf>
      <font>
        <color theme="0"/>
      </font>
    </dxf>
    <dxf>
      <numFmt numFmtId="10" formatCode="&quot;R$&quot;\ #,##0;[Red]\-&quot;R$&quot;\ #,##0"/>
    </dxf>
    <dxf>
      <numFmt numFmtId="166" formatCode="0.00_ ;[Red]\-0.00\ "/>
    </dxf>
    <dxf>
      <numFmt numFmtId="165" formatCode="0.0"/>
    </dxf>
    <dxf>
      <numFmt numFmtId="165" formatCode="0.0"/>
    </dxf>
    <dxf>
      <numFmt numFmtId="19" formatCode="dd/mm/yyyy"/>
    </dxf>
    <dxf>
      <alignment horizontal="center" vertical="center" textRotation="0" wrapText="1" indent="0" justifyLastLine="0" shrinkToFit="0" readingOrder="0"/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222"/>
        <name val="Arial"/>
        <scheme val="none"/>
      </font>
    </dxf>
    <dxf>
      <font>
        <color auto="1"/>
      </font>
    </dxf>
  </dxfs>
  <tableStyles count="1" defaultTableStyle="TableStyleMedium2" defaultPivotStyle="PivotStyleLight16">
    <tableStyle name="Estilo de Tabela Dinâmica 1" table="0" count="1" xr9:uid="{00000000-0011-0000-FFFF-FFFF00000000}">
      <tableStyleElement type="wholeTable" dxfId="1622"/>
    </tableStyle>
  </tableStyles>
  <colors>
    <mruColors>
      <color rgb="FFCC33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dastros!A1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5" Type="http://schemas.openxmlformats.org/officeDocument/2006/relationships/hyperlink" Target="#Relat&#243;rio!A1"/><Relationship Id="rId4" Type="http://schemas.openxmlformats.org/officeDocument/2006/relationships/hyperlink" Target="#Imobilizad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0</xdr:colOff>
      <xdr:row>28</xdr:row>
      <xdr:rowOff>66675</xdr:rowOff>
    </xdr:to>
    <xdr:pic>
      <xdr:nvPicPr>
        <xdr:cNvPr id="2" name="Imagem 1" descr="http://acaderncic.com.br/wp-content/uploads/2014/01/1305923437ativo-fix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prstClr val="black"/>
            <a:schemeClr val="accent3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029575" cy="5400675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4</xdr:col>
      <xdr:colOff>180975</xdr:colOff>
      <xdr:row>6</xdr:row>
      <xdr:rowOff>114300</xdr:rowOff>
    </xdr:from>
    <xdr:to>
      <xdr:col>8</xdr:col>
      <xdr:colOff>447675</xdr:colOff>
      <xdr:row>9</xdr:row>
      <xdr:rowOff>19050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19375" y="1257300"/>
          <a:ext cx="2705100" cy="476250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Cadastro</a:t>
          </a:r>
        </a:p>
      </xdr:txBody>
    </xdr:sp>
    <xdr:clientData/>
  </xdr:twoCellAnchor>
  <xdr:twoCellAnchor>
    <xdr:from>
      <xdr:col>4</xdr:col>
      <xdr:colOff>180975</xdr:colOff>
      <xdr:row>9</xdr:row>
      <xdr:rowOff>123825</xdr:rowOff>
    </xdr:from>
    <xdr:to>
      <xdr:col>8</xdr:col>
      <xdr:colOff>447675</xdr:colOff>
      <xdr:row>12</xdr:row>
      <xdr:rowOff>28575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19375" y="1838325"/>
          <a:ext cx="2705100" cy="47625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Imobilizado</a:t>
          </a:r>
        </a:p>
      </xdr:txBody>
    </xdr:sp>
    <xdr:clientData/>
  </xdr:twoCellAnchor>
  <xdr:twoCellAnchor>
    <xdr:from>
      <xdr:col>4</xdr:col>
      <xdr:colOff>161925</xdr:colOff>
      <xdr:row>12</xdr:row>
      <xdr:rowOff>142875</xdr:rowOff>
    </xdr:from>
    <xdr:to>
      <xdr:col>8</xdr:col>
      <xdr:colOff>428625</xdr:colOff>
      <xdr:row>15</xdr:row>
      <xdr:rowOff>47625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00325" y="2428875"/>
          <a:ext cx="27051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Relatório</a:t>
          </a:r>
        </a:p>
      </xdr:txBody>
    </xdr:sp>
    <xdr:clientData/>
  </xdr:twoCellAnchor>
  <xdr:oneCellAnchor>
    <xdr:from>
      <xdr:col>1</xdr:col>
      <xdr:colOff>30345</xdr:colOff>
      <xdr:row>1</xdr:row>
      <xdr:rowOff>112210</xdr:rowOff>
    </xdr:from>
    <xdr:ext cx="7054495" cy="937629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39945" y="302710"/>
          <a:ext cx="705449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de imobilizado</a:t>
          </a:r>
          <a:endParaRPr lang="pt-BR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oneCellAnchor>
    <xdr:from>
      <xdr:col>0</xdr:col>
      <xdr:colOff>478020</xdr:colOff>
      <xdr:row>19</xdr:row>
      <xdr:rowOff>64585</xdr:rowOff>
    </xdr:from>
    <xdr:ext cx="6922152" cy="937629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8020" y="3684085"/>
          <a:ext cx="692215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de Patrimônio</a:t>
          </a:r>
          <a:endParaRPr lang="pt-BR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0</xdr:col>
      <xdr:colOff>841562</xdr:colOff>
      <xdr:row>0</xdr:row>
      <xdr:rowOff>262218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" y="38100"/>
          <a:ext cx="784412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44823</xdr:colOff>
      <xdr:row>0</xdr:row>
      <xdr:rowOff>56028</xdr:rowOff>
    </xdr:from>
    <xdr:to>
      <xdr:col>0</xdr:col>
      <xdr:colOff>829235</xdr:colOff>
      <xdr:row>0</xdr:row>
      <xdr:rowOff>280146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823" y="56028"/>
          <a:ext cx="784412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19050</xdr:rowOff>
    </xdr:from>
    <xdr:to>
      <xdr:col>10</xdr:col>
      <xdr:colOff>123825</xdr:colOff>
      <xdr:row>2</xdr:row>
      <xdr:rowOff>66675</xdr:rowOff>
    </xdr:to>
    <xdr:sp macro="[0]!lsCategori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439025" y="209550"/>
          <a:ext cx="12954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Categoria</a:t>
          </a:r>
        </a:p>
      </xdr:txBody>
    </xdr:sp>
    <xdr:clientData/>
  </xdr:twoCellAnchor>
  <xdr:twoCellAnchor>
    <xdr:from>
      <xdr:col>8</xdr:col>
      <xdr:colOff>57150</xdr:colOff>
      <xdr:row>2</xdr:row>
      <xdr:rowOff>133350</xdr:rowOff>
    </xdr:from>
    <xdr:to>
      <xdr:col>10</xdr:col>
      <xdr:colOff>133350</xdr:colOff>
      <xdr:row>3</xdr:row>
      <xdr:rowOff>180975</xdr:rowOff>
    </xdr:to>
    <xdr:sp macro="[0]!lsDepartamento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448550" y="514350"/>
          <a:ext cx="12954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Departamento</a:t>
          </a:r>
        </a:p>
      </xdr:txBody>
    </xdr:sp>
    <xdr:clientData/>
  </xdr:twoCellAnchor>
  <xdr:twoCellAnchor>
    <xdr:from>
      <xdr:col>8</xdr:col>
      <xdr:colOff>57150</xdr:colOff>
      <xdr:row>4</xdr:row>
      <xdr:rowOff>76200</xdr:rowOff>
    </xdr:from>
    <xdr:to>
      <xdr:col>10</xdr:col>
      <xdr:colOff>133350</xdr:colOff>
      <xdr:row>5</xdr:row>
      <xdr:rowOff>123825</xdr:rowOff>
    </xdr:to>
    <xdr:sp macro="[0]!lsEstadoDoBem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448550" y="838200"/>
          <a:ext cx="12954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Situação</a:t>
          </a:r>
        </a:p>
      </xdr:txBody>
    </xdr:sp>
    <xdr:clientData/>
  </xdr:twoCellAnchor>
  <xdr:twoCellAnchor>
    <xdr:from>
      <xdr:col>0</xdr:col>
      <xdr:colOff>76200</xdr:colOff>
      <xdr:row>0</xdr:row>
      <xdr:rowOff>57150</xdr:rowOff>
    </xdr:from>
    <xdr:to>
      <xdr:col>0</xdr:col>
      <xdr:colOff>860612</xdr:colOff>
      <xdr:row>0</xdr:row>
      <xdr:rowOff>281268</xdr:rowOff>
    </xdr:to>
    <xdr:sp macro="" textlink="">
      <xdr:nvSpPr>
        <xdr:cNvPr id="6" name="Retângulo Arredondad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6200" y="57150"/>
          <a:ext cx="784412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345.69033449074" createdVersion="6" refreshedVersion="5" minRefreshableVersion="3" recordCount="2022" xr:uid="{00000000-000A-0000-FFFF-FFFF18000000}">
  <cacheSource type="worksheet">
    <worksheetSource ref="A1:R1048576" sheet="Imobilizado"/>
  </cacheSource>
  <cacheFields count="18">
    <cacheField name="Placa" numFmtId="0">
      <sharedItems containsBlank="1"/>
    </cacheField>
    <cacheField name="Categoria" numFmtId="0">
      <sharedItems containsBlank="1" count="5">
        <s v="Computadores e Periféricos"/>
        <s v="Edifícios"/>
        <s v="Móveis e Utensílios"/>
        <s v="Veículos"/>
        <m/>
      </sharedItems>
    </cacheField>
    <cacheField name="Descrição do bem" numFmtId="0">
      <sharedItems containsBlank="1" count="6">
        <s v="Notebook "/>
        <s v="Prédio administrativo"/>
        <s v="Mesa de escritório"/>
        <s v="Gol 1.0"/>
        <s v="Uno 1.0"/>
        <m/>
      </sharedItems>
    </cacheField>
    <cacheField name="Valor" numFmtId="0">
      <sharedItems containsString="0" containsBlank="1" containsNumber="1" containsInteger="1" minValue="1200" maxValue="1000000"/>
    </cacheField>
    <cacheField name="Fornecedor" numFmtId="0">
      <sharedItems containsBlank="1"/>
    </cacheField>
    <cacheField name="Série" numFmtId="0">
      <sharedItems containsString="0" containsBlank="1" containsNumber="1" containsInteger="1" minValue="1" maxValue="50"/>
    </cacheField>
    <cacheField name="NF" numFmtId="0">
      <sharedItems containsString="0" containsBlank="1" containsNumber="1" containsInteger="1" minValue="123" maxValue="123654"/>
    </cacheField>
    <cacheField name="Data da compra" numFmtId="0">
      <sharedItems containsNonDate="0" containsDate="1" containsString="0" containsBlank="1" minDate="2000-01-10T00:00:00" maxDate="2015-01-11T00:00:00"/>
    </cacheField>
    <cacheField name="Departamento" numFmtId="0">
      <sharedItems containsBlank="1" count="3">
        <s v="Compras"/>
        <s v="Geral"/>
        <m/>
      </sharedItems>
    </cacheField>
    <cacheField name="Descrição do local" numFmtId="0">
      <sharedItems containsBlank="1"/>
    </cacheField>
    <cacheField name="Responsável" numFmtId="0">
      <sharedItems containsBlank="1"/>
    </cacheField>
    <cacheField name="Estado do bem" numFmtId="0">
      <sharedItems containsBlank="1" count="5">
        <s v="Bom"/>
        <s v="Médio"/>
        <s v="Ruim"/>
        <s v="Trocar"/>
        <m/>
      </sharedItems>
    </cacheField>
    <cacheField name="Última revisão do bem" numFmtId="0">
      <sharedItems containsNonDate="0" containsDate="1" containsString="0" containsBlank="1" minDate="2023-01-01T00:00:00" maxDate="2023-03-27T00:00:00"/>
    </cacheField>
    <cacheField name="Próxima revisão" numFmtId="0">
      <sharedItems containsDate="1" containsBlank="1" containsMixedTypes="1" minDate="2024-01-02T00:00:00" maxDate="2024-03-27T00:00:00"/>
    </cacheField>
    <cacheField name="Idade" numFmtId="0">
      <sharedItems containsBlank="1" containsMixedTypes="1" containsNumber="1" minValue="9.1260273972602732" maxValue="24.136986301369863"/>
    </cacheField>
    <cacheField name="Vida útil" numFmtId="0">
      <sharedItems containsBlank="1" containsMixedTypes="1" containsNumber="1" containsInteger="1" minValue="5" maxValue="25"/>
    </cacheField>
    <cacheField name="Trocar / Reformar em:" numFmtId="0">
      <sharedItems containsBlank="1" containsMixedTypes="1" containsNumber="1" minValue="-12.827397260273973" maxValue="0.86301369863013733"/>
    </cacheField>
    <cacheField name="Valor atual" numFmtId="0">
      <sharedItems containsBlank="1" containsMixedTypes="1" containsNumber="1" minValue="-53875.068493150684" maxValue="34520.5479452054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22">
  <r>
    <s v="X001"/>
    <x v="0"/>
    <x v="0"/>
    <n v="2500"/>
    <s v="DELL"/>
    <n v="50"/>
    <n v="123654"/>
    <d v="2015-01-10T00:00:00"/>
    <x v="0"/>
    <s v="Mesa 001"/>
    <s v="Charles Xavier"/>
    <x v="0"/>
    <d v="2023-01-01T00:00:00"/>
    <d v="2024-01-02T00:00:00"/>
    <n v="9.1260273972602732"/>
    <n v="5"/>
    <n v="-4.1260273972602732"/>
    <n v="-2063.0136986301368"/>
  </r>
  <r>
    <s v="X002"/>
    <x v="1"/>
    <x v="1"/>
    <n v="1000000"/>
    <m/>
    <m/>
    <m/>
    <d v="2000-01-10T00:00:00"/>
    <x v="1"/>
    <s v="Situado á rua Guilherme, 1500. Centro de Joinville/SC. Registro de imóvel abcde156"/>
    <s v="Ciclope"/>
    <x v="0"/>
    <d v="2023-01-05T00:00:00"/>
    <d v="2024-01-07T00:00:00"/>
    <n v="24.136986301369863"/>
    <n v="25"/>
    <n v="0.86301369863013733"/>
    <n v="34520.547945205471"/>
  </r>
  <r>
    <s v="X003"/>
    <x v="2"/>
    <x v="2"/>
    <n v="1200"/>
    <s v="Stell móveis"/>
    <n v="1"/>
    <n v="123"/>
    <d v="2003-05-01T00:00:00"/>
    <x v="0"/>
    <s v="Mesa 001"/>
    <s v="Charles Xavier"/>
    <x v="1"/>
    <d v="2023-02-10T00:00:00"/>
    <d v="2024-02-12T00:00:00"/>
    <n v="20.830136986301369"/>
    <n v="10"/>
    <n v="-10.830136986301369"/>
    <n v="-1299.6164383561645"/>
  </r>
  <r>
    <s v="X004"/>
    <x v="3"/>
    <x v="3"/>
    <n v="23000"/>
    <s v="VW Fla"/>
    <n v="50"/>
    <n v="45678"/>
    <d v="2007-07-01T00:00:00"/>
    <x v="1"/>
    <s v="Placa XXY-1020"/>
    <s v="Wolverine"/>
    <x v="2"/>
    <d v="2023-03-25T00:00:00"/>
    <d v="2024-03-25T00:00:00"/>
    <n v="16.660273972602738"/>
    <n v="5"/>
    <n v="-11.660273972602738"/>
    <n v="-53637.260273972599"/>
  </r>
  <r>
    <s v="X005"/>
    <x v="3"/>
    <x v="4"/>
    <n v="21000"/>
    <s v="Fiat Vas"/>
    <n v="50"/>
    <n v="123"/>
    <d v="2006-05-01T00:00:00"/>
    <x v="1"/>
    <s v="Placa XXK-5050"/>
    <s v="Gambit"/>
    <x v="3"/>
    <d v="2023-03-26T00:00:00"/>
    <d v="2024-03-26T00:00:00"/>
    <n v="17.827397260273973"/>
    <n v="5"/>
    <n v="-12.827397260273973"/>
    <n v="-53875.068493150684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0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1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2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3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3" cacheId="0" applyNumberFormats="0" applyBorderFormats="0" applyFontFormats="0" applyPatternFormats="0" applyAlignmentFormats="0" applyWidthHeightFormats="1" dataCaption="Valores" showError="1" updatedVersion="5" minRefreshableVersion="3" useAutoFormatting="1" itemPrintTitles="1" createdVersion="6" indent="0" outline="1" outlineData="1" multipleFieldFilters="0" rowHeaderCaption="Categorias/Departamento/Situação">
  <location ref="A2:G34" firstHeaderRow="1" firstDataRow="2" firstDataCol="1"/>
  <pivotFields count="18"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7">
        <item x="3"/>
        <item x="2"/>
        <item x="0"/>
        <item x="1"/>
        <item x="4"/>
        <item x="5"/>
        <item t="default"/>
      </items>
    </pivotField>
    <pivotField dataField="1"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dataField="1" showAll="0"/>
    <pivotField dataField="1" showAll="0"/>
    <pivotField showAll="0"/>
    <pivotField dataField="1" showAll="0"/>
  </pivotFields>
  <rowFields count="4">
    <field x="1"/>
    <field x="8"/>
    <field x="11"/>
    <field x="2"/>
  </rowFields>
  <rowItems count="31">
    <i>
      <x/>
    </i>
    <i r="1">
      <x/>
    </i>
    <i r="2">
      <x/>
    </i>
    <i r="3">
      <x v="2"/>
    </i>
    <i>
      <x v="1"/>
    </i>
    <i r="1">
      <x v="1"/>
    </i>
    <i r="2">
      <x/>
    </i>
    <i r="3">
      <x v="3"/>
    </i>
    <i>
      <x v="2"/>
    </i>
    <i r="1">
      <x/>
    </i>
    <i r="2">
      <x v="1"/>
    </i>
    <i r="3">
      <x v="1"/>
    </i>
    <i>
      <x v="3"/>
    </i>
    <i r="1">
      <x v="1"/>
    </i>
    <i r="2">
      <x v="2"/>
    </i>
    <i r="3">
      <x/>
    </i>
    <i r="2">
      <x v="3"/>
    </i>
    <i r="3">
      <x v="4"/>
    </i>
    <i>
      <x v="4"/>
    </i>
    <i r="1">
      <x v="2"/>
    </i>
    <i r="2">
      <x/>
    </i>
    <i r="3">
      <x v="5"/>
    </i>
    <i r="2">
      <x v="1"/>
    </i>
    <i r="3">
      <x v="5"/>
    </i>
    <i r="2">
      <x v="2"/>
    </i>
    <i r="3">
      <x v="5"/>
    </i>
    <i r="2">
      <x v="3"/>
    </i>
    <i r="3">
      <x v="5"/>
    </i>
    <i r="2">
      <x v="4"/>
    </i>
    <i r="3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Qtde." fld="0" subtotal="count" baseField="0" baseItem="0"/>
    <dataField name="Valor compra" fld="3" baseField="1" baseItem="1" numFmtId="41"/>
    <dataField name="Valor atual " fld="17" baseField="11" baseItem="0" numFmtId="167"/>
    <dataField name="Vida útil " fld="15" subtotal="average" baseField="8" baseItem="0"/>
    <dataField name="Média idade" fld="14" subtotal="average" baseField="8" baseItem="1" numFmtId="165"/>
    <dataField name="Próxima revisão " fld="13" subtotal="min" baseField="11" baseItem="0" numFmtId="14"/>
  </dataFields>
  <formats count="2">
    <format dxfId="1">
      <pivotArea field="1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0">
      <pivotArea outline="0" fieldPosition="0">
        <references count="1">
          <reference field="4294967294" count="1">
            <x v="5"/>
          </reference>
        </references>
      </pivotArea>
    </format>
  </formats>
  <pivotTableStyleInfo name="PivotStyleDark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D8" totalsRowShown="0">
  <autoFilter ref="A2:D8" xr:uid="{00000000-0009-0000-0100-000001000000}"/>
  <sortState xmlns:xlrd2="http://schemas.microsoft.com/office/spreadsheetml/2017/richdata2" ref="A3:C8">
    <sortCondition ref="A3:A8"/>
  </sortState>
  <tableColumns count="4">
    <tableColumn id="1" xr3:uid="{00000000-0010-0000-0000-000001000000}" name="Categoria" dataDxfId="1621"/>
    <tableColumn id="2" xr3:uid="{00000000-0010-0000-0000-000002000000}" name="Taxa anual" dataDxfId="1620" dataCellStyle="Porcentagem"/>
    <tableColumn id="3" xr3:uid="{00000000-0010-0000-0000-000003000000}" name="Vida útil (anos)" dataDxfId="1619">
      <calculatedColumnFormula>1/B3</calculatedColumnFormula>
    </tableColumn>
    <tableColumn id="4" xr3:uid="{00000000-0010-0000-0000-000004000000}" name="Revisar em (anos)" dataDxfId="161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F1:F11" totalsRowShown="0">
  <autoFilter ref="F1:F11" xr:uid="{00000000-0009-0000-0100-000002000000}"/>
  <tableColumns count="1">
    <tableColumn id="1" xr3:uid="{00000000-0010-0000-0100-000001000000}" name="Departament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R2022" totalsRowShown="0" headerRowDxfId="7">
  <autoFilter ref="A1:R2022" xr:uid="{00000000-0009-0000-0100-000003000000}"/>
  <tableColumns count="18">
    <tableColumn id="1" xr3:uid="{00000000-0010-0000-0200-000001000000}" name="Placa"/>
    <tableColumn id="2" xr3:uid="{00000000-0010-0000-0200-000002000000}" name="Categoria"/>
    <tableColumn id="3" xr3:uid="{00000000-0010-0000-0200-000003000000}" name="Descrição do bem"/>
    <tableColumn id="4" xr3:uid="{00000000-0010-0000-0200-000004000000}" name="Valor" dataCellStyle="Moeda"/>
    <tableColumn id="12" xr3:uid="{00000000-0010-0000-0200-00000C000000}" name="Fornecedor"/>
    <tableColumn id="15" xr3:uid="{00000000-0010-0000-0200-00000F000000}" name="Série"/>
    <tableColumn id="14" xr3:uid="{00000000-0010-0000-0200-00000E000000}" name="NF"/>
    <tableColumn id="5" xr3:uid="{00000000-0010-0000-0200-000005000000}" name="Data da compra"/>
    <tableColumn id="6" xr3:uid="{00000000-0010-0000-0200-000006000000}" name="Departamento"/>
    <tableColumn id="7" xr3:uid="{00000000-0010-0000-0200-000007000000}" name="Descrição do local"/>
    <tableColumn id="8" xr3:uid="{00000000-0010-0000-0200-000008000000}" name="Responsável"/>
    <tableColumn id="18" xr3:uid="{00000000-0010-0000-0200-000012000000}" name="Estado do bem"/>
    <tableColumn id="19" xr3:uid="{00000000-0010-0000-0200-000013000000}" name="Última revisão do bem"/>
    <tableColumn id="20" xr3:uid="{00000000-0010-0000-0200-000014000000}" name="Próxima revisão" dataDxfId="6">
      <calculatedColumnFormula>IFERROR(Tabela3[[#This Row],[Última revisão do bem]]+(VLOOKUP(Tabela3[[#This Row],[Categoria]],Cadastros!A:D,4,0)+365),"")</calculatedColumnFormula>
    </tableColumn>
    <tableColumn id="9" xr3:uid="{00000000-0010-0000-0200-000009000000}" name="Idade" dataDxfId="5">
      <calculatedColumnFormula>IF(Tabela3[[#This Row],[Data da compra]]&gt;0,(TODAY()-Tabela3[[#This Row],[Data da compra]])/365,"")</calculatedColumnFormula>
    </tableColumn>
    <tableColumn id="17" xr3:uid="{00000000-0010-0000-0200-000011000000}" name="Vida útil" dataDxfId="4">
      <calculatedColumnFormula>IFERROR(VLOOKUP(Tabela3[[#This Row],[Categoria]],Cadastros!A:C,3,0),"")</calculatedColumnFormula>
    </tableColumn>
    <tableColumn id="10" xr3:uid="{00000000-0010-0000-0200-00000A000000}" name="Trocar / Reformar em:" dataDxfId="3">
      <calculatedColumnFormula>IFERROR(Tabela3[[#This Row],[Vida útil]]-Tabela3[[#This Row],[Idade]],"")</calculatedColumnFormula>
    </tableColumn>
    <tableColumn id="11" xr3:uid="{00000000-0010-0000-0200-00000B000000}" name="Valor atual" dataDxfId="2" dataCellStyle="Moeda">
      <calculatedColumnFormula>IFERROR(Tabela3[[#This Row],[Valor]]-(Tabela3[[#This Row],[Valor]]*(Tabela3[[#This Row],[Idade]]*VLOOKUP(Tabela3[[#This Row],[Categoria]],Cadastros!A:B,2,0))),"")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N29"/>
  <sheetViews>
    <sheetView showGridLines="0" showRowColHeaders="0" tabSelected="1" zoomScale="85" workbookViewId="0"/>
  </sheetViews>
  <sheetFormatPr defaultColWidth="0" defaultRowHeight="15" zeroHeight="1" x14ac:dyDescent="0.25"/>
  <cols>
    <col min="1" max="13" width="9.140625" customWidth="1"/>
    <col min="14" max="14" width="1.5703125" customWidth="1"/>
    <col min="15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1" tint="0.14999847407452621"/>
  </sheetPr>
  <dimension ref="A1:F12"/>
  <sheetViews>
    <sheetView showGridLines="0" workbookViewId="0">
      <selection activeCell="C18" sqref="C18"/>
    </sheetView>
  </sheetViews>
  <sheetFormatPr defaultRowHeight="15" x14ac:dyDescent="0.25"/>
  <cols>
    <col min="1" max="1" width="23.5703125" bestFit="1" customWidth="1"/>
    <col min="2" max="2" width="12.42578125" customWidth="1"/>
    <col min="3" max="3" width="16.5703125" customWidth="1"/>
    <col min="4" max="4" width="19.140625" bestFit="1" customWidth="1"/>
    <col min="6" max="6" width="16" customWidth="1"/>
  </cols>
  <sheetData>
    <row r="1" spans="1:6" ht="25.5" customHeight="1" x14ac:dyDescent="0.25">
      <c r="A1" s="4" t="s">
        <v>0</v>
      </c>
      <c r="B1" s="4"/>
      <c r="C1" s="4"/>
      <c r="D1" s="14"/>
      <c r="F1" t="s">
        <v>10</v>
      </c>
    </row>
    <row r="2" spans="1:6" x14ac:dyDescent="0.25">
      <c r="A2" t="s">
        <v>1</v>
      </c>
      <c r="B2" t="s">
        <v>2</v>
      </c>
      <c r="C2" t="s">
        <v>3</v>
      </c>
      <c r="D2" t="s">
        <v>62</v>
      </c>
      <c r="F2" t="s">
        <v>18</v>
      </c>
    </row>
    <row r="3" spans="1:6" x14ac:dyDescent="0.25">
      <c r="A3" s="1" t="s">
        <v>9</v>
      </c>
      <c r="B3" s="2">
        <v>0.2</v>
      </c>
      <c r="C3" s="3">
        <f t="shared" ref="C3:C8" si="0">1/B3</f>
        <v>5</v>
      </c>
      <c r="D3" s="3">
        <v>1</v>
      </c>
      <c r="F3" t="s">
        <v>14</v>
      </c>
    </row>
    <row r="4" spans="1:6" x14ac:dyDescent="0.25">
      <c r="A4" s="1" t="s">
        <v>4</v>
      </c>
      <c r="B4" s="2">
        <v>0.04</v>
      </c>
      <c r="C4" s="3">
        <f t="shared" si="0"/>
        <v>25</v>
      </c>
      <c r="D4" s="3">
        <v>2</v>
      </c>
      <c r="F4" t="s">
        <v>17</v>
      </c>
    </row>
    <row r="5" spans="1:6" x14ac:dyDescent="0.25">
      <c r="A5" s="1" t="s">
        <v>6</v>
      </c>
      <c r="B5" s="2">
        <v>0.1</v>
      </c>
      <c r="C5" s="3">
        <f t="shared" si="0"/>
        <v>10</v>
      </c>
      <c r="D5" s="3">
        <v>2</v>
      </c>
      <c r="F5" t="s">
        <v>13</v>
      </c>
    </row>
    <row r="6" spans="1:6" x14ac:dyDescent="0.25">
      <c r="A6" s="1" t="s">
        <v>5</v>
      </c>
      <c r="B6" s="2">
        <v>0.1</v>
      </c>
      <c r="C6" s="3">
        <f t="shared" si="0"/>
        <v>10</v>
      </c>
      <c r="D6" s="3">
        <v>1</v>
      </c>
      <c r="F6" t="s">
        <v>39</v>
      </c>
    </row>
    <row r="7" spans="1:6" x14ac:dyDescent="0.25">
      <c r="A7" s="1" t="s">
        <v>7</v>
      </c>
      <c r="B7" s="2">
        <v>0.1</v>
      </c>
      <c r="C7" s="3">
        <f t="shared" si="0"/>
        <v>10</v>
      </c>
      <c r="D7" s="3">
        <v>2</v>
      </c>
      <c r="F7" t="s">
        <v>16</v>
      </c>
    </row>
    <row r="8" spans="1:6" x14ac:dyDescent="0.25">
      <c r="A8" s="1" t="s">
        <v>8</v>
      </c>
      <c r="B8" s="2">
        <v>0.2</v>
      </c>
      <c r="C8" s="3">
        <f t="shared" si="0"/>
        <v>5</v>
      </c>
      <c r="D8" s="3">
        <v>1</v>
      </c>
      <c r="F8" t="s">
        <v>15</v>
      </c>
    </row>
    <row r="9" spans="1:6" x14ac:dyDescent="0.25">
      <c r="B9" s="2"/>
      <c r="F9" t="s">
        <v>11</v>
      </c>
    </row>
    <row r="10" spans="1:6" x14ac:dyDescent="0.25">
      <c r="B10" s="2"/>
      <c r="F10" t="s">
        <v>12</v>
      </c>
    </row>
    <row r="11" spans="1:6" x14ac:dyDescent="0.25">
      <c r="B11" s="2"/>
      <c r="F11" t="s">
        <v>19</v>
      </c>
    </row>
    <row r="12" spans="1:6" x14ac:dyDescent="0.25">
      <c r="B12" s="2"/>
    </row>
  </sheetData>
  <sortState xmlns:xlrd2="http://schemas.microsoft.com/office/spreadsheetml/2017/richdata2" ref="F2:F12">
    <sortCondition ref="F2:F12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7" tint="-0.249977111117893"/>
  </sheetPr>
  <dimension ref="A1:S2022"/>
  <sheetViews>
    <sheetView showGridLines="0" zoomScale="78" zoomScaleNormal="78" workbookViewId="0">
      <pane ySplit="1" topLeftCell="A2" activePane="bottomLeft" state="frozen"/>
      <selection pane="bottomLeft" activeCell="M7" sqref="M7"/>
    </sheetView>
  </sheetViews>
  <sheetFormatPr defaultRowHeight="15" x14ac:dyDescent="0.25"/>
  <cols>
    <col min="1" max="1" width="17.5703125" customWidth="1"/>
    <col min="2" max="2" width="26.140625" bestFit="1" customWidth="1"/>
    <col min="3" max="3" width="22" customWidth="1"/>
    <col min="4" max="4" width="17" bestFit="1" customWidth="1"/>
    <col min="5" max="5" width="16" customWidth="1"/>
    <col min="6" max="6" width="6.5703125" customWidth="1"/>
    <col min="7" max="7" width="9.42578125" customWidth="1"/>
    <col min="8" max="8" width="12.5703125" customWidth="1"/>
    <col min="9" max="9" width="18.85546875" bestFit="1" customWidth="1"/>
    <col min="10" max="10" width="19.140625" bestFit="1" customWidth="1"/>
    <col min="11" max="11" width="14.42578125" bestFit="1" customWidth="1"/>
    <col min="12" max="12" width="10.5703125" customWidth="1"/>
    <col min="13" max="14" width="14.42578125" customWidth="1"/>
    <col min="16" max="16" width="8.28515625" bestFit="1" customWidth="1"/>
    <col min="17" max="17" width="10.7109375" bestFit="1" customWidth="1"/>
    <col min="18" max="18" width="11.140625" customWidth="1"/>
    <col min="19" max="19" width="14.28515625" style="5" bestFit="1" customWidth="1"/>
  </cols>
  <sheetData>
    <row r="1" spans="1:19" ht="59.25" customHeight="1" x14ac:dyDescent="0.25">
      <c r="A1" s="10" t="s">
        <v>20</v>
      </c>
      <c r="B1" s="10" t="s">
        <v>1</v>
      </c>
      <c r="C1" s="10" t="s">
        <v>21</v>
      </c>
      <c r="D1" s="10" t="s">
        <v>22</v>
      </c>
      <c r="E1" s="10" t="s">
        <v>31</v>
      </c>
      <c r="F1" s="10" t="s">
        <v>32</v>
      </c>
      <c r="G1" s="10" t="s">
        <v>33</v>
      </c>
      <c r="H1" s="10" t="s">
        <v>23</v>
      </c>
      <c r="I1" s="10" t="s">
        <v>10</v>
      </c>
      <c r="J1" s="10" t="s">
        <v>24</v>
      </c>
      <c r="K1" s="10" t="s">
        <v>25</v>
      </c>
      <c r="L1" s="10" t="s">
        <v>45</v>
      </c>
      <c r="M1" s="10" t="s">
        <v>63</v>
      </c>
      <c r="N1" s="10" t="s">
        <v>64</v>
      </c>
      <c r="O1" s="10" t="s">
        <v>27</v>
      </c>
      <c r="P1" s="10" t="s">
        <v>26</v>
      </c>
      <c r="Q1" s="10" t="s">
        <v>53</v>
      </c>
      <c r="R1" s="11" t="s">
        <v>28</v>
      </c>
      <c r="S1"/>
    </row>
    <row r="2" spans="1:19" x14ac:dyDescent="0.25">
      <c r="A2" t="s">
        <v>29</v>
      </c>
      <c r="B2" t="s">
        <v>9</v>
      </c>
      <c r="C2" t="s">
        <v>30</v>
      </c>
      <c r="D2" s="5">
        <v>2500</v>
      </c>
      <c r="E2" t="s">
        <v>34</v>
      </c>
      <c r="F2">
        <v>50</v>
      </c>
      <c r="G2">
        <v>123654</v>
      </c>
      <c r="H2" s="6">
        <v>42014</v>
      </c>
      <c r="I2" t="s">
        <v>18</v>
      </c>
      <c r="J2" t="s">
        <v>35</v>
      </c>
      <c r="K2" t="s">
        <v>36</v>
      </c>
      <c r="L2" t="s">
        <v>46</v>
      </c>
      <c r="M2" s="6">
        <v>44927</v>
      </c>
      <c r="N2" s="6">
        <f>IFERROR(Tabela3[[#This Row],[Última revisão do bem]]+(VLOOKUP(Tabela3[[#This Row],[Categoria]],Cadastros!A:D,4,0)+365),"")</f>
        <v>45293</v>
      </c>
      <c r="O2" s="7">
        <f ca="1">IF(Tabela3[[#This Row],[Data da compra]]&gt;0,(TODAY()-Tabela3[[#This Row],[Data da compra]])/365,"")</f>
        <v>10.717808219178082</v>
      </c>
      <c r="P2" s="7">
        <f>IFERROR(VLOOKUP(Tabela3[[#This Row],[Categoria]],Cadastros!A:C,3,0),"")</f>
        <v>5</v>
      </c>
      <c r="Q2" s="9">
        <f ca="1">IFERROR(Tabela3[[#This Row],[Vida útil]]-Tabela3[[#This Row],[Idade]],"")</f>
        <v>-5.7178082191780817</v>
      </c>
      <c r="R2" s="8">
        <f ca="1">IFERROR(Tabela3[[#This Row],[Valor]]-(Tabela3[[#This Row],[Valor]]*(Tabela3[[#This Row],[Idade]]*VLOOKUP(Tabela3[[#This Row],[Categoria]],Cadastros!A:B,2,0))),"")</f>
        <v>-2858.9041095890407</v>
      </c>
      <c r="S2"/>
    </row>
    <row r="3" spans="1:19" x14ac:dyDescent="0.25">
      <c r="A3" t="s">
        <v>37</v>
      </c>
      <c r="B3" t="s">
        <v>4</v>
      </c>
      <c r="C3" t="s">
        <v>38</v>
      </c>
      <c r="D3" s="5">
        <v>1000000</v>
      </c>
      <c r="H3" s="6">
        <v>36535</v>
      </c>
      <c r="I3" t="s">
        <v>39</v>
      </c>
      <c r="J3" t="s">
        <v>40</v>
      </c>
      <c r="K3" t="s">
        <v>41</v>
      </c>
      <c r="L3" t="s">
        <v>46</v>
      </c>
      <c r="M3" s="6">
        <v>44931</v>
      </c>
      <c r="N3" s="6">
        <f>IFERROR(Tabela3[[#This Row],[Última revisão do bem]]+(VLOOKUP(Tabela3[[#This Row],[Categoria]],Cadastros!A:D,4,0)+365),"")</f>
        <v>45298</v>
      </c>
      <c r="O3" s="7">
        <f ca="1">IF(Tabela3[[#This Row],[Data da compra]]&gt;0,(TODAY()-Tabela3[[#This Row],[Data da compra]])/365,"")</f>
        <v>25.728767123287671</v>
      </c>
      <c r="P3" s="7">
        <f>IFERROR(VLOOKUP(Tabela3[[#This Row],[Categoria]],Cadastros!A:C,3,0),"")</f>
        <v>25</v>
      </c>
      <c r="Q3" s="9">
        <f ca="1">IFERROR(Tabela3[[#This Row],[Vida útil]]-Tabela3[[#This Row],[Idade]],"")</f>
        <v>-0.72876712328767113</v>
      </c>
      <c r="R3" s="8">
        <f ca="1">IFERROR(Tabela3[[#This Row],[Valor]]-(Tabela3[[#This Row],[Valor]]*(Tabela3[[#This Row],[Idade]]*VLOOKUP(Tabela3[[#This Row],[Categoria]],Cadastros!A:B,2,0))),"")</f>
        <v>-29150.684931506868</v>
      </c>
      <c r="S3"/>
    </row>
    <row r="4" spans="1:19" x14ac:dyDescent="0.25">
      <c r="A4" t="s">
        <v>42</v>
      </c>
      <c r="B4" t="s">
        <v>7</v>
      </c>
      <c r="C4" t="s">
        <v>43</v>
      </c>
      <c r="D4" s="5">
        <v>1200</v>
      </c>
      <c r="E4" t="s">
        <v>44</v>
      </c>
      <c r="F4">
        <v>1</v>
      </c>
      <c r="G4">
        <v>123</v>
      </c>
      <c r="H4" s="6">
        <v>37742</v>
      </c>
      <c r="I4" t="s">
        <v>18</v>
      </c>
      <c r="J4" t="s">
        <v>35</v>
      </c>
      <c r="K4" t="s">
        <v>36</v>
      </c>
      <c r="L4" t="s">
        <v>47</v>
      </c>
      <c r="M4" s="6">
        <v>44967</v>
      </c>
      <c r="N4" s="6">
        <f>IFERROR(Tabela3[[#This Row],[Última revisão do bem]]+(VLOOKUP(Tabela3[[#This Row],[Categoria]],Cadastros!A:D,4,0)+365),"")</f>
        <v>45334</v>
      </c>
      <c r="O4" s="7">
        <f ca="1">IF(Tabela3[[#This Row],[Data da compra]]&gt;0,(TODAY()-Tabela3[[#This Row],[Data da compra]])/365,"")</f>
        <v>22.421917808219177</v>
      </c>
      <c r="P4" s="7">
        <f>IFERROR(VLOOKUP(Tabela3[[#This Row],[Categoria]],Cadastros!A:C,3,0),"")</f>
        <v>10</v>
      </c>
      <c r="Q4" s="9">
        <f ca="1">IFERROR(Tabela3[[#This Row],[Vida útil]]-Tabela3[[#This Row],[Idade]],"")</f>
        <v>-12.421917808219177</v>
      </c>
      <c r="R4" s="8">
        <f ca="1">IFERROR(Tabela3[[#This Row],[Valor]]-(Tabela3[[#This Row],[Valor]]*(Tabela3[[#This Row],[Idade]]*VLOOKUP(Tabela3[[#This Row],[Categoria]],Cadastros!A:B,2,0))),"")</f>
        <v>-1490.6301369863013</v>
      </c>
      <c r="S4"/>
    </row>
    <row r="5" spans="1:19" x14ac:dyDescent="0.25">
      <c r="A5" t="s">
        <v>48</v>
      </c>
      <c r="B5" t="s">
        <v>8</v>
      </c>
      <c r="C5" t="s">
        <v>49</v>
      </c>
      <c r="D5" s="5">
        <v>23000</v>
      </c>
      <c r="E5" t="s">
        <v>50</v>
      </c>
      <c r="F5">
        <v>50</v>
      </c>
      <c r="G5">
        <v>45678</v>
      </c>
      <c r="H5" s="6">
        <v>39264</v>
      </c>
      <c r="I5" t="s">
        <v>39</v>
      </c>
      <c r="J5" t="s">
        <v>51</v>
      </c>
      <c r="K5" t="s">
        <v>52</v>
      </c>
      <c r="L5" t="s">
        <v>55</v>
      </c>
      <c r="M5" s="6">
        <v>45010</v>
      </c>
      <c r="N5" s="6">
        <f>IFERROR(Tabela3[[#This Row],[Última revisão do bem]]+(VLOOKUP(Tabela3[[#This Row],[Categoria]],Cadastros!A:D,4,0)+365),"")</f>
        <v>45376</v>
      </c>
      <c r="O5" s="7">
        <f ca="1">IF(Tabela3[[#This Row],[Data da compra]]&gt;0,(TODAY()-Tabela3[[#This Row],[Data da compra]])/365,"")</f>
        <v>18.252054794520546</v>
      </c>
      <c r="P5" s="7">
        <f>IFERROR(VLOOKUP(Tabela3[[#This Row],[Categoria]],Cadastros!A:C,3,0),"")</f>
        <v>5</v>
      </c>
      <c r="Q5" s="9">
        <f ca="1">IFERROR(Tabela3[[#This Row],[Vida útil]]-Tabela3[[#This Row],[Idade]],"")</f>
        <v>-13.252054794520546</v>
      </c>
      <c r="R5" s="8">
        <f ca="1">IFERROR(Tabela3[[#This Row],[Valor]]-(Tabela3[[#This Row],[Valor]]*(Tabela3[[#This Row],[Idade]]*VLOOKUP(Tabela3[[#This Row],[Categoria]],Cadastros!A:B,2,0))),"")</f>
        <v>-60959.452054794514</v>
      </c>
      <c r="S5"/>
    </row>
    <row r="6" spans="1:19" x14ac:dyDescent="0.25">
      <c r="A6" t="s">
        <v>54</v>
      </c>
      <c r="B6" t="s">
        <v>8</v>
      </c>
      <c r="C6" t="s">
        <v>56</v>
      </c>
      <c r="D6" s="5">
        <v>21000</v>
      </c>
      <c r="E6" t="s">
        <v>57</v>
      </c>
      <c r="F6">
        <v>50</v>
      </c>
      <c r="G6">
        <v>123</v>
      </c>
      <c r="H6" s="6">
        <v>38838</v>
      </c>
      <c r="I6" t="s">
        <v>39</v>
      </c>
      <c r="J6" t="s">
        <v>58</v>
      </c>
      <c r="K6" t="s">
        <v>59</v>
      </c>
      <c r="L6" t="s">
        <v>60</v>
      </c>
      <c r="M6" s="6">
        <v>45011</v>
      </c>
      <c r="N6" s="6">
        <f>IFERROR(Tabela3[[#This Row],[Última revisão do bem]]+(VLOOKUP(Tabela3[[#This Row],[Categoria]],Cadastros!A:D,4,0)+365),"")</f>
        <v>45377</v>
      </c>
      <c r="O6" s="7">
        <f ca="1">IF(Tabela3[[#This Row],[Data da compra]]&gt;0,(TODAY()-Tabela3[[#This Row],[Data da compra]])/365,"")</f>
        <v>19.419178082191781</v>
      </c>
      <c r="P6" s="7">
        <f>IFERROR(VLOOKUP(Tabela3[[#This Row],[Categoria]],Cadastros!A:C,3,0),"")</f>
        <v>5</v>
      </c>
      <c r="Q6" s="9">
        <f ca="1">IFERROR(Tabela3[[#This Row],[Vida útil]]-Tabela3[[#This Row],[Idade]],"")</f>
        <v>-14.419178082191781</v>
      </c>
      <c r="R6" s="8">
        <f ca="1">IFERROR(Tabela3[[#This Row],[Valor]]-(Tabela3[[#This Row],[Valor]]*(Tabela3[[#This Row],[Idade]]*VLOOKUP(Tabela3[[#This Row],[Categoria]],Cadastros!A:B,2,0))),"")</f>
        <v>-60560.547945205486</v>
      </c>
      <c r="S6"/>
    </row>
    <row r="7" spans="1:19" x14ac:dyDescent="0.25">
      <c r="D7" s="5"/>
      <c r="N7" s="6" t="str">
        <f>IFERROR(Tabela3[[#This Row],[Última revisão do bem]]+(VLOOKUP(Tabela3[[#This Row],[Categoria]],Cadastros!A:D,4,0)+365),"")</f>
        <v/>
      </c>
      <c r="O7" s="7" t="str">
        <f ca="1">IF(Tabela3[[#This Row],[Data da compra]]&gt;0,(TODAY()-Tabela3[[#This Row],[Data da compra]])/365,"")</f>
        <v/>
      </c>
      <c r="P7" s="7" t="str">
        <f>IFERROR(VLOOKUP(Tabela3[[#This Row],[Categoria]],Cadastros!A:C,3,0),"")</f>
        <v/>
      </c>
      <c r="Q7" s="9" t="str">
        <f ca="1">IFERROR(Tabela3[[#This Row],[Vida útil]]-Tabela3[[#This Row],[Idade]],"")</f>
        <v/>
      </c>
      <c r="R7" s="8" t="str">
        <f ca="1">IFERROR(Tabela3[[#This Row],[Valor]]-(Tabela3[[#This Row],[Valor]]*(Tabela3[[#This Row],[Idade]]*VLOOKUP(Tabela3[[#This Row],[Categoria]],Cadastros!A:B,2,0))),"")</f>
        <v/>
      </c>
    </row>
    <row r="8" spans="1:19" x14ac:dyDescent="0.25">
      <c r="D8" s="5"/>
      <c r="N8" s="6" t="str">
        <f>IFERROR(Tabela3[[#This Row],[Última revisão do bem]]+(VLOOKUP(Tabela3[[#This Row],[Categoria]],Cadastros!A:D,4,0)+365),"")</f>
        <v/>
      </c>
      <c r="O8" s="7" t="str">
        <f ca="1">IF(Tabela3[[#This Row],[Data da compra]]&gt;0,(TODAY()-Tabela3[[#This Row],[Data da compra]])/365,"")</f>
        <v/>
      </c>
      <c r="P8" s="7" t="str">
        <f>IFERROR(VLOOKUP(Tabela3[[#This Row],[Categoria]],Cadastros!A:C,3,0),"")</f>
        <v/>
      </c>
      <c r="Q8" s="9" t="str">
        <f ca="1">IFERROR(Tabela3[[#This Row],[Vida útil]]-Tabela3[[#This Row],[Idade]],"")</f>
        <v/>
      </c>
      <c r="R8" s="8" t="str">
        <f ca="1">IFERROR(Tabela3[[#This Row],[Valor]]-(Tabela3[[#This Row],[Valor]]*(Tabela3[[#This Row],[Idade]]*VLOOKUP(Tabela3[[#This Row],[Categoria]],Cadastros!A:B,2,0))),"")</f>
        <v/>
      </c>
    </row>
    <row r="9" spans="1:19" x14ac:dyDescent="0.25">
      <c r="D9" s="5"/>
      <c r="N9" s="6" t="str">
        <f>IFERROR(Tabela3[[#This Row],[Última revisão do bem]]+(VLOOKUP(Tabela3[[#This Row],[Categoria]],Cadastros!A:D,4,0)+365),"")</f>
        <v/>
      </c>
      <c r="O9" s="7" t="str">
        <f ca="1">IF(Tabela3[[#This Row],[Data da compra]]&gt;0,(TODAY()-Tabela3[[#This Row],[Data da compra]])/365,"")</f>
        <v/>
      </c>
      <c r="P9" s="7" t="str">
        <f>IFERROR(VLOOKUP(Tabela3[[#This Row],[Categoria]],Cadastros!A:C,3,0),"")</f>
        <v/>
      </c>
      <c r="Q9" s="9" t="str">
        <f ca="1">IFERROR(Tabela3[[#This Row],[Vida útil]]-Tabela3[[#This Row],[Idade]],"")</f>
        <v/>
      </c>
      <c r="R9" s="8" t="str">
        <f ca="1">IFERROR(Tabela3[[#This Row],[Valor]]-(Tabela3[[#This Row],[Valor]]*(Tabela3[[#This Row],[Idade]]*VLOOKUP(Tabela3[[#This Row],[Categoria]],Cadastros!A:B,2,0))),"")</f>
        <v/>
      </c>
    </row>
    <row r="10" spans="1:19" x14ac:dyDescent="0.25">
      <c r="D10" s="5"/>
      <c r="N10" s="6" t="str">
        <f>IFERROR(Tabela3[[#This Row],[Última revisão do bem]]+(VLOOKUP(Tabela3[[#This Row],[Categoria]],Cadastros!A:D,4,0)+365),"")</f>
        <v/>
      </c>
      <c r="O10" s="7" t="str">
        <f ca="1">IF(Tabela3[[#This Row],[Data da compra]]&gt;0,(TODAY()-Tabela3[[#This Row],[Data da compra]])/365,"")</f>
        <v/>
      </c>
      <c r="P10" s="7" t="str">
        <f>IFERROR(VLOOKUP(Tabela3[[#This Row],[Categoria]],Cadastros!A:C,3,0),"")</f>
        <v/>
      </c>
      <c r="Q10" s="9" t="str">
        <f ca="1">IFERROR(Tabela3[[#This Row],[Vida útil]]-Tabela3[[#This Row],[Idade]],"")</f>
        <v/>
      </c>
      <c r="R10" s="8" t="str">
        <f ca="1">IFERROR(Tabela3[[#This Row],[Valor]]-(Tabela3[[#This Row],[Valor]]*(Tabela3[[#This Row],[Idade]]*VLOOKUP(Tabela3[[#This Row],[Categoria]],Cadastros!A:B,2,0))),"")</f>
        <v/>
      </c>
    </row>
    <row r="11" spans="1:19" x14ac:dyDescent="0.25">
      <c r="D11" s="5"/>
      <c r="N11" s="6" t="str">
        <f>IFERROR(Tabela3[[#This Row],[Última revisão do bem]]+(VLOOKUP(Tabela3[[#This Row],[Categoria]],Cadastros!A:D,4,0)+365),"")</f>
        <v/>
      </c>
      <c r="O11" s="7" t="str">
        <f ca="1">IF(Tabela3[[#This Row],[Data da compra]]&gt;0,(TODAY()-Tabela3[[#This Row],[Data da compra]])/365,"")</f>
        <v/>
      </c>
      <c r="P11" s="7" t="str">
        <f>IFERROR(VLOOKUP(Tabela3[[#This Row],[Categoria]],Cadastros!A:C,3,0),"")</f>
        <v/>
      </c>
      <c r="Q11" s="9" t="str">
        <f ca="1">IFERROR(Tabela3[[#This Row],[Vida útil]]-Tabela3[[#This Row],[Idade]],"")</f>
        <v/>
      </c>
      <c r="R11" s="8" t="str">
        <f ca="1">IFERROR(Tabela3[[#This Row],[Valor]]-(Tabela3[[#This Row],[Valor]]*(Tabela3[[#This Row],[Idade]]*VLOOKUP(Tabela3[[#This Row],[Categoria]],Cadastros!A:B,2,0))),"")</f>
        <v/>
      </c>
    </row>
    <row r="12" spans="1:19" x14ac:dyDescent="0.25">
      <c r="D12" s="5"/>
      <c r="L12" t="s">
        <v>46</v>
      </c>
      <c r="N12" s="6" t="str">
        <f>IFERROR(Tabela3[[#This Row],[Última revisão do bem]]+(VLOOKUP(Tabela3[[#This Row],[Categoria]],Cadastros!A:D,4,0)+365),"")</f>
        <v/>
      </c>
      <c r="O12" s="7" t="str">
        <f ca="1">IF(Tabela3[[#This Row],[Data da compra]]&gt;0,(TODAY()-Tabela3[[#This Row],[Data da compra]])/365,"")</f>
        <v/>
      </c>
      <c r="P12" s="7" t="str">
        <f>IFERROR(VLOOKUP(Tabela3[[#This Row],[Categoria]],Cadastros!A:C,3,0),"")</f>
        <v/>
      </c>
      <c r="Q12" s="9" t="str">
        <f ca="1">IFERROR(Tabela3[[#This Row],[Vida útil]]-Tabela3[[#This Row],[Idade]],"")</f>
        <v/>
      </c>
      <c r="R12" s="8" t="str">
        <f ca="1">IFERROR(Tabela3[[#This Row],[Valor]]-(Tabela3[[#This Row],[Valor]]*(Tabela3[[#This Row],[Idade]]*VLOOKUP(Tabela3[[#This Row],[Categoria]],Cadastros!A:B,2,0))),"")</f>
        <v/>
      </c>
    </row>
    <row r="13" spans="1:19" x14ac:dyDescent="0.25">
      <c r="D13" s="5"/>
      <c r="N13" s="6" t="str">
        <f>IFERROR(Tabela3[[#This Row],[Última revisão do bem]]+(VLOOKUP(Tabela3[[#This Row],[Categoria]],Cadastros!A:D,4,0)+365),"")</f>
        <v/>
      </c>
      <c r="O13" s="7" t="str">
        <f ca="1">IF(Tabela3[[#This Row],[Data da compra]]&gt;0,(TODAY()-Tabela3[[#This Row],[Data da compra]])/365,"")</f>
        <v/>
      </c>
      <c r="P13" s="7" t="str">
        <f>IFERROR(VLOOKUP(Tabela3[[#This Row],[Categoria]],Cadastros!A:C,3,0),"")</f>
        <v/>
      </c>
      <c r="Q13" s="9" t="str">
        <f ca="1">IFERROR(Tabela3[[#This Row],[Vida útil]]-Tabela3[[#This Row],[Idade]],"")</f>
        <v/>
      </c>
      <c r="R13" s="8" t="str">
        <f ca="1">IFERROR(Tabela3[[#This Row],[Valor]]-(Tabela3[[#This Row],[Valor]]*(Tabela3[[#This Row],[Idade]]*VLOOKUP(Tabela3[[#This Row],[Categoria]],Cadastros!A:B,2,0))),"")</f>
        <v/>
      </c>
    </row>
    <row r="14" spans="1:19" x14ac:dyDescent="0.25">
      <c r="D14" s="5"/>
      <c r="N14" s="6" t="str">
        <f>IFERROR(Tabela3[[#This Row],[Última revisão do bem]]+(VLOOKUP(Tabela3[[#This Row],[Categoria]],Cadastros!A:D,4,0)+365),"")</f>
        <v/>
      </c>
      <c r="O14" s="7" t="str">
        <f ca="1">IF(Tabela3[[#This Row],[Data da compra]]&gt;0,(TODAY()-Tabela3[[#This Row],[Data da compra]])/365,"")</f>
        <v/>
      </c>
      <c r="P14" s="7" t="str">
        <f>IFERROR(VLOOKUP(Tabela3[[#This Row],[Categoria]],Cadastros!A:C,3,0),"")</f>
        <v/>
      </c>
      <c r="Q14" s="9" t="str">
        <f ca="1">IFERROR(Tabela3[[#This Row],[Vida útil]]-Tabela3[[#This Row],[Idade]],"")</f>
        <v/>
      </c>
      <c r="R14" s="8" t="str">
        <f ca="1">IFERROR(Tabela3[[#This Row],[Valor]]-(Tabela3[[#This Row],[Valor]]*(Tabela3[[#This Row],[Idade]]*VLOOKUP(Tabela3[[#This Row],[Categoria]],Cadastros!A:B,2,0))),"")</f>
        <v/>
      </c>
    </row>
    <row r="15" spans="1:19" x14ac:dyDescent="0.25">
      <c r="D15" s="5"/>
      <c r="N15" s="6" t="str">
        <f>IFERROR(Tabela3[[#This Row],[Última revisão do bem]]+(VLOOKUP(Tabela3[[#This Row],[Categoria]],Cadastros!A:D,4,0)+365),"")</f>
        <v/>
      </c>
      <c r="O15" s="7" t="str">
        <f ca="1">IF(Tabela3[[#This Row],[Data da compra]]&gt;0,(TODAY()-Tabela3[[#This Row],[Data da compra]])/365,"")</f>
        <v/>
      </c>
      <c r="P15" s="7" t="str">
        <f>IFERROR(VLOOKUP(Tabela3[[#This Row],[Categoria]],Cadastros!A:C,3,0),"")</f>
        <v/>
      </c>
      <c r="Q15" s="9" t="str">
        <f ca="1">IFERROR(Tabela3[[#This Row],[Vida útil]]-Tabela3[[#This Row],[Idade]],"")</f>
        <v/>
      </c>
      <c r="R15" s="8" t="str">
        <f ca="1">IFERROR(Tabela3[[#This Row],[Valor]]-(Tabela3[[#This Row],[Valor]]*(Tabela3[[#This Row],[Idade]]*VLOOKUP(Tabela3[[#This Row],[Categoria]],Cadastros!A:B,2,0))),"")</f>
        <v/>
      </c>
    </row>
    <row r="16" spans="1:19" x14ac:dyDescent="0.25">
      <c r="D16" s="5"/>
      <c r="N16" s="6" t="str">
        <f>IFERROR(Tabela3[[#This Row],[Última revisão do bem]]+(VLOOKUP(Tabela3[[#This Row],[Categoria]],Cadastros!A:D,4,0)+365),"")</f>
        <v/>
      </c>
      <c r="O16" s="7" t="str">
        <f ca="1">IF(Tabela3[[#This Row],[Data da compra]]&gt;0,(TODAY()-Tabela3[[#This Row],[Data da compra]])/365,"")</f>
        <v/>
      </c>
      <c r="P16" s="7" t="str">
        <f>IFERROR(VLOOKUP(Tabela3[[#This Row],[Categoria]],Cadastros!A:C,3,0),"")</f>
        <v/>
      </c>
      <c r="Q16" s="9" t="str">
        <f ca="1">IFERROR(Tabela3[[#This Row],[Vida útil]]-Tabela3[[#This Row],[Idade]],"")</f>
        <v/>
      </c>
      <c r="R16" s="8" t="str">
        <f ca="1">IFERROR(Tabela3[[#This Row],[Valor]]-(Tabela3[[#This Row],[Valor]]*(Tabela3[[#This Row],[Idade]]*VLOOKUP(Tabela3[[#This Row],[Categoria]],Cadastros!A:B,2,0))),"")</f>
        <v/>
      </c>
    </row>
    <row r="17" spans="4:18" x14ac:dyDescent="0.25">
      <c r="D17" s="5"/>
      <c r="N17" s="6" t="str">
        <f>IFERROR(Tabela3[[#This Row],[Última revisão do bem]]+(VLOOKUP(Tabela3[[#This Row],[Categoria]],Cadastros!A:D,4,0)+365),"")</f>
        <v/>
      </c>
      <c r="O17" s="7" t="str">
        <f ca="1">IF(Tabela3[[#This Row],[Data da compra]]&gt;0,(TODAY()-Tabela3[[#This Row],[Data da compra]])/365,"")</f>
        <v/>
      </c>
      <c r="P17" s="7" t="str">
        <f>IFERROR(VLOOKUP(Tabela3[[#This Row],[Categoria]],Cadastros!A:C,3,0),"")</f>
        <v/>
      </c>
      <c r="Q17" s="9" t="str">
        <f ca="1">IFERROR(Tabela3[[#This Row],[Vida útil]]-Tabela3[[#This Row],[Idade]],"")</f>
        <v/>
      </c>
      <c r="R17" s="8" t="str">
        <f ca="1">IFERROR(Tabela3[[#This Row],[Valor]]-(Tabela3[[#This Row],[Valor]]*(Tabela3[[#This Row],[Idade]]*VLOOKUP(Tabela3[[#This Row],[Categoria]],Cadastros!A:B,2,0))),"")</f>
        <v/>
      </c>
    </row>
    <row r="18" spans="4:18" x14ac:dyDescent="0.25">
      <c r="D18" s="5"/>
      <c r="N18" s="6" t="str">
        <f>IFERROR(Tabela3[[#This Row],[Última revisão do bem]]+(VLOOKUP(Tabela3[[#This Row],[Categoria]],Cadastros!A:D,4,0)+365),"")</f>
        <v/>
      </c>
      <c r="O18" s="7" t="str">
        <f ca="1">IF(Tabela3[[#This Row],[Data da compra]]&gt;0,(TODAY()-Tabela3[[#This Row],[Data da compra]])/365,"")</f>
        <v/>
      </c>
      <c r="P18" s="7" t="str">
        <f>IFERROR(VLOOKUP(Tabela3[[#This Row],[Categoria]],Cadastros!A:C,3,0),"")</f>
        <v/>
      </c>
      <c r="Q18" s="9" t="str">
        <f ca="1">IFERROR(Tabela3[[#This Row],[Vida útil]]-Tabela3[[#This Row],[Idade]],"")</f>
        <v/>
      </c>
      <c r="R18" s="8" t="str">
        <f ca="1">IFERROR(Tabela3[[#This Row],[Valor]]-(Tabela3[[#This Row],[Valor]]*(Tabela3[[#This Row],[Idade]]*VLOOKUP(Tabela3[[#This Row],[Categoria]],Cadastros!A:B,2,0))),"")</f>
        <v/>
      </c>
    </row>
    <row r="19" spans="4:18" x14ac:dyDescent="0.25">
      <c r="D19" s="5"/>
      <c r="N19" s="6" t="str">
        <f>IFERROR(Tabela3[[#This Row],[Última revisão do bem]]+(VLOOKUP(Tabela3[[#This Row],[Categoria]],Cadastros!A:D,4,0)+365),"")</f>
        <v/>
      </c>
      <c r="O19" s="7" t="str">
        <f ca="1">IF(Tabela3[[#This Row],[Data da compra]]&gt;0,(TODAY()-Tabela3[[#This Row],[Data da compra]])/365,"")</f>
        <v/>
      </c>
      <c r="P19" s="7" t="str">
        <f>IFERROR(VLOOKUP(Tabela3[[#This Row],[Categoria]],Cadastros!A:C,3,0),"")</f>
        <v/>
      </c>
      <c r="Q19" s="9" t="str">
        <f ca="1">IFERROR(Tabela3[[#This Row],[Vida útil]]-Tabela3[[#This Row],[Idade]],"")</f>
        <v/>
      </c>
      <c r="R19" s="8" t="str">
        <f ca="1">IFERROR(Tabela3[[#This Row],[Valor]]-(Tabela3[[#This Row],[Valor]]*(Tabela3[[#This Row],[Idade]]*VLOOKUP(Tabela3[[#This Row],[Categoria]],Cadastros!A:B,2,0))),"")</f>
        <v/>
      </c>
    </row>
    <row r="20" spans="4:18" x14ac:dyDescent="0.25">
      <c r="D20" s="5"/>
      <c r="L20" t="s">
        <v>47</v>
      </c>
      <c r="N20" s="6" t="str">
        <f>IFERROR(Tabela3[[#This Row],[Última revisão do bem]]+(VLOOKUP(Tabela3[[#This Row],[Categoria]],Cadastros!A:D,4,0)+365),"")</f>
        <v/>
      </c>
      <c r="O20" s="7" t="str">
        <f ca="1">IF(Tabela3[[#This Row],[Data da compra]]&gt;0,(TODAY()-Tabela3[[#This Row],[Data da compra]])/365,"")</f>
        <v/>
      </c>
      <c r="P20" s="7" t="str">
        <f>IFERROR(VLOOKUP(Tabela3[[#This Row],[Categoria]],Cadastros!A:C,3,0),"")</f>
        <v/>
      </c>
      <c r="Q20" s="9" t="str">
        <f ca="1">IFERROR(Tabela3[[#This Row],[Vida útil]]-Tabela3[[#This Row],[Idade]],"")</f>
        <v/>
      </c>
      <c r="R20" s="8" t="str">
        <f ca="1">IFERROR(Tabela3[[#This Row],[Valor]]-(Tabela3[[#This Row],[Valor]]*(Tabela3[[#This Row],[Idade]]*VLOOKUP(Tabela3[[#This Row],[Categoria]],Cadastros!A:B,2,0))),"")</f>
        <v/>
      </c>
    </row>
    <row r="21" spans="4:18" x14ac:dyDescent="0.25">
      <c r="D21" s="5"/>
      <c r="N21" s="6" t="str">
        <f>IFERROR(Tabela3[[#This Row],[Última revisão do bem]]+(VLOOKUP(Tabela3[[#This Row],[Categoria]],Cadastros!A:D,4,0)+365),"")</f>
        <v/>
      </c>
      <c r="O21" s="7" t="str">
        <f ca="1">IF(Tabela3[[#This Row],[Data da compra]]&gt;0,(TODAY()-Tabela3[[#This Row],[Data da compra]])/365,"")</f>
        <v/>
      </c>
      <c r="P21" s="7" t="str">
        <f>IFERROR(VLOOKUP(Tabela3[[#This Row],[Categoria]],Cadastros!A:C,3,0),"")</f>
        <v/>
      </c>
      <c r="Q21" s="9" t="str">
        <f ca="1">IFERROR(Tabela3[[#This Row],[Vida útil]]-Tabela3[[#This Row],[Idade]],"")</f>
        <v/>
      </c>
      <c r="R21" s="8" t="str">
        <f ca="1">IFERROR(Tabela3[[#This Row],[Valor]]-(Tabela3[[#This Row],[Valor]]*(Tabela3[[#This Row],[Idade]]*VLOOKUP(Tabela3[[#This Row],[Categoria]],Cadastros!A:B,2,0))),"")</f>
        <v/>
      </c>
    </row>
    <row r="22" spans="4:18" x14ac:dyDescent="0.25">
      <c r="D22" s="5"/>
      <c r="N22" s="6" t="str">
        <f>IFERROR(Tabela3[[#This Row],[Última revisão do bem]]+(VLOOKUP(Tabela3[[#This Row],[Categoria]],Cadastros!A:D,4,0)+365),"")</f>
        <v/>
      </c>
      <c r="O22" s="7" t="str">
        <f ca="1">IF(Tabela3[[#This Row],[Data da compra]]&gt;0,(TODAY()-Tabela3[[#This Row],[Data da compra]])/365,"")</f>
        <v/>
      </c>
      <c r="P22" s="7" t="str">
        <f>IFERROR(VLOOKUP(Tabela3[[#This Row],[Categoria]],Cadastros!A:C,3,0),"")</f>
        <v/>
      </c>
      <c r="Q22" s="9" t="str">
        <f ca="1">IFERROR(Tabela3[[#This Row],[Vida útil]]-Tabela3[[#This Row],[Idade]],"")</f>
        <v/>
      </c>
      <c r="R22" s="8" t="str">
        <f ca="1">IFERROR(Tabela3[[#This Row],[Valor]]-(Tabela3[[#This Row],[Valor]]*(Tabela3[[#This Row],[Idade]]*VLOOKUP(Tabela3[[#This Row],[Categoria]],Cadastros!A:B,2,0))),"")</f>
        <v/>
      </c>
    </row>
    <row r="23" spans="4:18" x14ac:dyDescent="0.25">
      <c r="D23" s="5"/>
      <c r="N23" s="6" t="str">
        <f>IFERROR(Tabela3[[#This Row],[Última revisão do bem]]+(VLOOKUP(Tabela3[[#This Row],[Categoria]],Cadastros!A:D,4,0)+365),"")</f>
        <v/>
      </c>
      <c r="O23" s="7" t="str">
        <f ca="1">IF(Tabela3[[#This Row],[Data da compra]]&gt;0,(TODAY()-Tabela3[[#This Row],[Data da compra]])/365,"")</f>
        <v/>
      </c>
      <c r="P23" s="7" t="str">
        <f>IFERROR(VLOOKUP(Tabela3[[#This Row],[Categoria]],Cadastros!A:C,3,0),"")</f>
        <v/>
      </c>
      <c r="Q23" s="9" t="str">
        <f ca="1">IFERROR(Tabela3[[#This Row],[Vida útil]]-Tabela3[[#This Row],[Idade]],"")</f>
        <v/>
      </c>
      <c r="R23" s="8" t="str">
        <f ca="1">IFERROR(Tabela3[[#This Row],[Valor]]-(Tabela3[[#This Row],[Valor]]*(Tabela3[[#This Row],[Idade]]*VLOOKUP(Tabela3[[#This Row],[Categoria]],Cadastros!A:B,2,0))),"")</f>
        <v/>
      </c>
    </row>
    <row r="24" spans="4:18" x14ac:dyDescent="0.25">
      <c r="D24" s="5"/>
      <c r="N24" s="6" t="str">
        <f>IFERROR(Tabela3[[#This Row],[Última revisão do bem]]+(VLOOKUP(Tabela3[[#This Row],[Categoria]],Cadastros!A:D,4,0)+365),"")</f>
        <v/>
      </c>
      <c r="O24" s="7" t="str">
        <f ca="1">IF(Tabela3[[#This Row],[Data da compra]]&gt;0,(TODAY()-Tabela3[[#This Row],[Data da compra]])/365,"")</f>
        <v/>
      </c>
      <c r="P24" s="7" t="str">
        <f>IFERROR(VLOOKUP(Tabela3[[#This Row],[Categoria]],Cadastros!A:C,3,0),"")</f>
        <v/>
      </c>
      <c r="Q24" s="9" t="str">
        <f ca="1">IFERROR(Tabela3[[#This Row],[Vida útil]]-Tabela3[[#This Row],[Idade]],"")</f>
        <v/>
      </c>
      <c r="R24" s="8" t="str">
        <f ca="1">IFERROR(Tabela3[[#This Row],[Valor]]-(Tabela3[[#This Row],[Valor]]*(Tabela3[[#This Row],[Idade]]*VLOOKUP(Tabela3[[#This Row],[Categoria]],Cadastros!A:B,2,0))),"")</f>
        <v/>
      </c>
    </row>
    <row r="25" spans="4:18" x14ac:dyDescent="0.25">
      <c r="D25" s="5"/>
      <c r="N25" s="6" t="str">
        <f>IFERROR(Tabela3[[#This Row],[Última revisão do bem]]+(VLOOKUP(Tabela3[[#This Row],[Categoria]],Cadastros!A:D,4,0)+365),"")</f>
        <v/>
      </c>
      <c r="O25" s="7" t="str">
        <f ca="1">IF(Tabela3[[#This Row],[Data da compra]]&gt;0,(TODAY()-Tabela3[[#This Row],[Data da compra]])/365,"")</f>
        <v/>
      </c>
      <c r="P25" s="7" t="str">
        <f>IFERROR(VLOOKUP(Tabela3[[#This Row],[Categoria]],Cadastros!A:C,3,0),"")</f>
        <v/>
      </c>
      <c r="Q25" s="9" t="str">
        <f ca="1">IFERROR(Tabela3[[#This Row],[Vida útil]]-Tabela3[[#This Row],[Idade]],"")</f>
        <v/>
      </c>
      <c r="R25" s="8" t="str">
        <f ca="1">IFERROR(Tabela3[[#This Row],[Valor]]-(Tabela3[[#This Row],[Valor]]*(Tabela3[[#This Row],[Idade]]*VLOOKUP(Tabela3[[#This Row],[Categoria]],Cadastros!A:B,2,0))),"")</f>
        <v/>
      </c>
    </row>
    <row r="26" spans="4:18" x14ac:dyDescent="0.25">
      <c r="D26" s="5"/>
      <c r="N26" s="6" t="str">
        <f>IFERROR(Tabela3[[#This Row],[Última revisão do bem]]+(VLOOKUP(Tabela3[[#This Row],[Categoria]],Cadastros!A:D,4,0)+365),"")</f>
        <v/>
      </c>
      <c r="O26" s="7" t="str">
        <f ca="1">IF(Tabela3[[#This Row],[Data da compra]]&gt;0,(TODAY()-Tabela3[[#This Row],[Data da compra]])/365,"")</f>
        <v/>
      </c>
      <c r="P26" s="7" t="str">
        <f>IFERROR(VLOOKUP(Tabela3[[#This Row],[Categoria]],Cadastros!A:C,3,0),"")</f>
        <v/>
      </c>
      <c r="Q26" s="9" t="str">
        <f ca="1">IFERROR(Tabela3[[#This Row],[Vida útil]]-Tabela3[[#This Row],[Idade]],"")</f>
        <v/>
      </c>
      <c r="R26" s="8" t="str">
        <f ca="1">IFERROR(Tabela3[[#This Row],[Valor]]-(Tabela3[[#This Row],[Valor]]*(Tabela3[[#This Row],[Idade]]*VLOOKUP(Tabela3[[#This Row],[Categoria]],Cadastros!A:B,2,0))),"")</f>
        <v/>
      </c>
    </row>
    <row r="27" spans="4:18" x14ac:dyDescent="0.25">
      <c r="D27" s="5"/>
      <c r="L27" t="s">
        <v>55</v>
      </c>
      <c r="N27" s="6" t="str">
        <f>IFERROR(Tabela3[[#This Row],[Última revisão do bem]]+(VLOOKUP(Tabela3[[#This Row],[Categoria]],Cadastros!A:D,4,0)+365),"")</f>
        <v/>
      </c>
      <c r="O27" s="7" t="str">
        <f ca="1">IF(Tabela3[[#This Row],[Data da compra]]&gt;0,(TODAY()-Tabela3[[#This Row],[Data da compra]])/365,"")</f>
        <v/>
      </c>
      <c r="P27" s="7" t="str">
        <f>IFERROR(VLOOKUP(Tabela3[[#This Row],[Categoria]],Cadastros!A:C,3,0),"")</f>
        <v/>
      </c>
      <c r="Q27" s="9" t="str">
        <f ca="1">IFERROR(Tabela3[[#This Row],[Vida útil]]-Tabela3[[#This Row],[Idade]],"")</f>
        <v/>
      </c>
      <c r="R27" s="8" t="str">
        <f ca="1">IFERROR(Tabela3[[#This Row],[Valor]]-(Tabela3[[#This Row],[Valor]]*(Tabela3[[#This Row],[Idade]]*VLOOKUP(Tabela3[[#This Row],[Categoria]],Cadastros!A:B,2,0))),"")</f>
        <v/>
      </c>
    </row>
    <row r="28" spans="4:18" x14ac:dyDescent="0.25">
      <c r="D28" s="5"/>
      <c r="N28" s="6" t="str">
        <f>IFERROR(Tabela3[[#This Row],[Última revisão do bem]]+(VLOOKUP(Tabela3[[#This Row],[Categoria]],Cadastros!A:D,4,0)+365),"")</f>
        <v/>
      </c>
      <c r="O28" s="7" t="str">
        <f ca="1">IF(Tabela3[[#This Row],[Data da compra]]&gt;0,(TODAY()-Tabela3[[#This Row],[Data da compra]])/365,"")</f>
        <v/>
      </c>
      <c r="P28" s="7" t="str">
        <f>IFERROR(VLOOKUP(Tabela3[[#This Row],[Categoria]],Cadastros!A:C,3,0),"")</f>
        <v/>
      </c>
      <c r="Q28" s="9" t="str">
        <f ca="1">IFERROR(Tabela3[[#This Row],[Vida útil]]-Tabela3[[#This Row],[Idade]],"")</f>
        <v/>
      </c>
      <c r="R28" s="8" t="str">
        <f ca="1">IFERROR(Tabela3[[#This Row],[Valor]]-(Tabela3[[#This Row],[Valor]]*(Tabela3[[#This Row],[Idade]]*VLOOKUP(Tabela3[[#This Row],[Categoria]],Cadastros!A:B,2,0))),"")</f>
        <v/>
      </c>
    </row>
    <row r="29" spans="4:18" x14ac:dyDescent="0.25">
      <c r="D29" s="5"/>
      <c r="N29" s="6" t="str">
        <f>IFERROR(Tabela3[[#This Row],[Última revisão do bem]]+(VLOOKUP(Tabela3[[#This Row],[Categoria]],Cadastros!A:D,4,0)+365),"")</f>
        <v/>
      </c>
      <c r="O29" s="7" t="str">
        <f ca="1">IF(Tabela3[[#This Row],[Data da compra]]&gt;0,(TODAY()-Tabela3[[#This Row],[Data da compra]])/365,"")</f>
        <v/>
      </c>
      <c r="P29" s="7" t="str">
        <f>IFERROR(VLOOKUP(Tabela3[[#This Row],[Categoria]],Cadastros!A:C,3,0),"")</f>
        <v/>
      </c>
      <c r="Q29" s="9" t="str">
        <f ca="1">IFERROR(Tabela3[[#This Row],[Vida útil]]-Tabela3[[#This Row],[Idade]],"")</f>
        <v/>
      </c>
      <c r="R29" s="8" t="str">
        <f ca="1">IFERROR(Tabela3[[#This Row],[Valor]]-(Tabela3[[#This Row],[Valor]]*(Tabela3[[#This Row],[Idade]]*VLOOKUP(Tabela3[[#This Row],[Categoria]],Cadastros!A:B,2,0))),"")</f>
        <v/>
      </c>
    </row>
    <row r="30" spans="4:18" x14ac:dyDescent="0.25">
      <c r="D30" s="5"/>
      <c r="N30" s="6" t="str">
        <f>IFERROR(Tabela3[[#This Row],[Última revisão do bem]]+(VLOOKUP(Tabela3[[#This Row],[Categoria]],Cadastros!A:D,4,0)+365),"")</f>
        <v/>
      </c>
      <c r="O30" s="7" t="str">
        <f ca="1">IF(Tabela3[[#This Row],[Data da compra]]&gt;0,(TODAY()-Tabela3[[#This Row],[Data da compra]])/365,"")</f>
        <v/>
      </c>
      <c r="P30" s="7" t="str">
        <f>IFERROR(VLOOKUP(Tabela3[[#This Row],[Categoria]],Cadastros!A:C,3,0),"")</f>
        <v/>
      </c>
      <c r="Q30" s="9" t="str">
        <f ca="1">IFERROR(Tabela3[[#This Row],[Vida útil]]-Tabela3[[#This Row],[Idade]],"")</f>
        <v/>
      </c>
      <c r="R30" s="8" t="str">
        <f ca="1">IFERROR(Tabela3[[#This Row],[Valor]]-(Tabela3[[#This Row],[Valor]]*(Tabela3[[#This Row],[Idade]]*VLOOKUP(Tabela3[[#This Row],[Categoria]],Cadastros!A:B,2,0))),"")</f>
        <v/>
      </c>
    </row>
    <row r="31" spans="4:18" x14ac:dyDescent="0.25">
      <c r="D31" s="5"/>
      <c r="N31" s="6" t="str">
        <f>IFERROR(Tabela3[[#This Row],[Última revisão do bem]]+(VLOOKUP(Tabela3[[#This Row],[Categoria]],Cadastros!A:D,4,0)+365),"")</f>
        <v/>
      </c>
      <c r="O31" s="7" t="str">
        <f ca="1">IF(Tabela3[[#This Row],[Data da compra]]&gt;0,(TODAY()-Tabela3[[#This Row],[Data da compra]])/365,"")</f>
        <v/>
      </c>
      <c r="P31" s="7" t="str">
        <f>IFERROR(VLOOKUP(Tabela3[[#This Row],[Categoria]],Cadastros!A:C,3,0),"")</f>
        <v/>
      </c>
      <c r="Q31" s="9" t="str">
        <f ca="1">IFERROR(Tabela3[[#This Row],[Vida útil]]-Tabela3[[#This Row],[Idade]],"")</f>
        <v/>
      </c>
      <c r="R31" s="8" t="str">
        <f ca="1">IFERROR(Tabela3[[#This Row],[Valor]]-(Tabela3[[#This Row],[Valor]]*(Tabela3[[#This Row],[Idade]]*VLOOKUP(Tabela3[[#This Row],[Categoria]],Cadastros!A:B,2,0))),"")</f>
        <v/>
      </c>
    </row>
    <row r="32" spans="4:18" x14ac:dyDescent="0.25">
      <c r="D32" s="5"/>
      <c r="N32" s="6" t="str">
        <f>IFERROR(Tabela3[[#This Row],[Última revisão do bem]]+(VLOOKUP(Tabela3[[#This Row],[Categoria]],Cadastros!A:D,4,0)+365),"")</f>
        <v/>
      </c>
      <c r="O32" s="7" t="str">
        <f ca="1">IF(Tabela3[[#This Row],[Data da compra]]&gt;0,(TODAY()-Tabela3[[#This Row],[Data da compra]])/365,"")</f>
        <v/>
      </c>
      <c r="P32" s="7" t="str">
        <f>IFERROR(VLOOKUP(Tabela3[[#This Row],[Categoria]],Cadastros!A:C,3,0),"")</f>
        <v/>
      </c>
      <c r="Q32" s="9" t="str">
        <f ca="1">IFERROR(Tabela3[[#This Row],[Vida útil]]-Tabela3[[#This Row],[Idade]],"")</f>
        <v/>
      </c>
      <c r="R32" s="8" t="str">
        <f ca="1">IFERROR(Tabela3[[#This Row],[Valor]]-(Tabela3[[#This Row],[Valor]]*(Tabela3[[#This Row],[Idade]]*VLOOKUP(Tabela3[[#This Row],[Categoria]],Cadastros!A:B,2,0))),"")</f>
        <v/>
      </c>
    </row>
    <row r="33" spans="4:18" x14ac:dyDescent="0.25">
      <c r="D33" s="5"/>
      <c r="N33" s="6" t="str">
        <f>IFERROR(Tabela3[[#This Row],[Última revisão do bem]]+(VLOOKUP(Tabela3[[#This Row],[Categoria]],Cadastros!A:D,4,0)+365),"")</f>
        <v/>
      </c>
      <c r="O33" s="7" t="str">
        <f ca="1">IF(Tabela3[[#This Row],[Data da compra]]&gt;0,(TODAY()-Tabela3[[#This Row],[Data da compra]])/365,"")</f>
        <v/>
      </c>
      <c r="P33" s="7" t="str">
        <f>IFERROR(VLOOKUP(Tabela3[[#This Row],[Categoria]],Cadastros!A:C,3,0),"")</f>
        <v/>
      </c>
      <c r="Q33" s="9" t="str">
        <f ca="1">IFERROR(Tabela3[[#This Row],[Vida útil]]-Tabela3[[#This Row],[Idade]],"")</f>
        <v/>
      </c>
      <c r="R33" s="8" t="str">
        <f ca="1">IFERROR(Tabela3[[#This Row],[Valor]]-(Tabela3[[#This Row],[Valor]]*(Tabela3[[#This Row],[Idade]]*VLOOKUP(Tabela3[[#This Row],[Categoria]],Cadastros!A:B,2,0))),"")</f>
        <v/>
      </c>
    </row>
    <row r="34" spans="4:18" x14ac:dyDescent="0.25">
      <c r="D34" s="5"/>
      <c r="L34" t="s">
        <v>60</v>
      </c>
      <c r="N34" s="6" t="str">
        <f>IFERROR(Tabela3[[#This Row],[Última revisão do bem]]+(VLOOKUP(Tabela3[[#This Row],[Categoria]],Cadastros!A:D,4,0)+365),"")</f>
        <v/>
      </c>
      <c r="O34" s="7" t="str">
        <f ca="1">IF(Tabela3[[#This Row],[Data da compra]]&gt;0,(TODAY()-Tabela3[[#This Row],[Data da compra]])/365,"")</f>
        <v/>
      </c>
      <c r="P34" s="7" t="str">
        <f>IFERROR(VLOOKUP(Tabela3[[#This Row],[Categoria]],Cadastros!A:C,3,0),"")</f>
        <v/>
      </c>
      <c r="Q34" s="9" t="str">
        <f ca="1">IFERROR(Tabela3[[#This Row],[Vida útil]]-Tabela3[[#This Row],[Idade]],"")</f>
        <v/>
      </c>
      <c r="R34" s="8" t="str">
        <f ca="1">IFERROR(Tabela3[[#This Row],[Valor]]-(Tabela3[[#This Row],[Valor]]*(Tabela3[[#This Row],[Idade]]*VLOOKUP(Tabela3[[#This Row],[Categoria]],Cadastros!A:B,2,0))),"")</f>
        <v/>
      </c>
    </row>
    <row r="35" spans="4:18" x14ac:dyDescent="0.25">
      <c r="D35" s="5"/>
      <c r="N35" s="6" t="str">
        <f>IFERROR(Tabela3[[#This Row],[Última revisão do bem]]+(VLOOKUP(Tabela3[[#This Row],[Categoria]],Cadastros!A:D,4,0)+365),"")</f>
        <v/>
      </c>
      <c r="O35" s="7" t="str">
        <f ca="1">IF(Tabela3[[#This Row],[Data da compra]]&gt;0,(TODAY()-Tabela3[[#This Row],[Data da compra]])/365,"")</f>
        <v/>
      </c>
      <c r="P35" s="7" t="str">
        <f>IFERROR(VLOOKUP(Tabela3[[#This Row],[Categoria]],Cadastros!A:C,3,0),"")</f>
        <v/>
      </c>
      <c r="Q35" s="9" t="str">
        <f ca="1">IFERROR(Tabela3[[#This Row],[Vida útil]]-Tabela3[[#This Row],[Idade]],"")</f>
        <v/>
      </c>
      <c r="R35" s="8" t="str">
        <f ca="1">IFERROR(Tabela3[[#This Row],[Valor]]-(Tabela3[[#This Row],[Valor]]*(Tabela3[[#This Row],[Idade]]*VLOOKUP(Tabela3[[#This Row],[Categoria]],Cadastros!A:B,2,0))),"")</f>
        <v/>
      </c>
    </row>
    <row r="36" spans="4:18" x14ac:dyDescent="0.25">
      <c r="D36" s="5"/>
      <c r="N36" s="6" t="str">
        <f>IFERROR(Tabela3[[#This Row],[Última revisão do bem]]+(VLOOKUP(Tabela3[[#This Row],[Categoria]],Cadastros!A:D,4,0)+365),"")</f>
        <v/>
      </c>
      <c r="O36" s="7" t="str">
        <f ca="1">IF(Tabela3[[#This Row],[Data da compra]]&gt;0,(TODAY()-Tabela3[[#This Row],[Data da compra]])/365,"")</f>
        <v/>
      </c>
      <c r="P36" s="7" t="str">
        <f>IFERROR(VLOOKUP(Tabela3[[#This Row],[Categoria]],Cadastros!A:C,3,0),"")</f>
        <v/>
      </c>
      <c r="Q36" s="9" t="str">
        <f ca="1">IFERROR(Tabela3[[#This Row],[Vida útil]]-Tabela3[[#This Row],[Idade]],"")</f>
        <v/>
      </c>
      <c r="R36" s="8" t="str">
        <f ca="1">IFERROR(Tabela3[[#This Row],[Valor]]-(Tabela3[[#This Row],[Valor]]*(Tabela3[[#This Row],[Idade]]*VLOOKUP(Tabela3[[#This Row],[Categoria]],Cadastros!A:B,2,0))),"")</f>
        <v/>
      </c>
    </row>
    <row r="37" spans="4:18" x14ac:dyDescent="0.25">
      <c r="D37" s="5"/>
      <c r="N37" s="6" t="str">
        <f>IFERROR(Tabela3[[#This Row],[Última revisão do bem]]+(VLOOKUP(Tabela3[[#This Row],[Categoria]],Cadastros!A:D,4,0)+365),"")</f>
        <v/>
      </c>
      <c r="O37" s="7" t="str">
        <f ca="1">IF(Tabela3[[#This Row],[Data da compra]]&gt;0,(TODAY()-Tabela3[[#This Row],[Data da compra]])/365,"")</f>
        <v/>
      </c>
      <c r="P37" s="7" t="str">
        <f>IFERROR(VLOOKUP(Tabela3[[#This Row],[Categoria]],Cadastros!A:C,3,0),"")</f>
        <v/>
      </c>
      <c r="Q37" s="9" t="str">
        <f ca="1">IFERROR(Tabela3[[#This Row],[Vida útil]]-Tabela3[[#This Row],[Idade]],"")</f>
        <v/>
      </c>
      <c r="R37" s="8" t="str">
        <f ca="1">IFERROR(Tabela3[[#This Row],[Valor]]-(Tabela3[[#This Row],[Valor]]*(Tabela3[[#This Row],[Idade]]*VLOOKUP(Tabela3[[#This Row],[Categoria]],Cadastros!A:B,2,0))),"")</f>
        <v/>
      </c>
    </row>
    <row r="38" spans="4:18" x14ac:dyDescent="0.25">
      <c r="D38" s="5"/>
      <c r="N38" s="6" t="str">
        <f>IFERROR(Tabela3[[#This Row],[Última revisão do bem]]+(VLOOKUP(Tabela3[[#This Row],[Categoria]],Cadastros!A:D,4,0)+365),"")</f>
        <v/>
      </c>
      <c r="O38" s="7" t="str">
        <f ca="1">IF(Tabela3[[#This Row],[Data da compra]]&gt;0,(TODAY()-Tabela3[[#This Row],[Data da compra]])/365,"")</f>
        <v/>
      </c>
      <c r="P38" s="7" t="str">
        <f>IFERROR(VLOOKUP(Tabela3[[#This Row],[Categoria]],Cadastros!A:C,3,0),"")</f>
        <v/>
      </c>
      <c r="Q38" s="9" t="str">
        <f ca="1">IFERROR(Tabela3[[#This Row],[Vida útil]]-Tabela3[[#This Row],[Idade]],"")</f>
        <v/>
      </c>
      <c r="R38" s="8" t="str">
        <f ca="1">IFERROR(Tabela3[[#This Row],[Valor]]-(Tabela3[[#This Row],[Valor]]*(Tabela3[[#This Row],[Idade]]*VLOOKUP(Tabela3[[#This Row],[Categoria]],Cadastros!A:B,2,0))),"")</f>
        <v/>
      </c>
    </row>
    <row r="39" spans="4:18" x14ac:dyDescent="0.25">
      <c r="D39" s="5"/>
      <c r="N39" s="6" t="str">
        <f>IFERROR(Tabela3[[#This Row],[Última revisão do bem]]+(VLOOKUP(Tabela3[[#This Row],[Categoria]],Cadastros!A:D,4,0)+365),"")</f>
        <v/>
      </c>
      <c r="O39" s="7" t="str">
        <f ca="1">IF(Tabela3[[#This Row],[Data da compra]]&gt;0,(TODAY()-Tabela3[[#This Row],[Data da compra]])/365,"")</f>
        <v/>
      </c>
      <c r="P39" s="7" t="str">
        <f>IFERROR(VLOOKUP(Tabela3[[#This Row],[Categoria]],Cadastros!A:C,3,0),"")</f>
        <v/>
      </c>
      <c r="Q39" s="9" t="str">
        <f ca="1">IFERROR(Tabela3[[#This Row],[Vida útil]]-Tabela3[[#This Row],[Idade]],"")</f>
        <v/>
      </c>
      <c r="R39" s="8" t="str">
        <f ca="1">IFERROR(Tabela3[[#This Row],[Valor]]-(Tabela3[[#This Row],[Valor]]*(Tabela3[[#This Row],[Idade]]*VLOOKUP(Tabela3[[#This Row],[Categoria]],Cadastros!A:B,2,0))),"")</f>
        <v/>
      </c>
    </row>
    <row r="40" spans="4:18" x14ac:dyDescent="0.25">
      <c r="D40" s="5"/>
      <c r="N40" s="6" t="str">
        <f>IFERROR(Tabela3[[#This Row],[Última revisão do bem]]+(VLOOKUP(Tabela3[[#This Row],[Categoria]],Cadastros!A:D,4,0)+365),"")</f>
        <v/>
      </c>
      <c r="O40" s="7" t="str">
        <f ca="1">IF(Tabela3[[#This Row],[Data da compra]]&gt;0,(TODAY()-Tabela3[[#This Row],[Data da compra]])/365,"")</f>
        <v/>
      </c>
      <c r="P40" s="7" t="str">
        <f>IFERROR(VLOOKUP(Tabela3[[#This Row],[Categoria]],Cadastros!A:C,3,0),"")</f>
        <v/>
      </c>
      <c r="Q40" s="9" t="str">
        <f ca="1">IFERROR(Tabela3[[#This Row],[Vida útil]]-Tabela3[[#This Row],[Idade]],"")</f>
        <v/>
      </c>
      <c r="R40" s="8" t="str">
        <f ca="1">IFERROR(Tabela3[[#This Row],[Valor]]-(Tabela3[[#This Row],[Valor]]*(Tabela3[[#This Row],[Idade]]*VLOOKUP(Tabela3[[#This Row],[Categoria]],Cadastros!A:B,2,0))),"")</f>
        <v/>
      </c>
    </row>
    <row r="41" spans="4:18" x14ac:dyDescent="0.25">
      <c r="D41" s="5"/>
      <c r="N41" s="6" t="str">
        <f>IFERROR(Tabela3[[#This Row],[Última revisão do bem]]+(VLOOKUP(Tabela3[[#This Row],[Categoria]],Cadastros!A:D,4,0)+365),"")</f>
        <v/>
      </c>
      <c r="O41" s="7" t="str">
        <f ca="1">IF(Tabela3[[#This Row],[Data da compra]]&gt;0,(TODAY()-Tabela3[[#This Row],[Data da compra]])/365,"")</f>
        <v/>
      </c>
      <c r="P41" s="7" t="str">
        <f>IFERROR(VLOOKUP(Tabela3[[#This Row],[Categoria]],Cadastros!A:C,3,0),"")</f>
        <v/>
      </c>
      <c r="Q41" s="9" t="str">
        <f ca="1">IFERROR(Tabela3[[#This Row],[Vida útil]]-Tabela3[[#This Row],[Idade]],"")</f>
        <v/>
      </c>
      <c r="R41" s="8" t="str">
        <f ca="1">IFERROR(Tabela3[[#This Row],[Valor]]-(Tabela3[[#This Row],[Valor]]*(Tabela3[[#This Row],[Idade]]*VLOOKUP(Tabela3[[#This Row],[Categoria]],Cadastros!A:B,2,0))),"")</f>
        <v/>
      </c>
    </row>
    <row r="42" spans="4:18" x14ac:dyDescent="0.25">
      <c r="D42" s="22"/>
      <c r="N42" s="6" t="str">
        <f>IFERROR(Tabela3[[#This Row],[Última revisão do bem]]+(VLOOKUP(Tabela3[[#This Row],[Categoria]],Cadastros!A:D,4,0)+365),"")</f>
        <v/>
      </c>
      <c r="O42" s="7" t="str">
        <f ca="1">IF(Tabela3[[#This Row],[Data da compra]]&gt;0,(TODAY()-Tabela3[[#This Row],[Data da compra]])/365,"")</f>
        <v/>
      </c>
      <c r="P42" s="7" t="str">
        <f>IFERROR(VLOOKUP(Tabela3[[#This Row],[Categoria]],Cadastros!A:C,3,0),"")</f>
        <v/>
      </c>
      <c r="Q42" s="9" t="str">
        <f ca="1">IFERROR(Tabela3[[#This Row],[Vida útil]]-Tabela3[[#This Row],[Idade]],"")</f>
        <v/>
      </c>
      <c r="R42" s="23" t="str">
        <f ca="1">IFERROR(Tabela3[[#This Row],[Valor]]-(Tabela3[[#This Row],[Valor]]*(Tabela3[[#This Row],[Idade]]*VLOOKUP(Tabela3[[#This Row],[Categoria]],Cadastros!A:B,2,0))),"")</f>
        <v/>
      </c>
    </row>
    <row r="43" spans="4:18" x14ac:dyDescent="0.25">
      <c r="D43" s="5"/>
      <c r="N43" s="6" t="str">
        <f>IFERROR(Tabela3[[#This Row],[Última revisão do bem]]+(VLOOKUP(Tabela3[[#This Row],[Categoria]],Cadastros!A:D,4,0)+365),"")</f>
        <v/>
      </c>
      <c r="O43" s="7" t="str">
        <f ca="1">IF(Tabela3[[#This Row],[Data da compra]]&gt;0,(TODAY()-Tabela3[[#This Row],[Data da compra]])/365,"")</f>
        <v/>
      </c>
      <c r="P43" s="7" t="str">
        <f>IFERROR(VLOOKUP(Tabela3[[#This Row],[Categoria]],Cadastros!A:C,3,0),"")</f>
        <v/>
      </c>
      <c r="Q43" s="9" t="str">
        <f ca="1">IFERROR(Tabela3[[#This Row],[Vida útil]]-Tabela3[[#This Row],[Idade]],"")</f>
        <v/>
      </c>
      <c r="R43" s="8" t="str">
        <f ca="1">IFERROR(Tabela3[[#This Row],[Valor]]-(Tabela3[[#This Row],[Valor]]*(Tabela3[[#This Row],[Idade]]*VLOOKUP(Tabela3[[#This Row],[Categoria]],Cadastros!A:B,2,0))),"")</f>
        <v/>
      </c>
    </row>
    <row r="44" spans="4:18" x14ac:dyDescent="0.25">
      <c r="D44" s="5"/>
      <c r="N44" s="6" t="str">
        <f>IFERROR(Tabela3[[#This Row],[Última revisão do bem]]+(VLOOKUP(Tabela3[[#This Row],[Categoria]],Cadastros!A:D,4,0)+365),"")</f>
        <v/>
      </c>
      <c r="O44" s="7" t="str">
        <f ca="1">IF(Tabela3[[#This Row],[Data da compra]]&gt;0,(TODAY()-Tabela3[[#This Row],[Data da compra]])/365,"")</f>
        <v/>
      </c>
      <c r="P44" s="7" t="str">
        <f>IFERROR(VLOOKUP(Tabela3[[#This Row],[Categoria]],Cadastros!A:C,3,0),"")</f>
        <v/>
      </c>
      <c r="Q44" s="9" t="str">
        <f ca="1">IFERROR(Tabela3[[#This Row],[Vida útil]]-Tabela3[[#This Row],[Idade]],"")</f>
        <v/>
      </c>
      <c r="R44" s="8" t="str">
        <f ca="1">IFERROR(Tabela3[[#This Row],[Valor]]-(Tabela3[[#This Row],[Valor]]*(Tabela3[[#This Row],[Idade]]*VLOOKUP(Tabela3[[#This Row],[Categoria]],Cadastros!A:B,2,0))),"")</f>
        <v/>
      </c>
    </row>
    <row r="45" spans="4:18" x14ac:dyDescent="0.25">
      <c r="D45" s="5"/>
      <c r="N45" s="6" t="str">
        <f>IFERROR(Tabela3[[#This Row],[Última revisão do bem]]+(VLOOKUP(Tabela3[[#This Row],[Categoria]],Cadastros!A:D,4,0)+365),"")</f>
        <v/>
      </c>
      <c r="O45" s="7" t="str">
        <f ca="1">IF(Tabela3[[#This Row],[Data da compra]]&gt;0,(TODAY()-Tabela3[[#This Row],[Data da compra]])/365,"")</f>
        <v/>
      </c>
      <c r="P45" s="7" t="str">
        <f>IFERROR(VLOOKUP(Tabela3[[#This Row],[Categoria]],Cadastros!A:C,3,0),"")</f>
        <v/>
      </c>
      <c r="Q45" s="9" t="str">
        <f ca="1">IFERROR(Tabela3[[#This Row],[Vida útil]]-Tabela3[[#This Row],[Idade]],"")</f>
        <v/>
      </c>
      <c r="R45" s="8" t="str">
        <f ca="1">IFERROR(Tabela3[[#This Row],[Valor]]-(Tabela3[[#This Row],[Valor]]*(Tabela3[[#This Row],[Idade]]*VLOOKUP(Tabela3[[#This Row],[Categoria]],Cadastros!A:B,2,0))),"")</f>
        <v/>
      </c>
    </row>
    <row r="46" spans="4:18" x14ac:dyDescent="0.25">
      <c r="D46" s="5"/>
      <c r="N46" s="6" t="str">
        <f>IFERROR(Tabela3[[#This Row],[Última revisão do bem]]+(VLOOKUP(Tabela3[[#This Row],[Categoria]],Cadastros!A:D,4,0)+365),"")</f>
        <v/>
      </c>
      <c r="O46" s="7" t="str">
        <f ca="1">IF(Tabela3[[#This Row],[Data da compra]]&gt;0,(TODAY()-Tabela3[[#This Row],[Data da compra]])/365,"")</f>
        <v/>
      </c>
      <c r="P46" s="7" t="str">
        <f>IFERROR(VLOOKUP(Tabela3[[#This Row],[Categoria]],Cadastros!A:C,3,0),"")</f>
        <v/>
      </c>
      <c r="Q46" s="9" t="str">
        <f ca="1">IFERROR(Tabela3[[#This Row],[Vida útil]]-Tabela3[[#This Row],[Idade]],"")</f>
        <v/>
      </c>
      <c r="R46" s="8" t="str">
        <f ca="1">IFERROR(Tabela3[[#This Row],[Valor]]-(Tabela3[[#This Row],[Valor]]*(Tabela3[[#This Row],[Idade]]*VLOOKUP(Tabela3[[#This Row],[Categoria]],Cadastros!A:B,2,0))),"")</f>
        <v/>
      </c>
    </row>
    <row r="47" spans="4:18" x14ac:dyDescent="0.25">
      <c r="D47" s="5"/>
      <c r="N47" s="6" t="str">
        <f>IFERROR(Tabela3[[#This Row],[Última revisão do bem]]+(VLOOKUP(Tabela3[[#This Row],[Categoria]],Cadastros!A:D,4,0)+365),"")</f>
        <v/>
      </c>
      <c r="O47" s="7" t="str">
        <f ca="1">IF(Tabela3[[#This Row],[Data da compra]]&gt;0,(TODAY()-Tabela3[[#This Row],[Data da compra]])/365,"")</f>
        <v/>
      </c>
      <c r="P47" s="7" t="str">
        <f>IFERROR(VLOOKUP(Tabela3[[#This Row],[Categoria]],Cadastros!A:C,3,0),"")</f>
        <v/>
      </c>
      <c r="Q47" s="9" t="str">
        <f ca="1">IFERROR(Tabela3[[#This Row],[Vida útil]]-Tabela3[[#This Row],[Idade]],"")</f>
        <v/>
      </c>
      <c r="R47" s="8" t="str">
        <f ca="1">IFERROR(Tabela3[[#This Row],[Valor]]-(Tabela3[[#This Row],[Valor]]*(Tabela3[[#This Row],[Idade]]*VLOOKUP(Tabela3[[#This Row],[Categoria]],Cadastros!A:B,2,0))),"")</f>
        <v/>
      </c>
    </row>
    <row r="48" spans="4:18" x14ac:dyDescent="0.25">
      <c r="D48" s="5"/>
      <c r="N48" s="6" t="str">
        <f>IFERROR(Tabela3[[#This Row],[Última revisão do bem]]+(VLOOKUP(Tabela3[[#This Row],[Categoria]],Cadastros!A:D,4,0)+365),"")</f>
        <v/>
      </c>
      <c r="O48" s="7" t="str">
        <f ca="1">IF(Tabela3[[#This Row],[Data da compra]]&gt;0,(TODAY()-Tabela3[[#This Row],[Data da compra]])/365,"")</f>
        <v/>
      </c>
      <c r="P48" s="7" t="str">
        <f>IFERROR(VLOOKUP(Tabela3[[#This Row],[Categoria]],Cadastros!A:C,3,0),"")</f>
        <v/>
      </c>
      <c r="Q48" s="9" t="str">
        <f ca="1">IFERROR(Tabela3[[#This Row],[Vida útil]]-Tabela3[[#This Row],[Idade]],"")</f>
        <v/>
      </c>
      <c r="R48" s="8" t="str">
        <f ca="1">IFERROR(Tabela3[[#This Row],[Valor]]-(Tabela3[[#This Row],[Valor]]*(Tabela3[[#This Row],[Idade]]*VLOOKUP(Tabela3[[#This Row],[Categoria]],Cadastros!A:B,2,0))),"")</f>
        <v/>
      </c>
    </row>
    <row r="49" spans="4:18" x14ac:dyDescent="0.25">
      <c r="D49" s="5"/>
      <c r="N49" s="6" t="str">
        <f>IFERROR(Tabela3[[#This Row],[Última revisão do bem]]+(VLOOKUP(Tabela3[[#This Row],[Categoria]],Cadastros!A:D,4,0)+365),"")</f>
        <v/>
      </c>
      <c r="O49" s="7" t="str">
        <f ca="1">IF(Tabela3[[#This Row],[Data da compra]]&gt;0,(TODAY()-Tabela3[[#This Row],[Data da compra]])/365,"")</f>
        <v/>
      </c>
      <c r="P49" s="7" t="str">
        <f>IFERROR(VLOOKUP(Tabela3[[#This Row],[Categoria]],Cadastros!A:C,3,0),"")</f>
        <v/>
      </c>
      <c r="Q49" s="9" t="str">
        <f ca="1">IFERROR(Tabela3[[#This Row],[Vida útil]]-Tabela3[[#This Row],[Idade]],"")</f>
        <v/>
      </c>
      <c r="R49" s="8" t="str">
        <f ca="1">IFERROR(Tabela3[[#This Row],[Valor]]-(Tabela3[[#This Row],[Valor]]*(Tabela3[[#This Row],[Idade]]*VLOOKUP(Tabela3[[#This Row],[Categoria]],Cadastros!A:B,2,0))),"")</f>
        <v/>
      </c>
    </row>
    <row r="50" spans="4:18" x14ac:dyDescent="0.25">
      <c r="D50" s="5"/>
      <c r="N50" s="6" t="str">
        <f>IFERROR(Tabela3[[#This Row],[Última revisão do bem]]+(VLOOKUP(Tabela3[[#This Row],[Categoria]],Cadastros!A:D,4,0)+365),"")</f>
        <v/>
      </c>
      <c r="O50" s="7" t="str">
        <f ca="1">IF(Tabela3[[#This Row],[Data da compra]]&gt;0,(TODAY()-Tabela3[[#This Row],[Data da compra]])/365,"")</f>
        <v/>
      </c>
      <c r="P50" s="7" t="str">
        <f>IFERROR(VLOOKUP(Tabela3[[#This Row],[Categoria]],Cadastros!A:C,3,0),"")</f>
        <v/>
      </c>
      <c r="Q50" s="9" t="str">
        <f ca="1">IFERROR(Tabela3[[#This Row],[Vida útil]]-Tabela3[[#This Row],[Idade]],"")</f>
        <v/>
      </c>
      <c r="R50" s="8" t="str">
        <f ca="1">IFERROR(Tabela3[[#This Row],[Valor]]-(Tabela3[[#This Row],[Valor]]*(Tabela3[[#This Row],[Idade]]*VLOOKUP(Tabela3[[#This Row],[Categoria]],Cadastros!A:B,2,0))),"")</f>
        <v/>
      </c>
    </row>
    <row r="51" spans="4:18" x14ac:dyDescent="0.25">
      <c r="D51" s="5"/>
      <c r="N51" s="6" t="str">
        <f>IFERROR(Tabela3[[#This Row],[Última revisão do bem]]+(VLOOKUP(Tabela3[[#This Row],[Categoria]],Cadastros!A:D,4,0)+365),"")</f>
        <v/>
      </c>
      <c r="O51" s="7" t="str">
        <f ca="1">IF(Tabela3[[#This Row],[Data da compra]]&gt;0,(TODAY()-Tabela3[[#This Row],[Data da compra]])/365,"")</f>
        <v/>
      </c>
      <c r="P51" s="7" t="str">
        <f>IFERROR(VLOOKUP(Tabela3[[#This Row],[Categoria]],Cadastros!A:C,3,0),"")</f>
        <v/>
      </c>
      <c r="Q51" s="9" t="str">
        <f ca="1">IFERROR(Tabela3[[#This Row],[Vida útil]]-Tabela3[[#This Row],[Idade]],"")</f>
        <v/>
      </c>
      <c r="R51" s="8" t="str">
        <f ca="1">IFERROR(Tabela3[[#This Row],[Valor]]-(Tabela3[[#This Row],[Valor]]*(Tabela3[[#This Row],[Idade]]*VLOOKUP(Tabela3[[#This Row],[Categoria]],Cadastros!A:B,2,0))),"")</f>
        <v/>
      </c>
    </row>
    <row r="52" spans="4:18" x14ac:dyDescent="0.25">
      <c r="D52" s="5"/>
      <c r="N52" s="6" t="str">
        <f>IFERROR(Tabela3[[#This Row],[Última revisão do bem]]+(VLOOKUP(Tabela3[[#This Row],[Categoria]],Cadastros!A:D,4,0)+365),"")</f>
        <v/>
      </c>
      <c r="O52" s="7" t="str">
        <f ca="1">IF(Tabela3[[#This Row],[Data da compra]]&gt;0,(TODAY()-Tabela3[[#This Row],[Data da compra]])/365,"")</f>
        <v/>
      </c>
      <c r="P52" s="7" t="str">
        <f>IFERROR(VLOOKUP(Tabela3[[#This Row],[Categoria]],Cadastros!A:C,3,0),"")</f>
        <v/>
      </c>
      <c r="Q52" s="9" t="str">
        <f ca="1">IFERROR(Tabela3[[#This Row],[Vida útil]]-Tabela3[[#This Row],[Idade]],"")</f>
        <v/>
      </c>
      <c r="R52" s="8" t="str">
        <f ca="1">IFERROR(Tabela3[[#This Row],[Valor]]-(Tabela3[[#This Row],[Valor]]*(Tabela3[[#This Row],[Idade]]*VLOOKUP(Tabela3[[#This Row],[Categoria]],Cadastros!A:B,2,0))),"")</f>
        <v/>
      </c>
    </row>
    <row r="53" spans="4:18" x14ac:dyDescent="0.25">
      <c r="D53" s="5"/>
      <c r="N53" s="6" t="str">
        <f>IFERROR(Tabela3[[#This Row],[Última revisão do bem]]+(VLOOKUP(Tabela3[[#This Row],[Categoria]],Cadastros!A:D,4,0)+365),"")</f>
        <v/>
      </c>
      <c r="O53" s="7" t="str">
        <f ca="1">IF(Tabela3[[#This Row],[Data da compra]]&gt;0,(TODAY()-Tabela3[[#This Row],[Data da compra]])/365,"")</f>
        <v/>
      </c>
      <c r="P53" s="7" t="str">
        <f>IFERROR(VLOOKUP(Tabela3[[#This Row],[Categoria]],Cadastros!A:C,3,0),"")</f>
        <v/>
      </c>
      <c r="Q53" s="9" t="str">
        <f ca="1">IFERROR(Tabela3[[#This Row],[Vida útil]]-Tabela3[[#This Row],[Idade]],"")</f>
        <v/>
      </c>
      <c r="R53" s="8" t="str">
        <f ca="1">IFERROR(Tabela3[[#This Row],[Valor]]-(Tabela3[[#This Row],[Valor]]*(Tabela3[[#This Row],[Idade]]*VLOOKUP(Tabela3[[#This Row],[Categoria]],Cadastros!A:B,2,0))),"")</f>
        <v/>
      </c>
    </row>
    <row r="54" spans="4:18" x14ac:dyDescent="0.25">
      <c r="D54" s="5"/>
      <c r="N54" s="6" t="str">
        <f>IFERROR(Tabela3[[#This Row],[Última revisão do bem]]+(VLOOKUP(Tabela3[[#This Row],[Categoria]],Cadastros!A:D,4,0)+365),"")</f>
        <v/>
      </c>
      <c r="O54" s="7" t="str">
        <f ca="1">IF(Tabela3[[#This Row],[Data da compra]]&gt;0,(TODAY()-Tabela3[[#This Row],[Data da compra]])/365,"")</f>
        <v/>
      </c>
      <c r="P54" s="7" t="str">
        <f>IFERROR(VLOOKUP(Tabela3[[#This Row],[Categoria]],Cadastros!A:C,3,0),"")</f>
        <v/>
      </c>
      <c r="Q54" s="9" t="str">
        <f ca="1">IFERROR(Tabela3[[#This Row],[Vida útil]]-Tabela3[[#This Row],[Idade]],"")</f>
        <v/>
      </c>
      <c r="R54" s="8" t="str">
        <f ca="1">IFERROR(Tabela3[[#This Row],[Valor]]-(Tabela3[[#This Row],[Valor]]*(Tabela3[[#This Row],[Idade]]*VLOOKUP(Tabela3[[#This Row],[Categoria]],Cadastros!A:B,2,0))),"")</f>
        <v/>
      </c>
    </row>
    <row r="55" spans="4:18" x14ac:dyDescent="0.25">
      <c r="D55" s="5"/>
      <c r="N55" s="6" t="str">
        <f>IFERROR(Tabela3[[#This Row],[Última revisão do bem]]+(VLOOKUP(Tabela3[[#This Row],[Categoria]],Cadastros!A:D,4,0)+365),"")</f>
        <v/>
      </c>
      <c r="O55" s="7" t="str">
        <f ca="1">IF(Tabela3[[#This Row],[Data da compra]]&gt;0,(TODAY()-Tabela3[[#This Row],[Data da compra]])/365,"")</f>
        <v/>
      </c>
      <c r="P55" s="7" t="str">
        <f>IFERROR(VLOOKUP(Tabela3[[#This Row],[Categoria]],Cadastros!A:C,3,0),"")</f>
        <v/>
      </c>
      <c r="Q55" s="9" t="str">
        <f ca="1">IFERROR(Tabela3[[#This Row],[Vida útil]]-Tabela3[[#This Row],[Idade]],"")</f>
        <v/>
      </c>
      <c r="R55" s="8" t="str">
        <f ca="1">IFERROR(Tabela3[[#This Row],[Valor]]-(Tabela3[[#This Row],[Valor]]*(Tabela3[[#This Row],[Idade]]*VLOOKUP(Tabela3[[#This Row],[Categoria]],Cadastros!A:B,2,0))),"")</f>
        <v/>
      </c>
    </row>
    <row r="56" spans="4:18" x14ac:dyDescent="0.25">
      <c r="D56" s="5"/>
      <c r="N56" s="6" t="str">
        <f>IFERROR(Tabela3[[#This Row],[Última revisão do bem]]+(VLOOKUP(Tabela3[[#This Row],[Categoria]],Cadastros!A:D,4,0)+365),"")</f>
        <v/>
      </c>
      <c r="O56" s="7" t="str">
        <f ca="1">IF(Tabela3[[#This Row],[Data da compra]]&gt;0,(TODAY()-Tabela3[[#This Row],[Data da compra]])/365,"")</f>
        <v/>
      </c>
      <c r="P56" s="7" t="str">
        <f>IFERROR(VLOOKUP(Tabela3[[#This Row],[Categoria]],Cadastros!A:C,3,0),"")</f>
        <v/>
      </c>
      <c r="Q56" s="9" t="str">
        <f ca="1">IFERROR(Tabela3[[#This Row],[Vida útil]]-Tabela3[[#This Row],[Idade]],"")</f>
        <v/>
      </c>
      <c r="R56" s="8" t="str">
        <f ca="1">IFERROR(Tabela3[[#This Row],[Valor]]-(Tabela3[[#This Row],[Valor]]*(Tabela3[[#This Row],[Idade]]*VLOOKUP(Tabela3[[#This Row],[Categoria]],Cadastros!A:B,2,0))),"")</f>
        <v/>
      </c>
    </row>
    <row r="57" spans="4:18" x14ac:dyDescent="0.25">
      <c r="D57" s="5"/>
      <c r="N57" s="6" t="str">
        <f>IFERROR(Tabela3[[#This Row],[Última revisão do bem]]+(VLOOKUP(Tabela3[[#This Row],[Categoria]],Cadastros!A:D,4,0)+365),"")</f>
        <v/>
      </c>
      <c r="O57" s="7" t="str">
        <f ca="1">IF(Tabela3[[#This Row],[Data da compra]]&gt;0,(TODAY()-Tabela3[[#This Row],[Data da compra]])/365,"")</f>
        <v/>
      </c>
      <c r="P57" s="7" t="str">
        <f>IFERROR(VLOOKUP(Tabela3[[#This Row],[Categoria]],Cadastros!A:C,3,0),"")</f>
        <v/>
      </c>
      <c r="Q57" s="9" t="str">
        <f ca="1">IFERROR(Tabela3[[#This Row],[Vida útil]]-Tabela3[[#This Row],[Idade]],"")</f>
        <v/>
      </c>
      <c r="R57" s="8" t="str">
        <f ca="1">IFERROR(Tabela3[[#This Row],[Valor]]-(Tabela3[[#This Row],[Valor]]*(Tabela3[[#This Row],[Idade]]*VLOOKUP(Tabela3[[#This Row],[Categoria]],Cadastros!A:B,2,0))),"")</f>
        <v/>
      </c>
    </row>
    <row r="58" spans="4:18" x14ac:dyDescent="0.25">
      <c r="D58" s="5"/>
      <c r="N58" s="6" t="str">
        <f>IFERROR(Tabela3[[#This Row],[Última revisão do bem]]+(VLOOKUP(Tabela3[[#This Row],[Categoria]],Cadastros!A:D,4,0)+365),"")</f>
        <v/>
      </c>
      <c r="O58" s="7" t="str">
        <f ca="1">IF(Tabela3[[#This Row],[Data da compra]]&gt;0,(TODAY()-Tabela3[[#This Row],[Data da compra]])/365,"")</f>
        <v/>
      </c>
      <c r="P58" s="7" t="str">
        <f>IFERROR(VLOOKUP(Tabela3[[#This Row],[Categoria]],Cadastros!A:C,3,0),"")</f>
        <v/>
      </c>
      <c r="Q58" s="9" t="str">
        <f ca="1">IFERROR(Tabela3[[#This Row],[Vida útil]]-Tabela3[[#This Row],[Idade]],"")</f>
        <v/>
      </c>
      <c r="R58" s="8" t="str">
        <f ca="1">IFERROR(Tabela3[[#This Row],[Valor]]-(Tabela3[[#This Row],[Valor]]*(Tabela3[[#This Row],[Idade]]*VLOOKUP(Tabela3[[#This Row],[Categoria]],Cadastros!A:B,2,0))),"")</f>
        <v/>
      </c>
    </row>
    <row r="59" spans="4:18" x14ac:dyDescent="0.25">
      <c r="D59" s="5"/>
      <c r="N59" s="6" t="str">
        <f>IFERROR(Tabela3[[#This Row],[Última revisão do bem]]+(VLOOKUP(Tabela3[[#This Row],[Categoria]],Cadastros!A:D,4,0)+365),"")</f>
        <v/>
      </c>
      <c r="O59" s="7" t="str">
        <f ca="1">IF(Tabela3[[#This Row],[Data da compra]]&gt;0,(TODAY()-Tabela3[[#This Row],[Data da compra]])/365,"")</f>
        <v/>
      </c>
      <c r="P59" s="7" t="str">
        <f>IFERROR(VLOOKUP(Tabela3[[#This Row],[Categoria]],Cadastros!A:C,3,0),"")</f>
        <v/>
      </c>
      <c r="Q59" s="9" t="str">
        <f ca="1">IFERROR(Tabela3[[#This Row],[Vida útil]]-Tabela3[[#This Row],[Idade]],"")</f>
        <v/>
      </c>
      <c r="R59" s="8" t="str">
        <f ca="1">IFERROR(Tabela3[[#This Row],[Valor]]-(Tabela3[[#This Row],[Valor]]*(Tabela3[[#This Row],[Idade]]*VLOOKUP(Tabela3[[#This Row],[Categoria]],Cadastros!A:B,2,0))),"")</f>
        <v/>
      </c>
    </row>
    <row r="60" spans="4:18" x14ac:dyDescent="0.25">
      <c r="D60" s="22"/>
      <c r="N60" s="6" t="str">
        <f>IFERROR(Tabela3[[#This Row],[Última revisão do bem]]+(VLOOKUP(Tabela3[[#This Row],[Categoria]],Cadastros!A:D,4,0)+365),"")</f>
        <v/>
      </c>
      <c r="O60" s="7" t="str">
        <f ca="1">IF(Tabela3[[#This Row],[Data da compra]]&gt;0,(TODAY()-Tabela3[[#This Row],[Data da compra]])/365,"")</f>
        <v/>
      </c>
      <c r="P60" s="7" t="str">
        <f>IFERROR(VLOOKUP(Tabela3[[#This Row],[Categoria]],Cadastros!A:C,3,0),"")</f>
        <v/>
      </c>
      <c r="Q60" s="9" t="str">
        <f ca="1">IFERROR(Tabela3[[#This Row],[Vida útil]]-Tabela3[[#This Row],[Idade]],"")</f>
        <v/>
      </c>
      <c r="R60" s="23" t="str">
        <f ca="1">IFERROR(Tabela3[[#This Row],[Valor]]-(Tabela3[[#This Row],[Valor]]*(Tabela3[[#This Row],[Idade]]*VLOOKUP(Tabela3[[#This Row],[Categoria]],Cadastros!A:B,2,0))),"")</f>
        <v/>
      </c>
    </row>
    <row r="61" spans="4:18" x14ac:dyDescent="0.25">
      <c r="D61" s="5"/>
      <c r="N61" s="6" t="str">
        <f>IFERROR(Tabela3[[#This Row],[Última revisão do bem]]+(VLOOKUP(Tabela3[[#This Row],[Categoria]],Cadastros!A:D,4,0)+365),"")</f>
        <v/>
      </c>
      <c r="O61" s="7" t="str">
        <f ca="1">IF(Tabela3[[#This Row],[Data da compra]]&gt;0,(TODAY()-Tabela3[[#This Row],[Data da compra]])/365,"")</f>
        <v/>
      </c>
      <c r="P61" s="7" t="str">
        <f>IFERROR(VLOOKUP(Tabela3[[#This Row],[Categoria]],Cadastros!A:C,3,0),"")</f>
        <v/>
      </c>
      <c r="Q61" s="9" t="str">
        <f ca="1">IFERROR(Tabela3[[#This Row],[Vida útil]]-Tabela3[[#This Row],[Idade]],"")</f>
        <v/>
      </c>
      <c r="R61" s="8" t="str">
        <f ca="1">IFERROR(Tabela3[[#This Row],[Valor]]-(Tabela3[[#This Row],[Valor]]*(Tabela3[[#This Row],[Idade]]*VLOOKUP(Tabela3[[#This Row],[Categoria]],Cadastros!A:B,2,0))),"")</f>
        <v/>
      </c>
    </row>
    <row r="62" spans="4:18" x14ac:dyDescent="0.25">
      <c r="D62" s="5"/>
      <c r="N62" s="6" t="str">
        <f>IFERROR(Tabela3[[#This Row],[Última revisão do bem]]+(VLOOKUP(Tabela3[[#This Row],[Categoria]],Cadastros!A:D,4,0)+365),"")</f>
        <v/>
      </c>
      <c r="O62" s="7" t="str">
        <f ca="1">IF(Tabela3[[#This Row],[Data da compra]]&gt;0,(TODAY()-Tabela3[[#This Row],[Data da compra]])/365,"")</f>
        <v/>
      </c>
      <c r="P62" s="7" t="str">
        <f>IFERROR(VLOOKUP(Tabela3[[#This Row],[Categoria]],Cadastros!A:C,3,0),"")</f>
        <v/>
      </c>
      <c r="Q62" s="9" t="str">
        <f ca="1">IFERROR(Tabela3[[#This Row],[Vida útil]]-Tabela3[[#This Row],[Idade]],"")</f>
        <v/>
      </c>
      <c r="R62" s="8" t="str">
        <f ca="1">IFERROR(Tabela3[[#This Row],[Valor]]-(Tabela3[[#This Row],[Valor]]*(Tabela3[[#This Row],[Idade]]*VLOOKUP(Tabela3[[#This Row],[Categoria]],Cadastros!A:B,2,0))),"")</f>
        <v/>
      </c>
    </row>
    <row r="63" spans="4:18" x14ac:dyDescent="0.25">
      <c r="D63" s="5"/>
      <c r="N63" s="6" t="str">
        <f>IFERROR(Tabela3[[#This Row],[Última revisão do bem]]+(VLOOKUP(Tabela3[[#This Row],[Categoria]],Cadastros!A:D,4,0)+365),"")</f>
        <v/>
      </c>
      <c r="O63" s="7" t="str">
        <f ca="1">IF(Tabela3[[#This Row],[Data da compra]]&gt;0,(TODAY()-Tabela3[[#This Row],[Data da compra]])/365,"")</f>
        <v/>
      </c>
      <c r="P63" s="7" t="str">
        <f>IFERROR(VLOOKUP(Tabela3[[#This Row],[Categoria]],Cadastros!A:C,3,0),"")</f>
        <v/>
      </c>
      <c r="Q63" s="9" t="str">
        <f ca="1">IFERROR(Tabela3[[#This Row],[Vida útil]]-Tabela3[[#This Row],[Idade]],"")</f>
        <v/>
      </c>
      <c r="R63" s="8" t="str">
        <f ca="1">IFERROR(Tabela3[[#This Row],[Valor]]-(Tabela3[[#This Row],[Valor]]*(Tabela3[[#This Row],[Idade]]*VLOOKUP(Tabela3[[#This Row],[Categoria]],Cadastros!A:B,2,0))),"")</f>
        <v/>
      </c>
    </row>
    <row r="64" spans="4:18" x14ac:dyDescent="0.25">
      <c r="D64" s="5"/>
      <c r="N64" s="6" t="str">
        <f>IFERROR(Tabela3[[#This Row],[Última revisão do bem]]+(VLOOKUP(Tabela3[[#This Row],[Categoria]],Cadastros!A:D,4,0)+365),"")</f>
        <v/>
      </c>
      <c r="O64" s="7" t="str">
        <f ca="1">IF(Tabela3[[#This Row],[Data da compra]]&gt;0,(TODAY()-Tabela3[[#This Row],[Data da compra]])/365,"")</f>
        <v/>
      </c>
      <c r="P64" s="7" t="str">
        <f>IFERROR(VLOOKUP(Tabela3[[#This Row],[Categoria]],Cadastros!A:C,3,0),"")</f>
        <v/>
      </c>
      <c r="Q64" s="9" t="str">
        <f ca="1">IFERROR(Tabela3[[#This Row],[Vida útil]]-Tabela3[[#This Row],[Idade]],"")</f>
        <v/>
      </c>
      <c r="R64" s="8" t="str">
        <f ca="1">IFERROR(Tabela3[[#This Row],[Valor]]-(Tabela3[[#This Row],[Valor]]*(Tabela3[[#This Row],[Idade]]*VLOOKUP(Tabela3[[#This Row],[Categoria]],Cadastros!A:B,2,0))),"")</f>
        <v/>
      </c>
    </row>
    <row r="65" spans="4:18" x14ac:dyDescent="0.25">
      <c r="D65" s="5"/>
      <c r="N65" s="6" t="str">
        <f>IFERROR(Tabela3[[#This Row],[Última revisão do bem]]+(VLOOKUP(Tabela3[[#This Row],[Categoria]],Cadastros!A:D,4,0)+365),"")</f>
        <v/>
      </c>
      <c r="O65" s="7" t="str">
        <f ca="1">IF(Tabela3[[#This Row],[Data da compra]]&gt;0,(TODAY()-Tabela3[[#This Row],[Data da compra]])/365,"")</f>
        <v/>
      </c>
      <c r="P65" s="7" t="str">
        <f>IFERROR(VLOOKUP(Tabela3[[#This Row],[Categoria]],Cadastros!A:C,3,0),"")</f>
        <v/>
      </c>
      <c r="Q65" s="9" t="str">
        <f ca="1">IFERROR(Tabela3[[#This Row],[Vida útil]]-Tabela3[[#This Row],[Idade]],"")</f>
        <v/>
      </c>
      <c r="R65" s="8" t="str">
        <f ca="1">IFERROR(Tabela3[[#This Row],[Valor]]-(Tabela3[[#This Row],[Valor]]*(Tabela3[[#This Row],[Idade]]*VLOOKUP(Tabela3[[#This Row],[Categoria]],Cadastros!A:B,2,0))),"")</f>
        <v/>
      </c>
    </row>
    <row r="66" spans="4:18" x14ac:dyDescent="0.25">
      <c r="D66" s="5"/>
      <c r="N66" s="6" t="str">
        <f>IFERROR(Tabela3[[#This Row],[Última revisão do bem]]+(VLOOKUP(Tabela3[[#This Row],[Categoria]],Cadastros!A:D,4,0)+365),"")</f>
        <v/>
      </c>
      <c r="O66" s="7" t="str">
        <f ca="1">IF(Tabela3[[#This Row],[Data da compra]]&gt;0,(TODAY()-Tabela3[[#This Row],[Data da compra]])/365,"")</f>
        <v/>
      </c>
      <c r="P66" s="7" t="str">
        <f>IFERROR(VLOOKUP(Tabela3[[#This Row],[Categoria]],Cadastros!A:C,3,0),"")</f>
        <v/>
      </c>
      <c r="Q66" s="9" t="str">
        <f ca="1">IFERROR(Tabela3[[#This Row],[Vida útil]]-Tabela3[[#This Row],[Idade]],"")</f>
        <v/>
      </c>
      <c r="R66" s="8" t="str">
        <f ca="1">IFERROR(Tabela3[[#This Row],[Valor]]-(Tabela3[[#This Row],[Valor]]*(Tabela3[[#This Row],[Idade]]*VLOOKUP(Tabela3[[#This Row],[Categoria]],Cadastros!A:B,2,0))),"")</f>
        <v/>
      </c>
    </row>
    <row r="67" spans="4:18" x14ac:dyDescent="0.25">
      <c r="D67" s="5"/>
      <c r="N67" s="6" t="str">
        <f>IFERROR(Tabela3[[#This Row],[Última revisão do bem]]+(VLOOKUP(Tabela3[[#This Row],[Categoria]],Cadastros!A:D,4,0)+365),"")</f>
        <v/>
      </c>
      <c r="O67" s="7" t="str">
        <f ca="1">IF(Tabela3[[#This Row],[Data da compra]]&gt;0,(TODAY()-Tabela3[[#This Row],[Data da compra]])/365,"")</f>
        <v/>
      </c>
      <c r="P67" s="7" t="str">
        <f>IFERROR(VLOOKUP(Tabela3[[#This Row],[Categoria]],Cadastros!A:C,3,0),"")</f>
        <v/>
      </c>
      <c r="Q67" s="9" t="str">
        <f ca="1">IFERROR(Tabela3[[#This Row],[Vida útil]]-Tabela3[[#This Row],[Idade]],"")</f>
        <v/>
      </c>
      <c r="R67" s="8" t="str">
        <f ca="1">IFERROR(Tabela3[[#This Row],[Valor]]-(Tabela3[[#This Row],[Valor]]*(Tabela3[[#This Row],[Idade]]*VLOOKUP(Tabela3[[#This Row],[Categoria]],Cadastros!A:B,2,0))),"")</f>
        <v/>
      </c>
    </row>
    <row r="68" spans="4:18" x14ac:dyDescent="0.25">
      <c r="D68" s="5"/>
      <c r="N68" s="6" t="str">
        <f>IFERROR(Tabela3[[#This Row],[Última revisão do bem]]+(VLOOKUP(Tabela3[[#This Row],[Categoria]],Cadastros!A:D,4,0)+365),"")</f>
        <v/>
      </c>
      <c r="O68" s="7" t="str">
        <f ca="1">IF(Tabela3[[#This Row],[Data da compra]]&gt;0,(TODAY()-Tabela3[[#This Row],[Data da compra]])/365,"")</f>
        <v/>
      </c>
      <c r="P68" s="7" t="str">
        <f>IFERROR(VLOOKUP(Tabela3[[#This Row],[Categoria]],Cadastros!A:C,3,0),"")</f>
        <v/>
      </c>
      <c r="Q68" s="9" t="str">
        <f ca="1">IFERROR(Tabela3[[#This Row],[Vida útil]]-Tabela3[[#This Row],[Idade]],"")</f>
        <v/>
      </c>
      <c r="R68" s="8" t="str">
        <f ca="1">IFERROR(Tabela3[[#This Row],[Valor]]-(Tabela3[[#This Row],[Valor]]*(Tabela3[[#This Row],[Idade]]*VLOOKUP(Tabela3[[#This Row],[Categoria]],Cadastros!A:B,2,0))),"")</f>
        <v/>
      </c>
    </row>
    <row r="69" spans="4:18" x14ac:dyDescent="0.25">
      <c r="D69" s="5"/>
      <c r="N69" s="6" t="str">
        <f>IFERROR(Tabela3[[#This Row],[Última revisão do bem]]+(VLOOKUP(Tabela3[[#This Row],[Categoria]],Cadastros!A:D,4,0)+365),"")</f>
        <v/>
      </c>
      <c r="O69" s="7" t="str">
        <f ca="1">IF(Tabela3[[#This Row],[Data da compra]]&gt;0,(TODAY()-Tabela3[[#This Row],[Data da compra]])/365,"")</f>
        <v/>
      </c>
      <c r="P69" s="7" t="str">
        <f>IFERROR(VLOOKUP(Tabela3[[#This Row],[Categoria]],Cadastros!A:C,3,0),"")</f>
        <v/>
      </c>
      <c r="Q69" s="9" t="str">
        <f ca="1">IFERROR(Tabela3[[#This Row],[Vida útil]]-Tabela3[[#This Row],[Idade]],"")</f>
        <v/>
      </c>
      <c r="R69" s="8" t="str">
        <f ca="1">IFERROR(Tabela3[[#This Row],[Valor]]-(Tabela3[[#This Row],[Valor]]*(Tabela3[[#This Row],[Idade]]*VLOOKUP(Tabela3[[#This Row],[Categoria]],Cadastros!A:B,2,0))),"")</f>
        <v/>
      </c>
    </row>
    <row r="70" spans="4:18" x14ac:dyDescent="0.25">
      <c r="D70" s="5"/>
      <c r="N70" s="6" t="str">
        <f>IFERROR(Tabela3[[#This Row],[Última revisão do bem]]+(VLOOKUP(Tabela3[[#This Row],[Categoria]],Cadastros!A:D,4,0)+365),"")</f>
        <v/>
      </c>
      <c r="O70" s="7" t="str">
        <f ca="1">IF(Tabela3[[#This Row],[Data da compra]]&gt;0,(TODAY()-Tabela3[[#This Row],[Data da compra]])/365,"")</f>
        <v/>
      </c>
      <c r="P70" s="7" t="str">
        <f>IFERROR(VLOOKUP(Tabela3[[#This Row],[Categoria]],Cadastros!A:C,3,0),"")</f>
        <v/>
      </c>
      <c r="Q70" s="9" t="str">
        <f ca="1">IFERROR(Tabela3[[#This Row],[Vida útil]]-Tabela3[[#This Row],[Idade]],"")</f>
        <v/>
      </c>
      <c r="R70" s="8" t="str">
        <f ca="1">IFERROR(Tabela3[[#This Row],[Valor]]-(Tabela3[[#This Row],[Valor]]*(Tabela3[[#This Row],[Idade]]*VLOOKUP(Tabela3[[#This Row],[Categoria]],Cadastros!A:B,2,0))),"")</f>
        <v/>
      </c>
    </row>
    <row r="71" spans="4:18" x14ac:dyDescent="0.25">
      <c r="D71" s="5"/>
      <c r="N71" s="6" t="str">
        <f>IFERROR(Tabela3[[#This Row],[Última revisão do bem]]+(VLOOKUP(Tabela3[[#This Row],[Categoria]],Cadastros!A:D,4,0)+365),"")</f>
        <v/>
      </c>
      <c r="O71" s="7" t="str">
        <f ca="1">IF(Tabela3[[#This Row],[Data da compra]]&gt;0,(TODAY()-Tabela3[[#This Row],[Data da compra]])/365,"")</f>
        <v/>
      </c>
      <c r="P71" s="7" t="str">
        <f>IFERROR(VLOOKUP(Tabela3[[#This Row],[Categoria]],Cadastros!A:C,3,0),"")</f>
        <v/>
      </c>
      <c r="Q71" s="9" t="str">
        <f ca="1">IFERROR(Tabela3[[#This Row],[Vida útil]]-Tabela3[[#This Row],[Idade]],"")</f>
        <v/>
      </c>
      <c r="R71" s="8" t="str">
        <f ca="1">IFERROR(Tabela3[[#This Row],[Valor]]-(Tabela3[[#This Row],[Valor]]*(Tabela3[[#This Row],[Idade]]*VLOOKUP(Tabela3[[#This Row],[Categoria]],Cadastros!A:B,2,0))),"")</f>
        <v/>
      </c>
    </row>
    <row r="72" spans="4:18" x14ac:dyDescent="0.25">
      <c r="D72" s="5"/>
      <c r="N72" s="6" t="str">
        <f>IFERROR(Tabela3[[#This Row],[Última revisão do bem]]+(VLOOKUP(Tabela3[[#This Row],[Categoria]],Cadastros!A:D,4,0)+365),"")</f>
        <v/>
      </c>
      <c r="O72" s="7" t="str">
        <f ca="1">IF(Tabela3[[#This Row],[Data da compra]]&gt;0,(TODAY()-Tabela3[[#This Row],[Data da compra]])/365,"")</f>
        <v/>
      </c>
      <c r="P72" s="7" t="str">
        <f>IFERROR(VLOOKUP(Tabela3[[#This Row],[Categoria]],Cadastros!A:C,3,0),"")</f>
        <v/>
      </c>
      <c r="Q72" s="9" t="str">
        <f ca="1">IFERROR(Tabela3[[#This Row],[Vida útil]]-Tabela3[[#This Row],[Idade]],"")</f>
        <v/>
      </c>
      <c r="R72" s="8" t="str">
        <f ca="1">IFERROR(Tabela3[[#This Row],[Valor]]-(Tabela3[[#This Row],[Valor]]*(Tabela3[[#This Row],[Idade]]*VLOOKUP(Tabela3[[#This Row],[Categoria]],Cadastros!A:B,2,0))),"")</f>
        <v/>
      </c>
    </row>
    <row r="73" spans="4:18" x14ac:dyDescent="0.25">
      <c r="D73" s="5"/>
      <c r="N73" s="6" t="str">
        <f>IFERROR(Tabela3[[#This Row],[Última revisão do bem]]+(VLOOKUP(Tabela3[[#This Row],[Categoria]],Cadastros!A:D,4,0)+365),"")</f>
        <v/>
      </c>
      <c r="O73" s="7" t="str">
        <f ca="1">IF(Tabela3[[#This Row],[Data da compra]]&gt;0,(TODAY()-Tabela3[[#This Row],[Data da compra]])/365,"")</f>
        <v/>
      </c>
      <c r="P73" s="7" t="str">
        <f>IFERROR(VLOOKUP(Tabela3[[#This Row],[Categoria]],Cadastros!A:C,3,0),"")</f>
        <v/>
      </c>
      <c r="Q73" s="9" t="str">
        <f ca="1">IFERROR(Tabela3[[#This Row],[Vida útil]]-Tabela3[[#This Row],[Idade]],"")</f>
        <v/>
      </c>
      <c r="R73" s="8" t="str">
        <f ca="1">IFERROR(Tabela3[[#This Row],[Valor]]-(Tabela3[[#This Row],[Valor]]*(Tabela3[[#This Row],[Idade]]*VLOOKUP(Tabela3[[#This Row],[Categoria]],Cadastros!A:B,2,0))),"")</f>
        <v/>
      </c>
    </row>
    <row r="74" spans="4:18" x14ac:dyDescent="0.25">
      <c r="D74" s="5"/>
      <c r="N74" s="6" t="str">
        <f>IFERROR(Tabela3[[#This Row],[Última revisão do bem]]+(VLOOKUP(Tabela3[[#This Row],[Categoria]],Cadastros!A:D,4,0)+365),"")</f>
        <v/>
      </c>
      <c r="O74" s="7" t="str">
        <f ca="1">IF(Tabela3[[#This Row],[Data da compra]]&gt;0,(TODAY()-Tabela3[[#This Row],[Data da compra]])/365,"")</f>
        <v/>
      </c>
      <c r="P74" s="7" t="str">
        <f>IFERROR(VLOOKUP(Tabela3[[#This Row],[Categoria]],Cadastros!A:C,3,0),"")</f>
        <v/>
      </c>
      <c r="Q74" s="9" t="str">
        <f ca="1">IFERROR(Tabela3[[#This Row],[Vida útil]]-Tabela3[[#This Row],[Idade]],"")</f>
        <v/>
      </c>
      <c r="R74" s="8" t="str">
        <f ca="1">IFERROR(Tabela3[[#This Row],[Valor]]-(Tabela3[[#This Row],[Valor]]*(Tabela3[[#This Row],[Idade]]*VLOOKUP(Tabela3[[#This Row],[Categoria]],Cadastros!A:B,2,0))),"")</f>
        <v/>
      </c>
    </row>
    <row r="75" spans="4:18" x14ac:dyDescent="0.25">
      <c r="D75" s="5"/>
      <c r="N75" s="6" t="str">
        <f>IFERROR(Tabela3[[#This Row],[Última revisão do bem]]+(VLOOKUP(Tabela3[[#This Row],[Categoria]],Cadastros!A:D,4,0)+365),"")</f>
        <v/>
      </c>
      <c r="O75" s="7" t="str">
        <f ca="1">IF(Tabela3[[#This Row],[Data da compra]]&gt;0,(TODAY()-Tabela3[[#This Row],[Data da compra]])/365,"")</f>
        <v/>
      </c>
      <c r="P75" s="7" t="str">
        <f>IFERROR(VLOOKUP(Tabela3[[#This Row],[Categoria]],Cadastros!A:C,3,0),"")</f>
        <v/>
      </c>
      <c r="Q75" s="9" t="str">
        <f ca="1">IFERROR(Tabela3[[#This Row],[Vida útil]]-Tabela3[[#This Row],[Idade]],"")</f>
        <v/>
      </c>
      <c r="R75" s="8" t="str">
        <f ca="1">IFERROR(Tabela3[[#This Row],[Valor]]-(Tabela3[[#This Row],[Valor]]*(Tabela3[[#This Row],[Idade]]*VLOOKUP(Tabela3[[#This Row],[Categoria]],Cadastros!A:B,2,0))),"")</f>
        <v/>
      </c>
    </row>
    <row r="76" spans="4:18" x14ac:dyDescent="0.25">
      <c r="D76" s="5"/>
      <c r="N76" s="6" t="str">
        <f>IFERROR(Tabela3[[#This Row],[Última revisão do bem]]+(VLOOKUP(Tabela3[[#This Row],[Categoria]],Cadastros!A:D,4,0)+365),"")</f>
        <v/>
      </c>
      <c r="O76" s="7" t="str">
        <f ca="1">IF(Tabela3[[#This Row],[Data da compra]]&gt;0,(TODAY()-Tabela3[[#This Row],[Data da compra]])/365,"")</f>
        <v/>
      </c>
      <c r="P76" s="7" t="str">
        <f>IFERROR(VLOOKUP(Tabela3[[#This Row],[Categoria]],Cadastros!A:C,3,0),"")</f>
        <v/>
      </c>
      <c r="Q76" s="9" t="str">
        <f ca="1">IFERROR(Tabela3[[#This Row],[Vida útil]]-Tabela3[[#This Row],[Idade]],"")</f>
        <v/>
      </c>
      <c r="R76" s="8" t="str">
        <f ca="1">IFERROR(Tabela3[[#This Row],[Valor]]-(Tabela3[[#This Row],[Valor]]*(Tabela3[[#This Row],[Idade]]*VLOOKUP(Tabela3[[#This Row],[Categoria]],Cadastros!A:B,2,0))),"")</f>
        <v/>
      </c>
    </row>
    <row r="77" spans="4:18" x14ac:dyDescent="0.25">
      <c r="D77" s="5"/>
      <c r="N77" s="6" t="str">
        <f>IFERROR(Tabela3[[#This Row],[Última revisão do bem]]+(VLOOKUP(Tabela3[[#This Row],[Categoria]],Cadastros!A:D,4,0)+365),"")</f>
        <v/>
      </c>
      <c r="O77" s="7" t="str">
        <f ca="1">IF(Tabela3[[#This Row],[Data da compra]]&gt;0,(TODAY()-Tabela3[[#This Row],[Data da compra]])/365,"")</f>
        <v/>
      </c>
      <c r="P77" s="7" t="str">
        <f>IFERROR(VLOOKUP(Tabela3[[#This Row],[Categoria]],Cadastros!A:C,3,0),"")</f>
        <v/>
      </c>
      <c r="Q77" s="9" t="str">
        <f ca="1">IFERROR(Tabela3[[#This Row],[Vida útil]]-Tabela3[[#This Row],[Idade]],"")</f>
        <v/>
      </c>
      <c r="R77" s="8" t="str">
        <f ca="1">IFERROR(Tabela3[[#This Row],[Valor]]-(Tabela3[[#This Row],[Valor]]*(Tabela3[[#This Row],[Idade]]*VLOOKUP(Tabela3[[#This Row],[Categoria]],Cadastros!A:B,2,0))),"")</f>
        <v/>
      </c>
    </row>
    <row r="78" spans="4:18" x14ac:dyDescent="0.25">
      <c r="D78" s="22"/>
      <c r="N78" s="6" t="str">
        <f>IFERROR(Tabela3[[#This Row],[Última revisão do bem]]+(VLOOKUP(Tabela3[[#This Row],[Categoria]],Cadastros!A:D,4,0)+365),"")</f>
        <v/>
      </c>
      <c r="O78" s="7" t="str">
        <f ca="1">IF(Tabela3[[#This Row],[Data da compra]]&gt;0,(TODAY()-Tabela3[[#This Row],[Data da compra]])/365,"")</f>
        <v/>
      </c>
      <c r="P78" s="7" t="str">
        <f>IFERROR(VLOOKUP(Tabela3[[#This Row],[Categoria]],Cadastros!A:C,3,0),"")</f>
        <v/>
      </c>
      <c r="Q78" s="9" t="str">
        <f ca="1">IFERROR(Tabela3[[#This Row],[Vida útil]]-Tabela3[[#This Row],[Idade]],"")</f>
        <v/>
      </c>
      <c r="R78" s="23" t="str">
        <f ca="1">IFERROR(Tabela3[[#This Row],[Valor]]-(Tabela3[[#This Row],[Valor]]*(Tabela3[[#This Row],[Idade]]*VLOOKUP(Tabela3[[#This Row],[Categoria]],Cadastros!A:B,2,0))),"")</f>
        <v/>
      </c>
    </row>
    <row r="79" spans="4:18" x14ac:dyDescent="0.25">
      <c r="D79" s="5"/>
      <c r="N79" s="6" t="str">
        <f>IFERROR(Tabela3[[#This Row],[Última revisão do bem]]+(VLOOKUP(Tabela3[[#This Row],[Categoria]],Cadastros!A:D,4,0)+365),"")</f>
        <v/>
      </c>
      <c r="O79" s="7" t="str">
        <f ca="1">IF(Tabela3[[#This Row],[Data da compra]]&gt;0,(TODAY()-Tabela3[[#This Row],[Data da compra]])/365,"")</f>
        <v/>
      </c>
      <c r="P79" s="7" t="str">
        <f>IFERROR(VLOOKUP(Tabela3[[#This Row],[Categoria]],Cadastros!A:C,3,0),"")</f>
        <v/>
      </c>
      <c r="Q79" s="9" t="str">
        <f ca="1">IFERROR(Tabela3[[#This Row],[Vida útil]]-Tabela3[[#This Row],[Idade]],"")</f>
        <v/>
      </c>
      <c r="R79" s="8" t="str">
        <f ca="1">IFERROR(Tabela3[[#This Row],[Valor]]-(Tabela3[[#This Row],[Valor]]*(Tabela3[[#This Row],[Idade]]*VLOOKUP(Tabela3[[#This Row],[Categoria]],Cadastros!A:B,2,0))),"")</f>
        <v/>
      </c>
    </row>
    <row r="80" spans="4:18" x14ac:dyDescent="0.25">
      <c r="D80" s="5"/>
      <c r="N80" s="6" t="str">
        <f>IFERROR(Tabela3[[#This Row],[Última revisão do bem]]+(VLOOKUP(Tabela3[[#This Row],[Categoria]],Cadastros!A:D,4,0)+365),"")</f>
        <v/>
      </c>
      <c r="O80" s="7" t="str">
        <f ca="1">IF(Tabela3[[#This Row],[Data da compra]]&gt;0,(TODAY()-Tabela3[[#This Row],[Data da compra]])/365,"")</f>
        <v/>
      </c>
      <c r="P80" s="7" t="str">
        <f>IFERROR(VLOOKUP(Tabela3[[#This Row],[Categoria]],Cadastros!A:C,3,0),"")</f>
        <v/>
      </c>
      <c r="Q80" s="9" t="str">
        <f ca="1">IFERROR(Tabela3[[#This Row],[Vida útil]]-Tabela3[[#This Row],[Idade]],"")</f>
        <v/>
      </c>
      <c r="R80" s="8" t="str">
        <f ca="1">IFERROR(Tabela3[[#This Row],[Valor]]-(Tabela3[[#This Row],[Valor]]*(Tabela3[[#This Row],[Idade]]*VLOOKUP(Tabela3[[#This Row],[Categoria]],Cadastros!A:B,2,0))),"")</f>
        <v/>
      </c>
    </row>
    <row r="81" spans="4:18" x14ac:dyDescent="0.25">
      <c r="D81" s="5"/>
      <c r="N81" s="6" t="str">
        <f>IFERROR(Tabela3[[#This Row],[Última revisão do bem]]+(VLOOKUP(Tabela3[[#This Row],[Categoria]],Cadastros!A:D,4,0)+365),"")</f>
        <v/>
      </c>
      <c r="O81" s="7" t="str">
        <f ca="1">IF(Tabela3[[#This Row],[Data da compra]]&gt;0,(TODAY()-Tabela3[[#This Row],[Data da compra]])/365,"")</f>
        <v/>
      </c>
      <c r="P81" s="7" t="str">
        <f>IFERROR(VLOOKUP(Tabela3[[#This Row],[Categoria]],Cadastros!A:C,3,0),"")</f>
        <v/>
      </c>
      <c r="Q81" s="9" t="str">
        <f ca="1">IFERROR(Tabela3[[#This Row],[Vida útil]]-Tabela3[[#This Row],[Idade]],"")</f>
        <v/>
      </c>
      <c r="R81" s="8" t="str">
        <f ca="1">IFERROR(Tabela3[[#This Row],[Valor]]-(Tabela3[[#This Row],[Valor]]*(Tabela3[[#This Row],[Idade]]*VLOOKUP(Tabela3[[#This Row],[Categoria]],Cadastros!A:B,2,0))),"")</f>
        <v/>
      </c>
    </row>
    <row r="82" spans="4:18" x14ac:dyDescent="0.25">
      <c r="D82" s="5"/>
      <c r="N82" s="6" t="str">
        <f>IFERROR(Tabela3[[#This Row],[Última revisão do bem]]+(VLOOKUP(Tabela3[[#This Row],[Categoria]],Cadastros!A:D,4,0)+365),"")</f>
        <v/>
      </c>
      <c r="O82" s="7" t="str">
        <f ca="1">IF(Tabela3[[#This Row],[Data da compra]]&gt;0,(TODAY()-Tabela3[[#This Row],[Data da compra]])/365,"")</f>
        <v/>
      </c>
      <c r="P82" s="7" t="str">
        <f>IFERROR(VLOOKUP(Tabela3[[#This Row],[Categoria]],Cadastros!A:C,3,0),"")</f>
        <v/>
      </c>
      <c r="Q82" s="9" t="str">
        <f ca="1">IFERROR(Tabela3[[#This Row],[Vida útil]]-Tabela3[[#This Row],[Idade]],"")</f>
        <v/>
      </c>
      <c r="R82" s="8" t="str">
        <f ca="1">IFERROR(Tabela3[[#This Row],[Valor]]-(Tabela3[[#This Row],[Valor]]*(Tabela3[[#This Row],[Idade]]*VLOOKUP(Tabela3[[#This Row],[Categoria]],Cadastros!A:B,2,0))),"")</f>
        <v/>
      </c>
    </row>
    <row r="83" spans="4:18" x14ac:dyDescent="0.25">
      <c r="D83" s="5"/>
      <c r="N83" s="6" t="str">
        <f>IFERROR(Tabela3[[#This Row],[Última revisão do bem]]+(VLOOKUP(Tabela3[[#This Row],[Categoria]],Cadastros!A:D,4,0)+365),"")</f>
        <v/>
      </c>
      <c r="O83" s="7" t="str">
        <f ca="1">IF(Tabela3[[#This Row],[Data da compra]]&gt;0,(TODAY()-Tabela3[[#This Row],[Data da compra]])/365,"")</f>
        <v/>
      </c>
      <c r="P83" s="7" t="str">
        <f>IFERROR(VLOOKUP(Tabela3[[#This Row],[Categoria]],Cadastros!A:C,3,0),"")</f>
        <v/>
      </c>
      <c r="Q83" s="9" t="str">
        <f ca="1">IFERROR(Tabela3[[#This Row],[Vida útil]]-Tabela3[[#This Row],[Idade]],"")</f>
        <v/>
      </c>
      <c r="R83" s="8" t="str">
        <f ca="1">IFERROR(Tabela3[[#This Row],[Valor]]-(Tabela3[[#This Row],[Valor]]*(Tabela3[[#This Row],[Idade]]*VLOOKUP(Tabela3[[#This Row],[Categoria]],Cadastros!A:B,2,0))),"")</f>
        <v/>
      </c>
    </row>
    <row r="84" spans="4:18" x14ac:dyDescent="0.25">
      <c r="D84" s="5"/>
      <c r="N84" s="6" t="str">
        <f>IFERROR(Tabela3[[#This Row],[Última revisão do bem]]+(VLOOKUP(Tabela3[[#This Row],[Categoria]],Cadastros!A:D,4,0)+365),"")</f>
        <v/>
      </c>
      <c r="O84" s="7" t="str">
        <f ca="1">IF(Tabela3[[#This Row],[Data da compra]]&gt;0,(TODAY()-Tabela3[[#This Row],[Data da compra]])/365,"")</f>
        <v/>
      </c>
      <c r="P84" s="7" t="str">
        <f>IFERROR(VLOOKUP(Tabela3[[#This Row],[Categoria]],Cadastros!A:C,3,0),"")</f>
        <v/>
      </c>
      <c r="Q84" s="9" t="str">
        <f ca="1">IFERROR(Tabela3[[#This Row],[Vida útil]]-Tabela3[[#This Row],[Idade]],"")</f>
        <v/>
      </c>
      <c r="R84" s="8" t="str">
        <f ca="1">IFERROR(Tabela3[[#This Row],[Valor]]-(Tabela3[[#This Row],[Valor]]*(Tabela3[[#This Row],[Idade]]*VLOOKUP(Tabela3[[#This Row],[Categoria]],Cadastros!A:B,2,0))),"")</f>
        <v/>
      </c>
    </row>
    <row r="85" spans="4:18" x14ac:dyDescent="0.25">
      <c r="D85" s="5"/>
      <c r="N85" s="6" t="str">
        <f>IFERROR(Tabela3[[#This Row],[Última revisão do bem]]+(VLOOKUP(Tabela3[[#This Row],[Categoria]],Cadastros!A:D,4,0)+365),"")</f>
        <v/>
      </c>
      <c r="O85" s="7" t="str">
        <f ca="1">IF(Tabela3[[#This Row],[Data da compra]]&gt;0,(TODAY()-Tabela3[[#This Row],[Data da compra]])/365,"")</f>
        <v/>
      </c>
      <c r="P85" s="7" t="str">
        <f>IFERROR(VLOOKUP(Tabela3[[#This Row],[Categoria]],Cadastros!A:C,3,0),"")</f>
        <v/>
      </c>
      <c r="Q85" s="9" t="str">
        <f ca="1">IFERROR(Tabela3[[#This Row],[Vida útil]]-Tabela3[[#This Row],[Idade]],"")</f>
        <v/>
      </c>
      <c r="R85" s="8" t="str">
        <f ca="1">IFERROR(Tabela3[[#This Row],[Valor]]-(Tabela3[[#This Row],[Valor]]*(Tabela3[[#This Row],[Idade]]*VLOOKUP(Tabela3[[#This Row],[Categoria]],Cadastros!A:B,2,0))),"")</f>
        <v/>
      </c>
    </row>
    <row r="86" spans="4:18" x14ac:dyDescent="0.25">
      <c r="D86" s="5"/>
      <c r="N86" s="6" t="str">
        <f>IFERROR(Tabela3[[#This Row],[Última revisão do bem]]+(VLOOKUP(Tabela3[[#This Row],[Categoria]],Cadastros!A:D,4,0)+365),"")</f>
        <v/>
      </c>
      <c r="O86" s="7" t="str">
        <f ca="1">IF(Tabela3[[#This Row],[Data da compra]]&gt;0,(TODAY()-Tabela3[[#This Row],[Data da compra]])/365,"")</f>
        <v/>
      </c>
      <c r="P86" s="7" t="str">
        <f>IFERROR(VLOOKUP(Tabela3[[#This Row],[Categoria]],Cadastros!A:C,3,0),"")</f>
        <v/>
      </c>
      <c r="Q86" s="9" t="str">
        <f ca="1">IFERROR(Tabela3[[#This Row],[Vida útil]]-Tabela3[[#This Row],[Idade]],"")</f>
        <v/>
      </c>
      <c r="R86" s="8" t="str">
        <f ca="1">IFERROR(Tabela3[[#This Row],[Valor]]-(Tabela3[[#This Row],[Valor]]*(Tabela3[[#This Row],[Idade]]*VLOOKUP(Tabela3[[#This Row],[Categoria]],Cadastros!A:B,2,0))),"")</f>
        <v/>
      </c>
    </row>
    <row r="87" spans="4:18" x14ac:dyDescent="0.25">
      <c r="D87" s="5"/>
      <c r="N87" s="6" t="str">
        <f>IFERROR(Tabela3[[#This Row],[Última revisão do bem]]+(VLOOKUP(Tabela3[[#This Row],[Categoria]],Cadastros!A:D,4,0)+365),"")</f>
        <v/>
      </c>
      <c r="O87" s="7" t="str">
        <f ca="1">IF(Tabela3[[#This Row],[Data da compra]]&gt;0,(TODAY()-Tabela3[[#This Row],[Data da compra]])/365,"")</f>
        <v/>
      </c>
      <c r="P87" s="7" t="str">
        <f>IFERROR(VLOOKUP(Tabela3[[#This Row],[Categoria]],Cadastros!A:C,3,0),"")</f>
        <v/>
      </c>
      <c r="Q87" s="9" t="str">
        <f ca="1">IFERROR(Tabela3[[#This Row],[Vida útil]]-Tabela3[[#This Row],[Idade]],"")</f>
        <v/>
      </c>
      <c r="R87" s="8" t="str">
        <f ca="1">IFERROR(Tabela3[[#This Row],[Valor]]-(Tabela3[[#This Row],[Valor]]*(Tabela3[[#This Row],[Idade]]*VLOOKUP(Tabela3[[#This Row],[Categoria]],Cadastros!A:B,2,0))),"")</f>
        <v/>
      </c>
    </row>
    <row r="88" spans="4:18" x14ac:dyDescent="0.25">
      <c r="D88" s="5"/>
      <c r="N88" s="6" t="str">
        <f>IFERROR(Tabela3[[#This Row],[Última revisão do bem]]+(VLOOKUP(Tabela3[[#This Row],[Categoria]],Cadastros!A:D,4,0)+365),"")</f>
        <v/>
      </c>
      <c r="O88" s="7" t="str">
        <f ca="1">IF(Tabela3[[#This Row],[Data da compra]]&gt;0,(TODAY()-Tabela3[[#This Row],[Data da compra]])/365,"")</f>
        <v/>
      </c>
      <c r="P88" s="7" t="str">
        <f>IFERROR(VLOOKUP(Tabela3[[#This Row],[Categoria]],Cadastros!A:C,3,0),"")</f>
        <v/>
      </c>
      <c r="Q88" s="9" t="str">
        <f ca="1">IFERROR(Tabela3[[#This Row],[Vida útil]]-Tabela3[[#This Row],[Idade]],"")</f>
        <v/>
      </c>
      <c r="R88" s="8" t="str">
        <f ca="1">IFERROR(Tabela3[[#This Row],[Valor]]-(Tabela3[[#This Row],[Valor]]*(Tabela3[[#This Row],[Idade]]*VLOOKUP(Tabela3[[#This Row],[Categoria]],Cadastros!A:B,2,0))),"")</f>
        <v/>
      </c>
    </row>
    <row r="89" spans="4:18" x14ac:dyDescent="0.25">
      <c r="D89" s="5"/>
      <c r="N89" s="6" t="str">
        <f>IFERROR(Tabela3[[#This Row],[Última revisão do bem]]+(VLOOKUP(Tabela3[[#This Row],[Categoria]],Cadastros!A:D,4,0)+365),"")</f>
        <v/>
      </c>
      <c r="O89" s="7" t="str">
        <f ca="1">IF(Tabela3[[#This Row],[Data da compra]]&gt;0,(TODAY()-Tabela3[[#This Row],[Data da compra]])/365,"")</f>
        <v/>
      </c>
      <c r="P89" s="7" t="str">
        <f>IFERROR(VLOOKUP(Tabela3[[#This Row],[Categoria]],Cadastros!A:C,3,0),"")</f>
        <v/>
      </c>
      <c r="Q89" s="9" t="str">
        <f ca="1">IFERROR(Tabela3[[#This Row],[Vida útil]]-Tabela3[[#This Row],[Idade]],"")</f>
        <v/>
      </c>
      <c r="R89" s="8" t="str">
        <f ca="1">IFERROR(Tabela3[[#This Row],[Valor]]-(Tabela3[[#This Row],[Valor]]*(Tabela3[[#This Row],[Idade]]*VLOOKUP(Tabela3[[#This Row],[Categoria]],Cadastros!A:B,2,0))),"")</f>
        <v/>
      </c>
    </row>
    <row r="90" spans="4:18" x14ac:dyDescent="0.25">
      <c r="D90" s="5"/>
      <c r="N90" s="6" t="str">
        <f>IFERROR(Tabela3[[#This Row],[Última revisão do bem]]+(VLOOKUP(Tabela3[[#This Row],[Categoria]],Cadastros!A:D,4,0)+365),"")</f>
        <v/>
      </c>
      <c r="O90" s="7" t="str">
        <f ca="1">IF(Tabela3[[#This Row],[Data da compra]]&gt;0,(TODAY()-Tabela3[[#This Row],[Data da compra]])/365,"")</f>
        <v/>
      </c>
      <c r="P90" s="7" t="str">
        <f>IFERROR(VLOOKUP(Tabela3[[#This Row],[Categoria]],Cadastros!A:C,3,0),"")</f>
        <v/>
      </c>
      <c r="Q90" s="9" t="str">
        <f ca="1">IFERROR(Tabela3[[#This Row],[Vida útil]]-Tabela3[[#This Row],[Idade]],"")</f>
        <v/>
      </c>
      <c r="R90" s="8" t="str">
        <f ca="1">IFERROR(Tabela3[[#This Row],[Valor]]-(Tabela3[[#This Row],[Valor]]*(Tabela3[[#This Row],[Idade]]*VLOOKUP(Tabela3[[#This Row],[Categoria]],Cadastros!A:B,2,0))),"")</f>
        <v/>
      </c>
    </row>
    <row r="91" spans="4:18" x14ac:dyDescent="0.25">
      <c r="D91" s="5"/>
      <c r="N91" s="6" t="str">
        <f>IFERROR(Tabela3[[#This Row],[Última revisão do bem]]+(VLOOKUP(Tabela3[[#This Row],[Categoria]],Cadastros!A:D,4,0)+365),"")</f>
        <v/>
      </c>
      <c r="O91" s="7" t="str">
        <f ca="1">IF(Tabela3[[#This Row],[Data da compra]]&gt;0,(TODAY()-Tabela3[[#This Row],[Data da compra]])/365,"")</f>
        <v/>
      </c>
      <c r="P91" s="7" t="str">
        <f>IFERROR(VLOOKUP(Tabela3[[#This Row],[Categoria]],Cadastros!A:C,3,0),"")</f>
        <v/>
      </c>
      <c r="Q91" s="9" t="str">
        <f ca="1">IFERROR(Tabela3[[#This Row],[Vida útil]]-Tabela3[[#This Row],[Idade]],"")</f>
        <v/>
      </c>
      <c r="R91" s="8" t="str">
        <f ca="1">IFERROR(Tabela3[[#This Row],[Valor]]-(Tabela3[[#This Row],[Valor]]*(Tabela3[[#This Row],[Idade]]*VLOOKUP(Tabela3[[#This Row],[Categoria]],Cadastros!A:B,2,0))),"")</f>
        <v/>
      </c>
    </row>
    <row r="92" spans="4:18" x14ac:dyDescent="0.25">
      <c r="D92" s="5"/>
      <c r="N92" s="6" t="str">
        <f>IFERROR(Tabela3[[#This Row],[Última revisão do bem]]+(VLOOKUP(Tabela3[[#This Row],[Categoria]],Cadastros!A:D,4,0)+365),"")</f>
        <v/>
      </c>
      <c r="O92" s="7" t="str">
        <f ca="1">IF(Tabela3[[#This Row],[Data da compra]]&gt;0,(TODAY()-Tabela3[[#This Row],[Data da compra]])/365,"")</f>
        <v/>
      </c>
      <c r="P92" s="7" t="str">
        <f>IFERROR(VLOOKUP(Tabela3[[#This Row],[Categoria]],Cadastros!A:C,3,0),"")</f>
        <v/>
      </c>
      <c r="Q92" s="9" t="str">
        <f ca="1">IFERROR(Tabela3[[#This Row],[Vida útil]]-Tabela3[[#This Row],[Idade]],"")</f>
        <v/>
      </c>
      <c r="R92" s="8" t="str">
        <f ca="1">IFERROR(Tabela3[[#This Row],[Valor]]-(Tabela3[[#This Row],[Valor]]*(Tabela3[[#This Row],[Idade]]*VLOOKUP(Tabela3[[#This Row],[Categoria]],Cadastros!A:B,2,0))),"")</f>
        <v/>
      </c>
    </row>
    <row r="93" spans="4:18" x14ac:dyDescent="0.25">
      <c r="D93" s="5"/>
      <c r="N93" s="6" t="str">
        <f>IFERROR(Tabela3[[#This Row],[Última revisão do bem]]+(VLOOKUP(Tabela3[[#This Row],[Categoria]],Cadastros!A:D,4,0)+365),"")</f>
        <v/>
      </c>
      <c r="O93" s="7" t="str">
        <f ca="1">IF(Tabela3[[#This Row],[Data da compra]]&gt;0,(TODAY()-Tabela3[[#This Row],[Data da compra]])/365,"")</f>
        <v/>
      </c>
      <c r="P93" s="7" t="str">
        <f>IFERROR(VLOOKUP(Tabela3[[#This Row],[Categoria]],Cadastros!A:C,3,0),"")</f>
        <v/>
      </c>
      <c r="Q93" s="9" t="str">
        <f ca="1">IFERROR(Tabela3[[#This Row],[Vida útil]]-Tabela3[[#This Row],[Idade]],"")</f>
        <v/>
      </c>
      <c r="R93" s="8" t="str">
        <f ca="1">IFERROR(Tabela3[[#This Row],[Valor]]-(Tabela3[[#This Row],[Valor]]*(Tabela3[[#This Row],[Idade]]*VLOOKUP(Tabela3[[#This Row],[Categoria]],Cadastros!A:B,2,0))),"")</f>
        <v/>
      </c>
    </row>
    <row r="94" spans="4:18" x14ac:dyDescent="0.25">
      <c r="D94" s="5"/>
      <c r="N94" s="6" t="str">
        <f>IFERROR(Tabela3[[#This Row],[Última revisão do bem]]+(VLOOKUP(Tabela3[[#This Row],[Categoria]],Cadastros!A:D,4,0)+365),"")</f>
        <v/>
      </c>
      <c r="O94" s="7" t="str">
        <f ca="1">IF(Tabela3[[#This Row],[Data da compra]]&gt;0,(TODAY()-Tabela3[[#This Row],[Data da compra]])/365,"")</f>
        <v/>
      </c>
      <c r="P94" s="7" t="str">
        <f>IFERROR(VLOOKUP(Tabela3[[#This Row],[Categoria]],Cadastros!A:C,3,0),"")</f>
        <v/>
      </c>
      <c r="Q94" s="9" t="str">
        <f ca="1">IFERROR(Tabela3[[#This Row],[Vida útil]]-Tabela3[[#This Row],[Idade]],"")</f>
        <v/>
      </c>
      <c r="R94" s="8" t="str">
        <f ca="1">IFERROR(Tabela3[[#This Row],[Valor]]-(Tabela3[[#This Row],[Valor]]*(Tabela3[[#This Row],[Idade]]*VLOOKUP(Tabela3[[#This Row],[Categoria]],Cadastros!A:B,2,0))),"")</f>
        <v/>
      </c>
    </row>
    <row r="95" spans="4:18" x14ac:dyDescent="0.25">
      <c r="D95" s="5"/>
      <c r="N95" s="6" t="str">
        <f>IFERROR(Tabela3[[#This Row],[Última revisão do bem]]+(VLOOKUP(Tabela3[[#This Row],[Categoria]],Cadastros!A:D,4,0)+365),"")</f>
        <v/>
      </c>
      <c r="O95" s="7" t="str">
        <f ca="1">IF(Tabela3[[#This Row],[Data da compra]]&gt;0,(TODAY()-Tabela3[[#This Row],[Data da compra]])/365,"")</f>
        <v/>
      </c>
      <c r="P95" s="7" t="str">
        <f>IFERROR(VLOOKUP(Tabela3[[#This Row],[Categoria]],Cadastros!A:C,3,0),"")</f>
        <v/>
      </c>
      <c r="Q95" s="9" t="str">
        <f ca="1">IFERROR(Tabela3[[#This Row],[Vida útil]]-Tabela3[[#This Row],[Idade]],"")</f>
        <v/>
      </c>
      <c r="R95" s="8" t="str">
        <f ca="1">IFERROR(Tabela3[[#This Row],[Valor]]-(Tabela3[[#This Row],[Valor]]*(Tabela3[[#This Row],[Idade]]*VLOOKUP(Tabela3[[#This Row],[Categoria]],Cadastros!A:B,2,0))),"")</f>
        <v/>
      </c>
    </row>
    <row r="96" spans="4:18" x14ac:dyDescent="0.25">
      <c r="D96" s="22"/>
      <c r="N96" s="6" t="str">
        <f>IFERROR(Tabela3[[#This Row],[Última revisão do bem]]+(VLOOKUP(Tabela3[[#This Row],[Categoria]],Cadastros!A:D,4,0)+365),"")</f>
        <v/>
      </c>
      <c r="O96" s="7" t="str">
        <f ca="1">IF(Tabela3[[#This Row],[Data da compra]]&gt;0,(TODAY()-Tabela3[[#This Row],[Data da compra]])/365,"")</f>
        <v/>
      </c>
      <c r="P96" s="7" t="str">
        <f>IFERROR(VLOOKUP(Tabela3[[#This Row],[Categoria]],Cadastros!A:C,3,0),"")</f>
        <v/>
      </c>
      <c r="Q96" s="9" t="str">
        <f ca="1">IFERROR(Tabela3[[#This Row],[Vida útil]]-Tabela3[[#This Row],[Idade]],"")</f>
        <v/>
      </c>
      <c r="R96" s="23" t="str">
        <f ca="1">IFERROR(Tabela3[[#This Row],[Valor]]-(Tabela3[[#This Row],[Valor]]*(Tabela3[[#This Row],[Idade]]*VLOOKUP(Tabela3[[#This Row],[Categoria]],Cadastros!A:B,2,0))),"")</f>
        <v/>
      </c>
    </row>
    <row r="97" spans="4:18" x14ac:dyDescent="0.25">
      <c r="D97" s="5"/>
      <c r="N97" s="6" t="str">
        <f>IFERROR(Tabela3[[#This Row],[Última revisão do bem]]+(VLOOKUP(Tabela3[[#This Row],[Categoria]],Cadastros!A:D,4,0)+365),"")</f>
        <v/>
      </c>
      <c r="O97" s="7" t="str">
        <f ca="1">IF(Tabela3[[#This Row],[Data da compra]]&gt;0,(TODAY()-Tabela3[[#This Row],[Data da compra]])/365,"")</f>
        <v/>
      </c>
      <c r="P97" s="7" t="str">
        <f>IFERROR(VLOOKUP(Tabela3[[#This Row],[Categoria]],Cadastros!A:C,3,0),"")</f>
        <v/>
      </c>
      <c r="Q97" s="9" t="str">
        <f ca="1">IFERROR(Tabela3[[#This Row],[Vida útil]]-Tabela3[[#This Row],[Idade]],"")</f>
        <v/>
      </c>
      <c r="R97" s="8" t="str">
        <f ca="1">IFERROR(Tabela3[[#This Row],[Valor]]-(Tabela3[[#This Row],[Valor]]*(Tabela3[[#This Row],[Idade]]*VLOOKUP(Tabela3[[#This Row],[Categoria]],Cadastros!A:B,2,0))),"")</f>
        <v/>
      </c>
    </row>
    <row r="98" spans="4:18" x14ac:dyDescent="0.25">
      <c r="D98" s="5"/>
      <c r="N98" s="6" t="str">
        <f>IFERROR(Tabela3[[#This Row],[Última revisão do bem]]+(VLOOKUP(Tabela3[[#This Row],[Categoria]],Cadastros!A:D,4,0)+365),"")</f>
        <v/>
      </c>
      <c r="O98" s="7" t="str">
        <f ca="1">IF(Tabela3[[#This Row],[Data da compra]]&gt;0,(TODAY()-Tabela3[[#This Row],[Data da compra]])/365,"")</f>
        <v/>
      </c>
      <c r="P98" s="7" t="str">
        <f>IFERROR(VLOOKUP(Tabela3[[#This Row],[Categoria]],Cadastros!A:C,3,0),"")</f>
        <v/>
      </c>
      <c r="Q98" s="9" t="str">
        <f ca="1">IFERROR(Tabela3[[#This Row],[Vida útil]]-Tabela3[[#This Row],[Idade]],"")</f>
        <v/>
      </c>
      <c r="R98" s="8" t="str">
        <f ca="1">IFERROR(Tabela3[[#This Row],[Valor]]-(Tabela3[[#This Row],[Valor]]*(Tabela3[[#This Row],[Idade]]*VLOOKUP(Tabela3[[#This Row],[Categoria]],Cadastros!A:B,2,0))),"")</f>
        <v/>
      </c>
    </row>
    <row r="99" spans="4:18" x14ac:dyDescent="0.25">
      <c r="D99" s="5"/>
      <c r="N99" s="6" t="str">
        <f>IFERROR(Tabela3[[#This Row],[Última revisão do bem]]+(VLOOKUP(Tabela3[[#This Row],[Categoria]],Cadastros!A:D,4,0)+365),"")</f>
        <v/>
      </c>
      <c r="O99" s="7" t="str">
        <f ca="1">IF(Tabela3[[#This Row],[Data da compra]]&gt;0,(TODAY()-Tabela3[[#This Row],[Data da compra]])/365,"")</f>
        <v/>
      </c>
      <c r="P99" s="7" t="str">
        <f>IFERROR(VLOOKUP(Tabela3[[#This Row],[Categoria]],Cadastros!A:C,3,0),"")</f>
        <v/>
      </c>
      <c r="Q99" s="9" t="str">
        <f ca="1">IFERROR(Tabela3[[#This Row],[Vida útil]]-Tabela3[[#This Row],[Idade]],"")</f>
        <v/>
      </c>
      <c r="R99" s="8" t="str">
        <f ca="1">IFERROR(Tabela3[[#This Row],[Valor]]-(Tabela3[[#This Row],[Valor]]*(Tabela3[[#This Row],[Idade]]*VLOOKUP(Tabela3[[#This Row],[Categoria]],Cadastros!A:B,2,0))),"")</f>
        <v/>
      </c>
    </row>
    <row r="100" spans="4:18" x14ac:dyDescent="0.25">
      <c r="D100" s="5"/>
      <c r="N100" s="6" t="str">
        <f>IFERROR(Tabela3[[#This Row],[Última revisão do bem]]+(VLOOKUP(Tabela3[[#This Row],[Categoria]],Cadastros!A:D,4,0)+365),"")</f>
        <v/>
      </c>
      <c r="O100" s="7" t="str">
        <f ca="1">IF(Tabela3[[#This Row],[Data da compra]]&gt;0,(TODAY()-Tabela3[[#This Row],[Data da compra]])/365,"")</f>
        <v/>
      </c>
      <c r="P100" s="7" t="str">
        <f>IFERROR(VLOOKUP(Tabela3[[#This Row],[Categoria]],Cadastros!A:C,3,0),"")</f>
        <v/>
      </c>
      <c r="Q100" s="9" t="str">
        <f ca="1">IFERROR(Tabela3[[#This Row],[Vida útil]]-Tabela3[[#This Row],[Idade]],"")</f>
        <v/>
      </c>
      <c r="R100" s="8" t="str">
        <f ca="1">IFERROR(Tabela3[[#This Row],[Valor]]-(Tabela3[[#This Row],[Valor]]*(Tabela3[[#This Row],[Idade]]*VLOOKUP(Tabela3[[#This Row],[Categoria]],Cadastros!A:B,2,0))),"")</f>
        <v/>
      </c>
    </row>
    <row r="101" spans="4:18" x14ac:dyDescent="0.25">
      <c r="D101" s="5"/>
      <c r="N101" s="6" t="str">
        <f>IFERROR(Tabela3[[#This Row],[Última revisão do bem]]+(VLOOKUP(Tabela3[[#This Row],[Categoria]],Cadastros!A:D,4,0)+365),"")</f>
        <v/>
      </c>
      <c r="O101" s="7" t="str">
        <f ca="1">IF(Tabela3[[#This Row],[Data da compra]]&gt;0,(TODAY()-Tabela3[[#This Row],[Data da compra]])/365,"")</f>
        <v/>
      </c>
      <c r="P101" s="7" t="str">
        <f>IFERROR(VLOOKUP(Tabela3[[#This Row],[Categoria]],Cadastros!A:C,3,0),"")</f>
        <v/>
      </c>
      <c r="Q101" s="9" t="str">
        <f ca="1">IFERROR(Tabela3[[#This Row],[Vida útil]]-Tabela3[[#This Row],[Idade]],"")</f>
        <v/>
      </c>
      <c r="R101" s="8" t="str">
        <f ca="1">IFERROR(Tabela3[[#This Row],[Valor]]-(Tabela3[[#This Row],[Valor]]*(Tabela3[[#This Row],[Idade]]*VLOOKUP(Tabela3[[#This Row],[Categoria]],Cadastros!A:B,2,0))),"")</f>
        <v/>
      </c>
    </row>
    <row r="102" spans="4:18" x14ac:dyDescent="0.25">
      <c r="D102" s="5"/>
      <c r="N102" s="6" t="str">
        <f>IFERROR(Tabela3[[#This Row],[Última revisão do bem]]+(VLOOKUP(Tabela3[[#This Row],[Categoria]],Cadastros!A:D,4,0)+365),"")</f>
        <v/>
      </c>
      <c r="O102" s="7" t="str">
        <f ca="1">IF(Tabela3[[#This Row],[Data da compra]]&gt;0,(TODAY()-Tabela3[[#This Row],[Data da compra]])/365,"")</f>
        <v/>
      </c>
      <c r="P102" s="7" t="str">
        <f>IFERROR(VLOOKUP(Tabela3[[#This Row],[Categoria]],Cadastros!A:C,3,0),"")</f>
        <v/>
      </c>
      <c r="Q102" s="9" t="str">
        <f ca="1">IFERROR(Tabela3[[#This Row],[Vida útil]]-Tabela3[[#This Row],[Idade]],"")</f>
        <v/>
      </c>
      <c r="R102" s="8" t="str">
        <f ca="1">IFERROR(Tabela3[[#This Row],[Valor]]-(Tabela3[[#This Row],[Valor]]*(Tabela3[[#This Row],[Idade]]*VLOOKUP(Tabela3[[#This Row],[Categoria]],Cadastros!A:B,2,0))),"")</f>
        <v/>
      </c>
    </row>
    <row r="103" spans="4:18" x14ac:dyDescent="0.25">
      <c r="D103" s="5"/>
      <c r="N103" s="6" t="str">
        <f>IFERROR(Tabela3[[#This Row],[Última revisão do bem]]+(VLOOKUP(Tabela3[[#This Row],[Categoria]],Cadastros!A:D,4,0)+365),"")</f>
        <v/>
      </c>
      <c r="O103" s="7" t="str">
        <f ca="1">IF(Tabela3[[#This Row],[Data da compra]]&gt;0,(TODAY()-Tabela3[[#This Row],[Data da compra]])/365,"")</f>
        <v/>
      </c>
      <c r="P103" s="7" t="str">
        <f>IFERROR(VLOOKUP(Tabela3[[#This Row],[Categoria]],Cadastros!A:C,3,0),"")</f>
        <v/>
      </c>
      <c r="Q103" s="9" t="str">
        <f ca="1">IFERROR(Tabela3[[#This Row],[Vida útil]]-Tabela3[[#This Row],[Idade]],"")</f>
        <v/>
      </c>
      <c r="R103" s="8" t="str">
        <f ca="1">IFERROR(Tabela3[[#This Row],[Valor]]-(Tabela3[[#This Row],[Valor]]*(Tabela3[[#This Row],[Idade]]*VLOOKUP(Tabela3[[#This Row],[Categoria]],Cadastros!A:B,2,0))),"")</f>
        <v/>
      </c>
    </row>
    <row r="104" spans="4:18" x14ac:dyDescent="0.25">
      <c r="D104" s="5"/>
      <c r="N104" s="6" t="str">
        <f>IFERROR(Tabela3[[#This Row],[Última revisão do bem]]+(VLOOKUP(Tabela3[[#This Row],[Categoria]],Cadastros!A:D,4,0)+365),"")</f>
        <v/>
      </c>
      <c r="O104" s="7" t="str">
        <f ca="1">IF(Tabela3[[#This Row],[Data da compra]]&gt;0,(TODAY()-Tabela3[[#This Row],[Data da compra]])/365,"")</f>
        <v/>
      </c>
      <c r="P104" s="7" t="str">
        <f>IFERROR(VLOOKUP(Tabela3[[#This Row],[Categoria]],Cadastros!A:C,3,0),"")</f>
        <v/>
      </c>
      <c r="Q104" s="9" t="str">
        <f ca="1">IFERROR(Tabela3[[#This Row],[Vida útil]]-Tabela3[[#This Row],[Idade]],"")</f>
        <v/>
      </c>
      <c r="R104" s="8" t="str">
        <f ca="1">IFERROR(Tabela3[[#This Row],[Valor]]-(Tabela3[[#This Row],[Valor]]*(Tabela3[[#This Row],[Idade]]*VLOOKUP(Tabela3[[#This Row],[Categoria]],Cadastros!A:B,2,0))),"")</f>
        <v/>
      </c>
    </row>
    <row r="105" spans="4:18" x14ac:dyDescent="0.25">
      <c r="D105" s="5"/>
      <c r="N105" s="6" t="str">
        <f>IFERROR(Tabela3[[#This Row],[Última revisão do bem]]+(VLOOKUP(Tabela3[[#This Row],[Categoria]],Cadastros!A:D,4,0)+365),"")</f>
        <v/>
      </c>
      <c r="O105" s="7" t="str">
        <f ca="1">IF(Tabela3[[#This Row],[Data da compra]]&gt;0,(TODAY()-Tabela3[[#This Row],[Data da compra]])/365,"")</f>
        <v/>
      </c>
      <c r="P105" s="7" t="str">
        <f>IFERROR(VLOOKUP(Tabela3[[#This Row],[Categoria]],Cadastros!A:C,3,0),"")</f>
        <v/>
      </c>
      <c r="Q105" s="9" t="str">
        <f ca="1">IFERROR(Tabela3[[#This Row],[Vida útil]]-Tabela3[[#This Row],[Idade]],"")</f>
        <v/>
      </c>
      <c r="R105" s="8" t="str">
        <f ca="1">IFERROR(Tabela3[[#This Row],[Valor]]-(Tabela3[[#This Row],[Valor]]*(Tabela3[[#This Row],[Idade]]*VLOOKUP(Tabela3[[#This Row],[Categoria]],Cadastros!A:B,2,0))),"")</f>
        <v/>
      </c>
    </row>
    <row r="106" spans="4:18" x14ac:dyDescent="0.25">
      <c r="D106" s="5"/>
      <c r="N106" s="6" t="str">
        <f>IFERROR(Tabela3[[#This Row],[Última revisão do bem]]+(VLOOKUP(Tabela3[[#This Row],[Categoria]],Cadastros!A:D,4,0)+365),"")</f>
        <v/>
      </c>
      <c r="O106" s="7" t="str">
        <f ca="1">IF(Tabela3[[#This Row],[Data da compra]]&gt;0,(TODAY()-Tabela3[[#This Row],[Data da compra]])/365,"")</f>
        <v/>
      </c>
      <c r="P106" s="7" t="str">
        <f>IFERROR(VLOOKUP(Tabela3[[#This Row],[Categoria]],Cadastros!A:C,3,0),"")</f>
        <v/>
      </c>
      <c r="Q106" s="9" t="str">
        <f ca="1">IFERROR(Tabela3[[#This Row],[Vida útil]]-Tabela3[[#This Row],[Idade]],"")</f>
        <v/>
      </c>
      <c r="R106" s="8" t="str">
        <f ca="1">IFERROR(Tabela3[[#This Row],[Valor]]-(Tabela3[[#This Row],[Valor]]*(Tabela3[[#This Row],[Idade]]*VLOOKUP(Tabela3[[#This Row],[Categoria]],Cadastros!A:B,2,0))),"")</f>
        <v/>
      </c>
    </row>
    <row r="107" spans="4:18" x14ac:dyDescent="0.25">
      <c r="D107" s="5"/>
      <c r="N107" s="6" t="str">
        <f>IFERROR(Tabela3[[#This Row],[Última revisão do bem]]+(VLOOKUP(Tabela3[[#This Row],[Categoria]],Cadastros!A:D,4,0)+365),"")</f>
        <v/>
      </c>
      <c r="O107" s="7" t="str">
        <f ca="1">IF(Tabela3[[#This Row],[Data da compra]]&gt;0,(TODAY()-Tabela3[[#This Row],[Data da compra]])/365,"")</f>
        <v/>
      </c>
      <c r="P107" s="7" t="str">
        <f>IFERROR(VLOOKUP(Tabela3[[#This Row],[Categoria]],Cadastros!A:C,3,0),"")</f>
        <v/>
      </c>
      <c r="Q107" s="9" t="str">
        <f ca="1">IFERROR(Tabela3[[#This Row],[Vida útil]]-Tabela3[[#This Row],[Idade]],"")</f>
        <v/>
      </c>
      <c r="R107" s="8" t="str">
        <f ca="1">IFERROR(Tabela3[[#This Row],[Valor]]-(Tabela3[[#This Row],[Valor]]*(Tabela3[[#This Row],[Idade]]*VLOOKUP(Tabela3[[#This Row],[Categoria]],Cadastros!A:B,2,0))),"")</f>
        <v/>
      </c>
    </row>
    <row r="108" spans="4:18" x14ac:dyDescent="0.25">
      <c r="D108" s="5"/>
      <c r="N108" s="6" t="str">
        <f>IFERROR(Tabela3[[#This Row],[Última revisão do bem]]+(VLOOKUP(Tabela3[[#This Row],[Categoria]],Cadastros!A:D,4,0)+365),"")</f>
        <v/>
      </c>
      <c r="O108" s="7" t="str">
        <f ca="1">IF(Tabela3[[#This Row],[Data da compra]]&gt;0,(TODAY()-Tabela3[[#This Row],[Data da compra]])/365,"")</f>
        <v/>
      </c>
      <c r="P108" s="7" t="str">
        <f>IFERROR(VLOOKUP(Tabela3[[#This Row],[Categoria]],Cadastros!A:C,3,0),"")</f>
        <v/>
      </c>
      <c r="Q108" s="9" t="str">
        <f ca="1">IFERROR(Tabela3[[#This Row],[Vida útil]]-Tabela3[[#This Row],[Idade]],"")</f>
        <v/>
      </c>
      <c r="R108" s="8" t="str">
        <f ca="1">IFERROR(Tabela3[[#This Row],[Valor]]-(Tabela3[[#This Row],[Valor]]*(Tabela3[[#This Row],[Idade]]*VLOOKUP(Tabela3[[#This Row],[Categoria]],Cadastros!A:B,2,0))),"")</f>
        <v/>
      </c>
    </row>
    <row r="109" spans="4:18" x14ac:dyDescent="0.25">
      <c r="D109" s="5"/>
      <c r="N109" s="6" t="str">
        <f>IFERROR(Tabela3[[#This Row],[Última revisão do bem]]+(VLOOKUP(Tabela3[[#This Row],[Categoria]],Cadastros!A:D,4,0)+365),"")</f>
        <v/>
      </c>
      <c r="O109" s="7" t="str">
        <f ca="1">IF(Tabela3[[#This Row],[Data da compra]]&gt;0,(TODAY()-Tabela3[[#This Row],[Data da compra]])/365,"")</f>
        <v/>
      </c>
      <c r="P109" s="7" t="str">
        <f>IFERROR(VLOOKUP(Tabela3[[#This Row],[Categoria]],Cadastros!A:C,3,0),"")</f>
        <v/>
      </c>
      <c r="Q109" s="9" t="str">
        <f ca="1">IFERROR(Tabela3[[#This Row],[Vida útil]]-Tabela3[[#This Row],[Idade]],"")</f>
        <v/>
      </c>
      <c r="R109" s="8" t="str">
        <f ca="1">IFERROR(Tabela3[[#This Row],[Valor]]-(Tabela3[[#This Row],[Valor]]*(Tabela3[[#This Row],[Idade]]*VLOOKUP(Tabela3[[#This Row],[Categoria]],Cadastros!A:B,2,0))),"")</f>
        <v/>
      </c>
    </row>
    <row r="110" spans="4:18" x14ac:dyDescent="0.25">
      <c r="D110" s="5"/>
      <c r="N110" s="6" t="str">
        <f>IFERROR(Tabela3[[#This Row],[Última revisão do bem]]+(VLOOKUP(Tabela3[[#This Row],[Categoria]],Cadastros!A:D,4,0)+365),"")</f>
        <v/>
      </c>
      <c r="O110" s="7" t="str">
        <f ca="1">IF(Tabela3[[#This Row],[Data da compra]]&gt;0,(TODAY()-Tabela3[[#This Row],[Data da compra]])/365,"")</f>
        <v/>
      </c>
      <c r="P110" s="7" t="str">
        <f>IFERROR(VLOOKUP(Tabela3[[#This Row],[Categoria]],Cadastros!A:C,3,0),"")</f>
        <v/>
      </c>
      <c r="Q110" s="9" t="str">
        <f ca="1">IFERROR(Tabela3[[#This Row],[Vida útil]]-Tabela3[[#This Row],[Idade]],"")</f>
        <v/>
      </c>
      <c r="R110" s="8" t="str">
        <f ca="1">IFERROR(Tabela3[[#This Row],[Valor]]-(Tabela3[[#This Row],[Valor]]*(Tabela3[[#This Row],[Idade]]*VLOOKUP(Tabela3[[#This Row],[Categoria]],Cadastros!A:B,2,0))),"")</f>
        <v/>
      </c>
    </row>
    <row r="111" spans="4:18" x14ac:dyDescent="0.25">
      <c r="D111" s="5"/>
      <c r="N111" s="6" t="str">
        <f>IFERROR(Tabela3[[#This Row],[Última revisão do bem]]+(VLOOKUP(Tabela3[[#This Row],[Categoria]],Cadastros!A:D,4,0)+365),"")</f>
        <v/>
      </c>
      <c r="O111" s="7" t="str">
        <f ca="1">IF(Tabela3[[#This Row],[Data da compra]]&gt;0,(TODAY()-Tabela3[[#This Row],[Data da compra]])/365,"")</f>
        <v/>
      </c>
      <c r="P111" s="7" t="str">
        <f>IFERROR(VLOOKUP(Tabela3[[#This Row],[Categoria]],Cadastros!A:C,3,0),"")</f>
        <v/>
      </c>
      <c r="Q111" s="9" t="str">
        <f ca="1">IFERROR(Tabela3[[#This Row],[Vida útil]]-Tabela3[[#This Row],[Idade]],"")</f>
        <v/>
      </c>
      <c r="R111" s="8" t="str">
        <f ca="1">IFERROR(Tabela3[[#This Row],[Valor]]-(Tabela3[[#This Row],[Valor]]*(Tabela3[[#This Row],[Idade]]*VLOOKUP(Tabela3[[#This Row],[Categoria]],Cadastros!A:B,2,0))),"")</f>
        <v/>
      </c>
    </row>
    <row r="112" spans="4:18" x14ac:dyDescent="0.25">
      <c r="D112" s="5"/>
      <c r="N112" s="6" t="str">
        <f>IFERROR(Tabela3[[#This Row],[Última revisão do bem]]+(VLOOKUP(Tabela3[[#This Row],[Categoria]],Cadastros!A:D,4,0)+365),"")</f>
        <v/>
      </c>
      <c r="O112" s="7" t="str">
        <f ca="1">IF(Tabela3[[#This Row],[Data da compra]]&gt;0,(TODAY()-Tabela3[[#This Row],[Data da compra]])/365,"")</f>
        <v/>
      </c>
      <c r="P112" s="7" t="str">
        <f>IFERROR(VLOOKUP(Tabela3[[#This Row],[Categoria]],Cadastros!A:C,3,0),"")</f>
        <v/>
      </c>
      <c r="Q112" s="9" t="str">
        <f ca="1">IFERROR(Tabela3[[#This Row],[Vida útil]]-Tabela3[[#This Row],[Idade]],"")</f>
        <v/>
      </c>
      <c r="R112" s="8" t="str">
        <f ca="1">IFERROR(Tabela3[[#This Row],[Valor]]-(Tabela3[[#This Row],[Valor]]*(Tabela3[[#This Row],[Idade]]*VLOOKUP(Tabela3[[#This Row],[Categoria]],Cadastros!A:B,2,0))),"")</f>
        <v/>
      </c>
    </row>
    <row r="113" spans="4:18" x14ac:dyDescent="0.25">
      <c r="D113" s="5"/>
      <c r="N113" s="6" t="str">
        <f>IFERROR(Tabela3[[#This Row],[Última revisão do bem]]+(VLOOKUP(Tabela3[[#This Row],[Categoria]],Cadastros!A:D,4,0)+365),"")</f>
        <v/>
      </c>
      <c r="O113" s="7" t="str">
        <f ca="1">IF(Tabela3[[#This Row],[Data da compra]]&gt;0,(TODAY()-Tabela3[[#This Row],[Data da compra]])/365,"")</f>
        <v/>
      </c>
      <c r="P113" s="7" t="str">
        <f>IFERROR(VLOOKUP(Tabela3[[#This Row],[Categoria]],Cadastros!A:C,3,0),"")</f>
        <v/>
      </c>
      <c r="Q113" s="9" t="str">
        <f ca="1">IFERROR(Tabela3[[#This Row],[Vida útil]]-Tabela3[[#This Row],[Idade]],"")</f>
        <v/>
      </c>
      <c r="R113" s="8" t="str">
        <f ca="1">IFERROR(Tabela3[[#This Row],[Valor]]-(Tabela3[[#This Row],[Valor]]*(Tabela3[[#This Row],[Idade]]*VLOOKUP(Tabela3[[#This Row],[Categoria]],Cadastros!A:B,2,0))),"")</f>
        <v/>
      </c>
    </row>
    <row r="114" spans="4:18" x14ac:dyDescent="0.25">
      <c r="D114" s="22"/>
      <c r="N114" s="6" t="str">
        <f>IFERROR(Tabela3[[#This Row],[Última revisão do bem]]+(VLOOKUP(Tabela3[[#This Row],[Categoria]],Cadastros!A:D,4,0)+365),"")</f>
        <v/>
      </c>
      <c r="O114" s="7" t="str">
        <f ca="1">IF(Tabela3[[#This Row],[Data da compra]]&gt;0,(TODAY()-Tabela3[[#This Row],[Data da compra]])/365,"")</f>
        <v/>
      </c>
      <c r="P114" s="7" t="str">
        <f>IFERROR(VLOOKUP(Tabela3[[#This Row],[Categoria]],Cadastros!A:C,3,0),"")</f>
        <v/>
      </c>
      <c r="Q114" s="9" t="str">
        <f ca="1">IFERROR(Tabela3[[#This Row],[Vida útil]]-Tabela3[[#This Row],[Idade]],"")</f>
        <v/>
      </c>
      <c r="R114" s="23" t="str">
        <f ca="1">IFERROR(Tabela3[[#This Row],[Valor]]-(Tabela3[[#This Row],[Valor]]*(Tabela3[[#This Row],[Idade]]*VLOOKUP(Tabela3[[#This Row],[Categoria]],Cadastros!A:B,2,0))),"")</f>
        <v/>
      </c>
    </row>
    <row r="115" spans="4:18" x14ac:dyDescent="0.25">
      <c r="D115" s="5"/>
      <c r="N115" s="6" t="str">
        <f>IFERROR(Tabela3[[#This Row],[Última revisão do bem]]+(VLOOKUP(Tabela3[[#This Row],[Categoria]],Cadastros!A:D,4,0)+365),"")</f>
        <v/>
      </c>
      <c r="O115" s="7" t="str">
        <f ca="1">IF(Tabela3[[#This Row],[Data da compra]]&gt;0,(TODAY()-Tabela3[[#This Row],[Data da compra]])/365,"")</f>
        <v/>
      </c>
      <c r="P115" s="7" t="str">
        <f>IFERROR(VLOOKUP(Tabela3[[#This Row],[Categoria]],Cadastros!A:C,3,0),"")</f>
        <v/>
      </c>
      <c r="Q115" s="9" t="str">
        <f ca="1">IFERROR(Tabela3[[#This Row],[Vida útil]]-Tabela3[[#This Row],[Idade]],"")</f>
        <v/>
      </c>
      <c r="R115" s="8" t="str">
        <f ca="1">IFERROR(Tabela3[[#This Row],[Valor]]-(Tabela3[[#This Row],[Valor]]*(Tabela3[[#This Row],[Idade]]*VLOOKUP(Tabela3[[#This Row],[Categoria]],Cadastros!A:B,2,0))),"")</f>
        <v/>
      </c>
    </row>
    <row r="116" spans="4:18" x14ac:dyDescent="0.25">
      <c r="D116" s="5"/>
      <c r="N116" s="6" t="str">
        <f>IFERROR(Tabela3[[#This Row],[Última revisão do bem]]+(VLOOKUP(Tabela3[[#This Row],[Categoria]],Cadastros!A:D,4,0)+365),"")</f>
        <v/>
      </c>
      <c r="O116" s="7" t="str">
        <f ca="1">IF(Tabela3[[#This Row],[Data da compra]]&gt;0,(TODAY()-Tabela3[[#This Row],[Data da compra]])/365,"")</f>
        <v/>
      </c>
      <c r="P116" s="7" t="str">
        <f>IFERROR(VLOOKUP(Tabela3[[#This Row],[Categoria]],Cadastros!A:C,3,0),"")</f>
        <v/>
      </c>
      <c r="Q116" s="9" t="str">
        <f ca="1">IFERROR(Tabela3[[#This Row],[Vida útil]]-Tabela3[[#This Row],[Idade]],"")</f>
        <v/>
      </c>
      <c r="R116" s="8" t="str">
        <f ca="1">IFERROR(Tabela3[[#This Row],[Valor]]-(Tabela3[[#This Row],[Valor]]*(Tabela3[[#This Row],[Idade]]*VLOOKUP(Tabela3[[#This Row],[Categoria]],Cadastros!A:B,2,0))),"")</f>
        <v/>
      </c>
    </row>
    <row r="117" spans="4:18" x14ac:dyDescent="0.25">
      <c r="D117" s="5"/>
      <c r="N117" s="6" t="str">
        <f>IFERROR(Tabela3[[#This Row],[Última revisão do bem]]+(VLOOKUP(Tabela3[[#This Row],[Categoria]],Cadastros!A:D,4,0)+365),"")</f>
        <v/>
      </c>
      <c r="O117" s="7" t="str">
        <f ca="1">IF(Tabela3[[#This Row],[Data da compra]]&gt;0,(TODAY()-Tabela3[[#This Row],[Data da compra]])/365,"")</f>
        <v/>
      </c>
      <c r="P117" s="7" t="str">
        <f>IFERROR(VLOOKUP(Tabela3[[#This Row],[Categoria]],Cadastros!A:C,3,0),"")</f>
        <v/>
      </c>
      <c r="Q117" s="9" t="str">
        <f ca="1">IFERROR(Tabela3[[#This Row],[Vida útil]]-Tabela3[[#This Row],[Idade]],"")</f>
        <v/>
      </c>
      <c r="R117" s="8" t="str">
        <f ca="1">IFERROR(Tabela3[[#This Row],[Valor]]-(Tabela3[[#This Row],[Valor]]*(Tabela3[[#This Row],[Idade]]*VLOOKUP(Tabela3[[#This Row],[Categoria]],Cadastros!A:B,2,0))),"")</f>
        <v/>
      </c>
    </row>
    <row r="118" spans="4:18" x14ac:dyDescent="0.25">
      <c r="D118" s="5"/>
      <c r="N118" s="6" t="str">
        <f>IFERROR(Tabela3[[#This Row],[Última revisão do bem]]+(VLOOKUP(Tabela3[[#This Row],[Categoria]],Cadastros!A:D,4,0)+365),"")</f>
        <v/>
      </c>
      <c r="O118" s="7" t="str">
        <f ca="1">IF(Tabela3[[#This Row],[Data da compra]]&gt;0,(TODAY()-Tabela3[[#This Row],[Data da compra]])/365,"")</f>
        <v/>
      </c>
      <c r="P118" s="7" t="str">
        <f>IFERROR(VLOOKUP(Tabela3[[#This Row],[Categoria]],Cadastros!A:C,3,0),"")</f>
        <v/>
      </c>
      <c r="Q118" s="9" t="str">
        <f ca="1">IFERROR(Tabela3[[#This Row],[Vida útil]]-Tabela3[[#This Row],[Idade]],"")</f>
        <v/>
      </c>
      <c r="R118" s="8" t="str">
        <f ca="1">IFERROR(Tabela3[[#This Row],[Valor]]-(Tabela3[[#This Row],[Valor]]*(Tabela3[[#This Row],[Idade]]*VLOOKUP(Tabela3[[#This Row],[Categoria]],Cadastros!A:B,2,0))),"")</f>
        <v/>
      </c>
    </row>
    <row r="119" spans="4:18" x14ac:dyDescent="0.25">
      <c r="D119" s="5"/>
      <c r="N119" s="6" t="str">
        <f>IFERROR(Tabela3[[#This Row],[Última revisão do bem]]+(VLOOKUP(Tabela3[[#This Row],[Categoria]],Cadastros!A:D,4,0)+365),"")</f>
        <v/>
      </c>
      <c r="O119" s="7" t="str">
        <f ca="1">IF(Tabela3[[#This Row],[Data da compra]]&gt;0,(TODAY()-Tabela3[[#This Row],[Data da compra]])/365,"")</f>
        <v/>
      </c>
      <c r="P119" s="7" t="str">
        <f>IFERROR(VLOOKUP(Tabela3[[#This Row],[Categoria]],Cadastros!A:C,3,0),"")</f>
        <v/>
      </c>
      <c r="Q119" s="9" t="str">
        <f ca="1">IFERROR(Tabela3[[#This Row],[Vida útil]]-Tabela3[[#This Row],[Idade]],"")</f>
        <v/>
      </c>
      <c r="R119" s="8" t="str">
        <f ca="1">IFERROR(Tabela3[[#This Row],[Valor]]-(Tabela3[[#This Row],[Valor]]*(Tabela3[[#This Row],[Idade]]*VLOOKUP(Tabela3[[#This Row],[Categoria]],Cadastros!A:B,2,0))),"")</f>
        <v/>
      </c>
    </row>
    <row r="120" spans="4:18" x14ac:dyDescent="0.25">
      <c r="D120" s="5"/>
      <c r="N120" s="6" t="str">
        <f>IFERROR(Tabela3[[#This Row],[Última revisão do bem]]+(VLOOKUP(Tabela3[[#This Row],[Categoria]],Cadastros!A:D,4,0)+365),"")</f>
        <v/>
      </c>
      <c r="O120" s="7" t="str">
        <f ca="1">IF(Tabela3[[#This Row],[Data da compra]]&gt;0,(TODAY()-Tabela3[[#This Row],[Data da compra]])/365,"")</f>
        <v/>
      </c>
      <c r="P120" s="7" t="str">
        <f>IFERROR(VLOOKUP(Tabela3[[#This Row],[Categoria]],Cadastros!A:C,3,0),"")</f>
        <v/>
      </c>
      <c r="Q120" s="9" t="str">
        <f ca="1">IFERROR(Tabela3[[#This Row],[Vida útil]]-Tabela3[[#This Row],[Idade]],"")</f>
        <v/>
      </c>
      <c r="R120" s="8" t="str">
        <f ca="1">IFERROR(Tabela3[[#This Row],[Valor]]-(Tabela3[[#This Row],[Valor]]*(Tabela3[[#This Row],[Idade]]*VLOOKUP(Tabela3[[#This Row],[Categoria]],Cadastros!A:B,2,0))),"")</f>
        <v/>
      </c>
    </row>
    <row r="121" spans="4:18" x14ac:dyDescent="0.25">
      <c r="D121" s="5"/>
      <c r="N121" s="6" t="str">
        <f>IFERROR(Tabela3[[#This Row],[Última revisão do bem]]+(VLOOKUP(Tabela3[[#This Row],[Categoria]],Cadastros!A:D,4,0)+365),"")</f>
        <v/>
      </c>
      <c r="O121" s="7" t="str">
        <f ca="1">IF(Tabela3[[#This Row],[Data da compra]]&gt;0,(TODAY()-Tabela3[[#This Row],[Data da compra]])/365,"")</f>
        <v/>
      </c>
      <c r="P121" s="7" t="str">
        <f>IFERROR(VLOOKUP(Tabela3[[#This Row],[Categoria]],Cadastros!A:C,3,0),"")</f>
        <v/>
      </c>
      <c r="Q121" s="9" t="str">
        <f ca="1">IFERROR(Tabela3[[#This Row],[Vida útil]]-Tabela3[[#This Row],[Idade]],"")</f>
        <v/>
      </c>
      <c r="R121" s="8" t="str">
        <f ca="1">IFERROR(Tabela3[[#This Row],[Valor]]-(Tabela3[[#This Row],[Valor]]*(Tabela3[[#This Row],[Idade]]*VLOOKUP(Tabela3[[#This Row],[Categoria]],Cadastros!A:B,2,0))),"")</f>
        <v/>
      </c>
    </row>
    <row r="122" spans="4:18" x14ac:dyDescent="0.25">
      <c r="D122" s="5"/>
      <c r="N122" s="6" t="str">
        <f>IFERROR(Tabela3[[#This Row],[Última revisão do bem]]+(VLOOKUP(Tabela3[[#This Row],[Categoria]],Cadastros!A:D,4,0)+365),"")</f>
        <v/>
      </c>
      <c r="O122" s="7" t="str">
        <f ca="1">IF(Tabela3[[#This Row],[Data da compra]]&gt;0,(TODAY()-Tabela3[[#This Row],[Data da compra]])/365,"")</f>
        <v/>
      </c>
      <c r="P122" s="7" t="str">
        <f>IFERROR(VLOOKUP(Tabela3[[#This Row],[Categoria]],Cadastros!A:C,3,0),"")</f>
        <v/>
      </c>
      <c r="Q122" s="9" t="str">
        <f ca="1">IFERROR(Tabela3[[#This Row],[Vida útil]]-Tabela3[[#This Row],[Idade]],"")</f>
        <v/>
      </c>
      <c r="R122" s="8" t="str">
        <f ca="1">IFERROR(Tabela3[[#This Row],[Valor]]-(Tabela3[[#This Row],[Valor]]*(Tabela3[[#This Row],[Idade]]*VLOOKUP(Tabela3[[#This Row],[Categoria]],Cadastros!A:B,2,0))),"")</f>
        <v/>
      </c>
    </row>
    <row r="123" spans="4:18" x14ac:dyDescent="0.25">
      <c r="D123" s="5"/>
      <c r="N123" s="6" t="str">
        <f>IFERROR(Tabela3[[#This Row],[Última revisão do bem]]+(VLOOKUP(Tabela3[[#This Row],[Categoria]],Cadastros!A:D,4,0)+365),"")</f>
        <v/>
      </c>
      <c r="O123" s="7" t="str">
        <f ca="1">IF(Tabela3[[#This Row],[Data da compra]]&gt;0,(TODAY()-Tabela3[[#This Row],[Data da compra]])/365,"")</f>
        <v/>
      </c>
      <c r="P123" s="7" t="str">
        <f>IFERROR(VLOOKUP(Tabela3[[#This Row],[Categoria]],Cadastros!A:C,3,0),"")</f>
        <v/>
      </c>
      <c r="Q123" s="9" t="str">
        <f ca="1">IFERROR(Tabela3[[#This Row],[Vida útil]]-Tabela3[[#This Row],[Idade]],"")</f>
        <v/>
      </c>
      <c r="R123" s="8" t="str">
        <f ca="1">IFERROR(Tabela3[[#This Row],[Valor]]-(Tabela3[[#This Row],[Valor]]*(Tabela3[[#This Row],[Idade]]*VLOOKUP(Tabela3[[#This Row],[Categoria]],Cadastros!A:B,2,0))),"")</f>
        <v/>
      </c>
    </row>
    <row r="124" spans="4:18" x14ac:dyDescent="0.25">
      <c r="D124" s="5"/>
      <c r="N124" s="6" t="str">
        <f>IFERROR(Tabela3[[#This Row],[Última revisão do bem]]+(VLOOKUP(Tabela3[[#This Row],[Categoria]],Cadastros!A:D,4,0)+365),"")</f>
        <v/>
      </c>
      <c r="O124" s="7" t="str">
        <f ca="1">IF(Tabela3[[#This Row],[Data da compra]]&gt;0,(TODAY()-Tabela3[[#This Row],[Data da compra]])/365,"")</f>
        <v/>
      </c>
      <c r="P124" s="7" t="str">
        <f>IFERROR(VLOOKUP(Tabela3[[#This Row],[Categoria]],Cadastros!A:C,3,0),"")</f>
        <v/>
      </c>
      <c r="Q124" s="9" t="str">
        <f ca="1">IFERROR(Tabela3[[#This Row],[Vida útil]]-Tabela3[[#This Row],[Idade]],"")</f>
        <v/>
      </c>
      <c r="R124" s="8" t="str">
        <f ca="1">IFERROR(Tabela3[[#This Row],[Valor]]-(Tabela3[[#This Row],[Valor]]*(Tabela3[[#This Row],[Idade]]*VLOOKUP(Tabela3[[#This Row],[Categoria]],Cadastros!A:B,2,0))),"")</f>
        <v/>
      </c>
    </row>
    <row r="125" spans="4:18" x14ac:dyDescent="0.25">
      <c r="D125" s="5"/>
      <c r="N125" s="6" t="str">
        <f>IFERROR(Tabela3[[#This Row],[Última revisão do bem]]+(VLOOKUP(Tabela3[[#This Row],[Categoria]],Cadastros!A:D,4,0)+365),"")</f>
        <v/>
      </c>
      <c r="O125" s="7" t="str">
        <f ca="1">IF(Tabela3[[#This Row],[Data da compra]]&gt;0,(TODAY()-Tabela3[[#This Row],[Data da compra]])/365,"")</f>
        <v/>
      </c>
      <c r="P125" s="7" t="str">
        <f>IFERROR(VLOOKUP(Tabela3[[#This Row],[Categoria]],Cadastros!A:C,3,0),"")</f>
        <v/>
      </c>
      <c r="Q125" s="9" t="str">
        <f ca="1">IFERROR(Tabela3[[#This Row],[Vida útil]]-Tabela3[[#This Row],[Idade]],"")</f>
        <v/>
      </c>
      <c r="R125" s="8" t="str">
        <f ca="1">IFERROR(Tabela3[[#This Row],[Valor]]-(Tabela3[[#This Row],[Valor]]*(Tabela3[[#This Row],[Idade]]*VLOOKUP(Tabela3[[#This Row],[Categoria]],Cadastros!A:B,2,0))),"")</f>
        <v/>
      </c>
    </row>
    <row r="126" spans="4:18" x14ac:dyDescent="0.25">
      <c r="D126" s="5"/>
      <c r="N126" s="6" t="str">
        <f>IFERROR(Tabela3[[#This Row],[Última revisão do bem]]+(VLOOKUP(Tabela3[[#This Row],[Categoria]],Cadastros!A:D,4,0)+365),"")</f>
        <v/>
      </c>
      <c r="O126" s="7" t="str">
        <f ca="1">IF(Tabela3[[#This Row],[Data da compra]]&gt;0,(TODAY()-Tabela3[[#This Row],[Data da compra]])/365,"")</f>
        <v/>
      </c>
      <c r="P126" s="7" t="str">
        <f>IFERROR(VLOOKUP(Tabela3[[#This Row],[Categoria]],Cadastros!A:C,3,0),"")</f>
        <v/>
      </c>
      <c r="Q126" s="9" t="str">
        <f ca="1">IFERROR(Tabela3[[#This Row],[Vida útil]]-Tabela3[[#This Row],[Idade]],"")</f>
        <v/>
      </c>
      <c r="R126" s="8" t="str">
        <f ca="1">IFERROR(Tabela3[[#This Row],[Valor]]-(Tabela3[[#This Row],[Valor]]*(Tabela3[[#This Row],[Idade]]*VLOOKUP(Tabela3[[#This Row],[Categoria]],Cadastros!A:B,2,0))),"")</f>
        <v/>
      </c>
    </row>
    <row r="127" spans="4:18" x14ac:dyDescent="0.25">
      <c r="D127" s="5"/>
      <c r="N127" s="6" t="str">
        <f>IFERROR(Tabela3[[#This Row],[Última revisão do bem]]+(VLOOKUP(Tabela3[[#This Row],[Categoria]],Cadastros!A:D,4,0)+365),"")</f>
        <v/>
      </c>
      <c r="O127" s="7" t="str">
        <f ca="1">IF(Tabela3[[#This Row],[Data da compra]]&gt;0,(TODAY()-Tabela3[[#This Row],[Data da compra]])/365,"")</f>
        <v/>
      </c>
      <c r="P127" s="7" t="str">
        <f>IFERROR(VLOOKUP(Tabela3[[#This Row],[Categoria]],Cadastros!A:C,3,0),"")</f>
        <v/>
      </c>
      <c r="Q127" s="9" t="str">
        <f ca="1">IFERROR(Tabela3[[#This Row],[Vida útil]]-Tabela3[[#This Row],[Idade]],"")</f>
        <v/>
      </c>
      <c r="R127" s="8" t="str">
        <f ca="1">IFERROR(Tabela3[[#This Row],[Valor]]-(Tabela3[[#This Row],[Valor]]*(Tabela3[[#This Row],[Idade]]*VLOOKUP(Tabela3[[#This Row],[Categoria]],Cadastros!A:B,2,0))),"")</f>
        <v/>
      </c>
    </row>
    <row r="128" spans="4:18" x14ac:dyDescent="0.25">
      <c r="D128" s="5"/>
      <c r="N128" s="6" t="str">
        <f>IFERROR(Tabela3[[#This Row],[Última revisão do bem]]+(VLOOKUP(Tabela3[[#This Row],[Categoria]],Cadastros!A:D,4,0)+365),"")</f>
        <v/>
      </c>
      <c r="O128" s="7" t="str">
        <f ca="1">IF(Tabela3[[#This Row],[Data da compra]]&gt;0,(TODAY()-Tabela3[[#This Row],[Data da compra]])/365,"")</f>
        <v/>
      </c>
      <c r="P128" s="7" t="str">
        <f>IFERROR(VLOOKUP(Tabela3[[#This Row],[Categoria]],Cadastros!A:C,3,0),"")</f>
        <v/>
      </c>
      <c r="Q128" s="9" t="str">
        <f ca="1">IFERROR(Tabela3[[#This Row],[Vida útil]]-Tabela3[[#This Row],[Idade]],"")</f>
        <v/>
      </c>
      <c r="R128" s="8" t="str">
        <f ca="1">IFERROR(Tabela3[[#This Row],[Valor]]-(Tabela3[[#This Row],[Valor]]*(Tabela3[[#This Row],[Idade]]*VLOOKUP(Tabela3[[#This Row],[Categoria]],Cadastros!A:B,2,0))),"")</f>
        <v/>
      </c>
    </row>
    <row r="129" spans="4:18" x14ac:dyDescent="0.25">
      <c r="D129" s="5"/>
      <c r="N129" s="6" t="str">
        <f>IFERROR(Tabela3[[#This Row],[Última revisão do bem]]+(VLOOKUP(Tabela3[[#This Row],[Categoria]],Cadastros!A:D,4,0)+365),"")</f>
        <v/>
      </c>
      <c r="O129" s="7" t="str">
        <f ca="1">IF(Tabela3[[#This Row],[Data da compra]]&gt;0,(TODAY()-Tabela3[[#This Row],[Data da compra]])/365,"")</f>
        <v/>
      </c>
      <c r="P129" s="7" t="str">
        <f>IFERROR(VLOOKUP(Tabela3[[#This Row],[Categoria]],Cadastros!A:C,3,0),"")</f>
        <v/>
      </c>
      <c r="Q129" s="9" t="str">
        <f ca="1">IFERROR(Tabela3[[#This Row],[Vida útil]]-Tabela3[[#This Row],[Idade]],"")</f>
        <v/>
      </c>
      <c r="R129" s="8" t="str">
        <f ca="1">IFERROR(Tabela3[[#This Row],[Valor]]-(Tabela3[[#This Row],[Valor]]*(Tabela3[[#This Row],[Idade]]*VLOOKUP(Tabela3[[#This Row],[Categoria]],Cadastros!A:B,2,0))),"")</f>
        <v/>
      </c>
    </row>
    <row r="130" spans="4:18" x14ac:dyDescent="0.25">
      <c r="D130" s="5"/>
      <c r="N130" s="6" t="str">
        <f>IFERROR(Tabela3[[#This Row],[Última revisão do bem]]+(VLOOKUP(Tabela3[[#This Row],[Categoria]],Cadastros!A:D,4,0)+365),"")</f>
        <v/>
      </c>
      <c r="O130" s="7" t="str">
        <f ca="1">IF(Tabela3[[#This Row],[Data da compra]]&gt;0,(TODAY()-Tabela3[[#This Row],[Data da compra]])/365,"")</f>
        <v/>
      </c>
      <c r="P130" s="7" t="str">
        <f>IFERROR(VLOOKUP(Tabela3[[#This Row],[Categoria]],Cadastros!A:C,3,0),"")</f>
        <v/>
      </c>
      <c r="Q130" s="9" t="str">
        <f ca="1">IFERROR(Tabela3[[#This Row],[Vida útil]]-Tabela3[[#This Row],[Idade]],"")</f>
        <v/>
      </c>
      <c r="R130" s="8" t="str">
        <f ca="1">IFERROR(Tabela3[[#This Row],[Valor]]-(Tabela3[[#This Row],[Valor]]*(Tabela3[[#This Row],[Idade]]*VLOOKUP(Tabela3[[#This Row],[Categoria]],Cadastros!A:B,2,0))),"")</f>
        <v/>
      </c>
    </row>
    <row r="131" spans="4:18" x14ac:dyDescent="0.25">
      <c r="D131" s="5"/>
      <c r="N131" s="6" t="str">
        <f>IFERROR(Tabela3[[#This Row],[Última revisão do bem]]+(VLOOKUP(Tabela3[[#This Row],[Categoria]],Cadastros!A:D,4,0)+365),"")</f>
        <v/>
      </c>
      <c r="O131" s="7" t="str">
        <f ca="1">IF(Tabela3[[#This Row],[Data da compra]]&gt;0,(TODAY()-Tabela3[[#This Row],[Data da compra]])/365,"")</f>
        <v/>
      </c>
      <c r="P131" s="7" t="str">
        <f>IFERROR(VLOOKUP(Tabela3[[#This Row],[Categoria]],Cadastros!A:C,3,0),"")</f>
        <v/>
      </c>
      <c r="Q131" s="9" t="str">
        <f ca="1">IFERROR(Tabela3[[#This Row],[Vida útil]]-Tabela3[[#This Row],[Idade]],"")</f>
        <v/>
      </c>
      <c r="R131" s="8" t="str">
        <f ca="1">IFERROR(Tabela3[[#This Row],[Valor]]-(Tabela3[[#This Row],[Valor]]*(Tabela3[[#This Row],[Idade]]*VLOOKUP(Tabela3[[#This Row],[Categoria]],Cadastros!A:B,2,0))),"")</f>
        <v/>
      </c>
    </row>
    <row r="132" spans="4:18" x14ac:dyDescent="0.25">
      <c r="D132" s="22"/>
      <c r="N132" s="6" t="str">
        <f>IFERROR(Tabela3[[#This Row],[Última revisão do bem]]+(VLOOKUP(Tabela3[[#This Row],[Categoria]],Cadastros!A:D,4,0)+365),"")</f>
        <v/>
      </c>
      <c r="O132" s="7" t="str">
        <f ca="1">IF(Tabela3[[#This Row],[Data da compra]]&gt;0,(TODAY()-Tabela3[[#This Row],[Data da compra]])/365,"")</f>
        <v/>
      </c>
      <c r="P132" s="7" t="str">
        <f>IFERROR(VLOOKUP(Tabela3[[#This Row],[Categoria]],Cadastros!A:C,3,0),"")</f>
        <v/>
      </c>
      <c r="Q132" s="9" t="str">
        <f ca="1">IFERROR(Tabela3[[#This Row],[Vida útil]]-Tabela3[[#This Row],[Idade]],"")</f>
        <v/>
      </c>
      <c r="R132" s="23" t="str">
        <f ca="1">IFERROR(Tabela3[[#This Row],[Valor]]-(Tabela3[[#This Row],[Valor]]*(Tabela3[[#This Row],[Idade]]*VLOOKUP(Tabela3[[#This Row],[Categoria]],Cadastros!A:B,2,0))),"")</f>
        <v/>
      </c>
    </row>
    <row r="133" spans="4:18" x14ac:dyDescent="0.25">
      <c r="D133" s="5"/>
      <c r="N133" s="6" t="str">
        <f>IFERROR(Tabela3[[#This Row],[Última revisão do bem]]+(VLOOKUP(Tabela3[[#This Row],[Categoria]],Cadastros!A:D,4,0)+365),"")</f>
        <v/>
      </c>
      <c r="O133" s="7" t="str">
        <f ca="1">IF(Tabela3[[#This Row],[Data da compra]]&gt;0,(TODAY()-Tabela3[[#This Row],[Data da compra]])/365,"")</f>
        <v/>
      </c>
      <c r="P133" s="7" t="str">
        <f>IFERROR(VLOOKUP(Tabela3[[#This Row],[Categoria]],Cadastros!A:C,3,0),"")</f>
        <v/>
      </c>
      <c r="Q133" s="9" t="str">
        <f ca="1">IFERROR(Tabela3[[#This Row],[Vida útil]]-Tabela3[[#This Row],[Idade]],"")</f>
        <v/>
      </c>
      <c r="R133" s="8" t="str">
        <f ca="1">IFERROR(Tabela3[[#This Row],[Valor]]-(Tabela3[[#This Row],[Valor]]*(Tabela3[[#This Row],[Idade]]*VLOOKUP(Tabela3[[#This Row],[Categoria]],Cadastros!A:B,2,0))),"")</f>
        <v/>
      </c>
    </row>
    <row r="134" spans="4:18" x14ac:dyDescent="0.25">
      <c r="D134" s="5"/>
      <c r="N134" s="6" t="str">
        <f>IFERROR(Tabela3[[#This Row],[Última revisão do bem]]+(VLOOKUP(Tabela3[[#This Row],[Categoria]],Cadastros!A:D,4,0)+365),"")</f>
        <v/>
      </c>
      <c r="O134" s="7" t="str">
        <f ca="1">IF(Tabela3[[#This Row],[Data da compra]]&gt;0,(TODAY()-Tabela3[[#This Row],[Data da compra]])/365,"")</f>
        <v/>
      </c>
      <c r="P134" s="7" t="str">
        <f>IFERROR(VLOOKUP(Tabela3[[#This Row],[Categoria]],Cadastros!A:C,3,0),"")</f>
        <v/>
      </c>
      <c r="Q134" s="9" t="str">
        <f ca="1">IFERROR(Tabela3[[#This Row],[Vida útil]]-Tabela3[[#This Row],[Idade]],"")</f>
        <v/>
      </c>
      <c r="R134" s="8" t="str">
        <f ca="1">IFERROR(Tabela3[[#This Row],[Valor]]-(Tabela3[[#This Row],[Valor]]*(Tabela3[[#This Row],[Idade]]*VLOOKUP(Tabela3[[#This Row],[Categoria]],Cadastros!A:B,2,0))),"")</f>
        <v/>
      </c>
    </row>
    <row r="135" spans="4:18" x14ac:dyDescent="0.25">
      <c r="D135" s="5"/>
      <c r="N135" s="6" t="str">
        <f>IFERROR(Tabela3[[#This Row],[Última revisão do bem]]+(VLOOKUP(Tabela3[[#This Row],[Categoria]],Cadastros!A:D,4,0)+365),"")</f>
        <v/>
      </c>
      <c r="O135" s="7" t="str">
        <f ca="1">IF(Tabela3[[#This Row],[Data da compra]]&gt;0,(TODAY()-Tabela3[[#This Row],[Data da compra]])/365,"")</f>
        <v/>
      </c>
      <c r="P135" s="7" t="str">
        <f>IFERROR(VLOOKUP(Tabela3[[#This Row],[Categoria]],Cadastros!A:C,3,0),"")</f>
        <v/>
      </c>
      <c r="Q135" s="9" t="str">
        <f ca="1">IFERROR(Tabela3[[#This Row],[Vida útil]]-Tabela3[[#This Row],[Idade]],"")</f>
        <v/>
      </c>
      <c r="R135" s="8" t="str">
        <f ca="1">IFERROR(Tabela3[[#This Row],[Valor]]-(Tabela3[[#This Row],[Valor]]*(Tabela3[[#This Row],[Idade]]*VLOOKUP(Tabela3[[#This Row],[Categoria]],Cadastros!A:B,2,0))),"")</f>
        <v/>
      </c>
    </row>
    <row r="136" spans="4:18" x14ac:dyDescent="0.25">
      <c r="D136" s="5"/>
      <c r="N136" s="6" t="str">
        <f>IFERROR(Tabela3[[#This Row],[Última revisão do bem]]+(VLOOKUP(Tabela3[[#This Row],[Categoria]],Cadastros!A:D,4,0)+365),"")</f>
        <v/>
      </c>
      <c r="O136" s="7" t="str">
        <f ca="1">IF(Tabela3[[#This Row],[Data da compra]]&gt;0,(TODAY()-Tabela3[[#This Row],[Data da compra]])/365,"")</f>
        <v/>
      </c>
      <c r="P136" s="7" t="str">
        <f>IFERROR(VLOOKUP(Tabela3[[#This Row],[Categoria]],Cadastros!A:C,3,0),"")</f>
        <v/>
      </c>
      <c r="Q136" s="9" t="str">
        <f ca="1">IFERROR(Tabela3[[#This Row],[Vida útil]]-Tabela3[[#This Row],[Idade]],"")</f>
        <v/>
      </c>
      <c r="R136" s="8" t="str">
        <f ca="1">IFERROR(Tabela3[[#This Row],[Valor]]-(Tabela3[[#This Row],[Valor]]*(Tabela3[[#This Row],[Idade]]*VLOOKUP(Tabela3[[#This Row],[Categoria]],Cadastros!A:B,2,0))),"")</f>
        <v/>
      </c>
    </row>
    <row r="137" spans="4:18" x14ac:dyDescent="0.25">
      <c r="D137" s="5"/>
      <c r="N137" s="6" t="str">
        <f>IFERROR(Tabela3[[#This Row],[Última revisão do bem]]+(VLOOKUP(Tabela3[[#This Row],[Categoria]],Cadastros!A:D,4,0)+365),"")</f>
        <v/>
      </c>
      <c r="O137" s="7" t="str">
        <f ca="1">IF(Tabela3[[#This Row],[Data da compra]]&gt;0,(TODAY()-Tabela3[[#This Row],[Data da compra]])/365,"")</f>
        <v/>
      </c>
      <c r="P137" s="7" t="str">
        <f>IFERROR(VLOOKUP(Tabela3[[#This Row],[Categoria]],Cadastros!A:C,3,0),"")</f>
        <v/>
      </c>
      <c r="Q137" s="9" t="str">
        <f ca="1">IFERROR(Tabela3[[#This Row],[Vida útil]]-Tabela3[[#This Row],[Idade]],"")</f>
        <v/>
      </c>
      <c r="R137" s="8" t="str">
        <f ca="1">IFERROR(Tabela3[[#This Row],[Valor]]-(Tabela3[[#This Row],[Valor]]*(Tabela3[[#This Row],[Idade]]*VLOOKUP(Tabela3[[#This Row],[Categoria]],Cadastros!A:B,2,0))),"")</f>
        <v/>
      </c>
    </row>
    <row r="138" spans="4:18" x14ac:dyDescent="0.25">
      <c r="D138" s="5"/>
      <c r="N138" s="6" t="str">
        <f>IFERROR(Tabela3[[#This Row],[Última revisão do bem]]+(VLOOKUP(Tabela3[[#This Row],[Categoria]],Cadastros!A:D,4,0)+365),"")</f>
        <v/>
      </c>
      <c r="O138" s="7" t="str">
        <f ca="1">IF(Tabela3[[#This Row],[Data da compra]]&gt;0,(TODAY()-Tabela3[[#This Row],[Data da compra]])/365,"")</f>
        <v/>
      </c>
      <c r="P138" s="7" t="str">
        <f>IFERROR(VLOOKUP(Tabela3[[#This Row],[Categoria]],Cadastros!A:C,3,0),"")</f>
        <v/>
      </c>
      <c r="Q138" s="9" t="str">
        <f ca="1">IFERROR(Tabela3[[#This Row],[Vida útil]]-Tabela3[[#This Row],[Idade]],"")</f>
        <v/>
      </c>
      <c r="R138" s="8" t="str">
        <f ca="1">IFERROR(Tabela3[[#This Row],[Valor]]-(Tabela3[[#This Row],[Valor]]*(Tabela3[[#This Row],[Idade]]*VLOOKUP(Tabela3[[#This Row],[Categoria]],Cadastros!A:B,2,0))),"")</f>
        <v/>
      </c>
    </row>
    <row r="139" spans="4:18" x14ac:dyDescent="0.25">
      <c r="D139" s="5"/>
      <c r="N139" s="6" t="str">
        <f>IFERROR(Tabela3[[#This Row],[Última revisão do bem]]+(VLOOKUP(Tabela3[[#This Row],[Categoria]],Cadastros!A:D,4,0)+365),"")</f>
        <v/>
      </c>
      <c r="O139" s="7" t="str">
        <f ca="1">IF(Tabela3[[#This Row],[Data da compra]]&gt;0,(TODAY()-Tabela3[[#This Row],[Data da compra]])/365,"")</f>
        <v/>
      </c>
      <c r="P139" s="7" t="str">
        <f>IFERROR(VLOOKUP(Tabela3[[#This Row],[Categoria]],Cadastros!A:C,3,0),"")</f>
        <v/>
      </c>
      <c r="Q139" s="9" t="str">
        <f ca="1">IFERROR(Tabela3[[#This Row],[Vida útil]]-Tabela3[[#This Row],[Idade]],"")</f>
        <v/>
      </c>
      <c r="R139" s="8" t="str">
        <f ca="1">IFERROR(Tabela3[[#This Row],[Valor]]-(Tabela3[[#This Row],[Valor]]*(Tabela3[[#This Row],[Idade]]*VLOOKUP(Tabela3[[#This Row],[Categoria]],Cadastros!A:B,2,0))),"")</f>
        <v/>
      </c>
    </row>
    <row r="140" spans="4:18" x14ac:dyDescent="0.25">
      <c r="D140" s="5"/>
      <c r="N140" s="6" t="str">
        <f>IFERROR(Tabela3[[#This Row],[Última revisão do bem]]+(VLOOKUP(Tabela3[[#This Row],[Categoria]],Cadastros!A:D,4,0)+365),"")</f>
        <v/>
      </c>
      <c r="O140" s="7" t="str">
        <f ca="1">IF(Tabela3[[#This Row],[Data da compra]]&gt;0,(TODAY()-Tabela3[[#This Row],[Data da compra]])/365,"")</f>
        <v/>
      </c>
      <c r="P140" s="7" t="str">
        <f>IFERROR(VLOOKUP(Tabela3[[#This Row],[Categoria]],Cadastros!A:C,3,0),"")</f>
        <v/>
      </c>
      <c r="Q140" s="9" t="str">
        <f ca="1">IFERROR(Tabela3[[#This Row],[Vida útil]]-Tabela3[[#This Row],[Idade]],"")</f>
        <v/>
      </c>
      <c r="R140" s="8" t="str">
        <f ca="1">IFERROR(Tabela3[[#This Row],[Valor]]-(Tabela3[[#This Row],[Valor]]*(Tabela3[[#This Row],[Idade]]*VLOOKUP(Tabela3[[#This Row],[Categoria]],Cadastros!A:B,2,0))),"")</f>
        <v/>
      </c>
    </row>
    <row r="141" spans="4:18" x14ac:dyDescent="0.25">
      <c r="D141" s="5"/>
      <c r="N141" s="6" t="str">
        <f>IFERROR(Tabela3[[#This Row],[Última revisão do bem]]+(VLOOKUP(Tabela3[[#This Row],[Categoria]],Cadastros!A:D,4,0)+365),"")</f>
        <v/>
      </c>
      <c r="O141" s="7" t="str">
        <f ca="1">IF(Tabela3[[#This Row],[Data da compra]]&gt;0,(TODAY()-Tabela3[[#This Row],[Data da compra]])/365,"")</f>
        <v/>
      </c>
      <c r="P141" s="7" t="str">
        <f>IFERROR(VLOOKUP(Tabela3[[#This Row],[Categoria]],Cadastros!A:C,3,0),"")</f>
        <v/>
      </c>
      <c r="Q141" s="9" t="str">
        <f ca="1">IFERROR(Tabela3[[#This Row],[Vida útil]]-Tabela3[[#This Row],[Idade]],"")</f>
        <v/>
      </c>
      <c r="R141" s="8" t="str">
        <f ca="1">IFERROR(Tabela3[[#This Row],[Valor]]-(Tabela3[[#This Row],[Valor]]*(Tabela3[[#This Row],[Idade]]*VLOOKUP(Tabela3[[#This Row],[Categoria]],Cadastros!A:B,2,0))),"")</f>
        <v/>
      </c>
    </row>
    <row r="142" spans="4:18" x14ac:dyDescent="0.25">
      <c r="D142" s="5"/>
      <c r="N142" s="6" t="str">
        <f>IFERROR(Tabela3[[#This Row],[Última revisão do bem]]+(VLOOKUP(Tabela3[[#This Row],[Categoria]],Cadastros!A:D,4,0)+365),"")</f>
        <v/>
      </c>
      <c r="O142" s="7" t="str">
        <f ca="1">IF(Tabela3[[#This Row],[Data da compra]]&gt;0,(TODAY()-Tabela3[[#This Row],[Data da compra]])/365,"")</f>
        <v/>
      </c>
      <c r="P142" s="7" t="str">
        <f>IFERROR(VLOOKUP(Tabela3[[#This Row],[Categoria]],Cadastros!A:C,3,0),"")</f>
        <v/>
      </c>
      <c r="Q142" s="9" t="str">
        <f ca="1">IFERROR(Tabela3[[#This Row],[Vida útil]]-Tabela3[[#This Row],[Idade]],"")</f>
        <v/>
      </c>
      <c r="R142" s="8" t="str">
        <f ca="1">IFERROR(Tabela3[[#This Row],[Valor]]-(Tabela3[[#This Row],[Valor]]*(Tabela3[[#This Row],[Idade]]*VLOOKUP(Tabela3[[#This Row],[Categoria]],Cadastros!A:B,2,0))),"")</f>
        <v/>
      </c>
    </row>
    <row r="143" spans="4:18" x14ac:dyDescent="0.25">
      <c r="D143" s="5"/>
      <c r="N143" s="6" t="str">
        <f>IFERROR(Tabela3[[#This Row],[Última revisão do bem]]+(VLOOKUP(Tabela3[[#This Row],[Categoria]],Cadastros!A:D,4,0)+365),"")</f>
        <v/>
      </c>
      <c r="O143" s="7" t="str">
        <f ca="1">IF(Tabela3[[#This Row],[Data da compra]]&gt;0,(TODAY()-Tabela3[[#This Row],[Data da compra]])/365,"")</f>
        <v/>
      </c>
      <c r="P143" s="7" t="str">
        <f>IFERROR(VLOOKUP(Tabela3[[#This Row],[Categoria]],Cadastros!A:C,3,0),"")</f>
        <v/>
      </c>
      <c r="Q143" s="9" t="str">
        <f ca="1">IFERROR(Tabela3[[#This Row],[Vida útil]]-Tabela3[[#This Row],[Idade]],"")</f>
        <v/>
      </c>
      <c r="R143" s="8" t="str">
        <f ca="1">IFERROR(Tabela3[[#This Row],[Valor]]-(Tabela3[[#This Row],[Valor]]*(Tabela3[[#This Row],[Idade]]*VLOOKUP(Tabela3[[#This Row],[Categoria]],Cadastros!A:B,2,0))),"")</f>
        <v/>
      </c>
    </row>
    <row r="144" spans="4:18" x14ac:dyDescent="0.25">
      <c r="D144" s="5"/>
      <c r="N144" s="6" t="str">
        <f>IFERROR(Tabela3[[#This Row],[Última revisão do bem]]+(VLOOKUP(Tabela3[[#This Row],[Categoria]],Cadastros!A:D,4,0)+365),"")</f>
        <v/>
      </c>
      <c r="O144" s="7" t="str">
        <f ca="1">IF(Tabela3[[#This Row],[Data da compra]]&gt;0,(TODAY()-Tabela3[[#This Row],[Data da compra]])/365,"")</f>
        <v/>
      </c>
      <c r="P144" s="7" t="str">
        <f>IFERROR(VLOOKUP(Tabela3[[#This Row],[Categoria]],Cadastros!A:C,3,0),"")</f>
        <v/>
      </c>
      <c r="Q144" s="9" t="str">
        <f ca="1">IFERROR(Tabela3[[#This Row],[Vida útil]]-Tabela3[[#This Row],[Idade]],"")</f>
        <v/>
      </c>
      <c r="R144" s="8" t="str">
        <f ca="1">IFERROR(Tabela3[[#This Row],[Valor]]-(Tabela3[[#This Row],[Valor]]*(Tabela3[[#This Row],[Idade]]*VLOOKUP(Tabela3[[#This Row],[Categoria]],Cadastros!A:B,2,0))),"")</f>
        <v/>
      </c>
    </row>
    <row r="145" spans="4:18" x14ac:dyDescent="0.25">
      <c r="D145" s="5"/>
      <c r="N145" s="6" t="str">
        <f>IFERROR(Tabela3[[#This Row],[Última revisão do bem]]+(VLOOKUP(Tabela3[[#This Row],[Categoria]],Cadastros!A:D,4,0)+365),"")</f>
        <v/>
      </c>
      <c r="O145" s="7" t="str">
        <f ca="1">IF(Tabela3[[#This Row],[Data da compra]]&gt;0,(TODAY()-Tabela3[[#This Row],[Data da compra]])/365,"")</f>
        <v/>
      </c>
      <c r="P145" s="7" t="str">
        <f>IFERROR(VLOOKUP(Tabela3[[#This Row],[Categoria]],Cadastros!A:C,3,0),"")</f>
        <v/>
      </c>
      <c r="Q145" s="9" t="str">
        <f ca="1">IFERROR(Tabela3[[#This Row],[Vida útil]]-Tabela3[[#This Row],[Idade]],"")</f>
        <v/>
      </c>
      <c r="R145" s="8" t="str">
        <f ca="1">IFERROR(Tabela3[[#This Row],[Valor]]-(Tabela3[[#This Row],[Valor]]*(Tabela3[[#This Row],[Idade]]*VLOOKUP(Tabela3[[#This Row],[Categoria]],Cadastros!A:B,2,0))),"")</f>
        <v/>
      </c>
    </row>
    <row r="146" spans="4:18" x14ac:dyDescent="0.25">
      <c r="D146" s="5"/>
      <c r="N146" s="6" t="str">
        <f>IFERROR(Tabela3[[#This Row],[Última revisão do bem]]+(VLOOKUP(Tabela3[[#This Row],[Categoria]],Cadastros!A:D,4,0)+365),"")</f>
        <v/>
      </c>
      <c r="O146" s="7" t="str">
        <f ca="1">IF(Tabela3[[#This Row],[Data da compra]]&gt;0,(TODAY()-Tabela3[[#This Row],[Data da compra]])/365,"")</f>
        <v/>
      </c>
      <c r="P146" s="7" t="str">
        <f>IFERROR(VLOOKUP(Tabela3[[#This Row],[Categoria]],Cadastros!A:C,3,0),"")</f>
        <v/>
      </c>
      <c r="Q146" s="9" t="str">
        <f ca="1">IFERROR(Tabela3[[#This Row],[Vida útil]]-Tabela3[[#This Row],[Idade]],"")</f>
        <v/>
      </c>
      <c r="R146" s="8" t="str">
        <f ca="1">IFERROR(Tabela3[[#This Row],[Valor]]-(Tabela3[[#This Row],[Valor]]*(Tabela3[[#This Row],[Idade]]*VLOOKUP(Tabela3[[#This Row],[Categoria]],Cadastros!A:B,2,0))),"")</f>
        <v/>
      </c>
    </row>
    <row r="147" spans="4:18" x14ac:dyDescent="0.25">
      <c r="D147" s="5"/>
      <c r="N147" s="6" t="str">
        <f>IFERROR(Tabela3[[#This Row],[Última revisão do bem]]+(VLOOKUP(Tabela3[[#This Row],[Categoria]],Cadastros!A:D,4,0)+365),"")</f>
        <v/>
      </c>
      <c r="O147" s="7" t="str">
        <f ca="1">IF(Tabela3[[#This Row],[Data da compra]]&gt;0,(TODAY()-Tabela3[[#This Row],[Data da compra]])/365,"")</f>
        <v/>
      </c>
      <c r="P147" s="7" t="str">
        <f>IFERROR(VLOOKUP(Tabela3[[#This Row],[Categoria]],Cadastros!A:C,3,0),"")</f>
        <v/>
      </c>
      <c r="Q147" s="9" t="str">
        <f ca="1">IFERROR(Tabela3[[#This Row],[Vida útil]]-Tabela3[[#This Row],[Idade]],"")</f>
        <v/>
      </c>
      <c r="R147" s="8" t="str">
        <f ca="1">IFERROR(Tabela3[[#This Row],[Valor]]-(Tabela3[[#This Row],[Valor]]*(Tabela3[[#This Row],[Idade]]*VLOOKUP(Tabela3[[#This Row],[Categoria]],Cadastros!A:B,2,0))),"")</f>
        <v/>
      </c>
    </row>
    <row r="148" spans="4:18" x14ac:dyDescent="0.25">
      <c r="D148" s="5"/>
      <c r="N148" s="6" t="str">
        <f>IFERROR(Tabela3[[#This Row],[Última revisão do bem]]+(VLOOKUP(Tabela3[[#This Row],[Categoria]],Cadastros!A:D,4,0)+365),"")</f>
        <v/>
      </c>
      <c r="O148" s="7" t="str">
        <f ca="1">IF(Tabela3[[#This Row],[Data da compra]]&gt;0,(TODAY()-Tabela3[[#This Row],[Data da compra]])/365,"")</f>
        <v/>
      </c>
      <c r="P148" s="7" t="str">
        <f>IFERROR(VLOOKUP(Tabela3[[#This Row],[Categoria]],Cadastros!A:C,3,0),"")</f>
        <v/>
      </c>
      <c r="Q148" s="9" t="str">
        <f ca="1">IFERROR(Tabela3[[#This Row],[Vida útil]]-Tabela3[[#This Row],[Idade]],"")</f>
        <v/>
      </c>
      <c r="R148" s="8" t="str">
        <f ca="1">IFERROR(Tabela3[[#This Row],[Valor]]-(Tabela3[[#This Row],[Valor]]*(Tabela3[[#This Row],[Idade]]*VLOOKUP(Tabela3[[#This Row],[Categoria]],Cadastros!A:B,2,0))),"")</f>
        <v/>
      </c>
    </row>
    <row r="149" spans="4:18" x14ac:dyDescent="0.25">
      <c r="D149" s="5"/>
      <c r="N149" s="6" t="str">
        <f>IFERROR(Tabela3[[#This Row],[Última revisão do bem]]+(VLOOKUP(Tabela3[[#This Row],[Categoria]],Cadastros!A:D,4,0)+365),"")</f>
        <v/>
      </c>
      <c r="O149" s="7" t="str">
        <f ca="1">IF(Tabela3[[#This Row],[Data da compra]]&gt;0,(TODAY()-Tabela3[[#This Row],[Data da compra]])/365,"")</f>
        <v/>
      </c>
      <c r="P149" s="7" t="str">
        <f>IFERROR(VLOOKUP(Tabela3[[#This Row],[Categoria]],Cadastros!A:C,3,0),"")</f>
        <v/>
      </c>
      <c r="Q149" s="9" t="str">
        <f ca="1">IFERROR(Tabela3[[#This Row],[Vida útil]]-Tabela3[[#This Row],[Idade]],"")</f>
        <v/>
      </c>
      <c r="R149" s="8" t="str">
        <f ca="1">IFERROR(Tabela3[[#This Row],[Valor]]-(Tabela3[[#This Row],[Valor]]*(Tabela3[[#This Row],[Idade]]*VLOOKUP(Tabela3[[#This Row],[Categoria]],Cadastros!A:B,2,0))),"")</f>
        <v/>
      </c>
    </row>
    <row r="150" spans="4:18" x14ac:dyDescent="0.25">
      <c r="D150" s="5"/>
      <c r="N150" s="6" t="str">
        <f>IFERROR(Tabela3[[#This Row],[Última revisão do bem]]+(VLOOKUP(Tabela3[[#This Row],[Categoria]],Cadastros!A:D,4,0)+365),"")</f>
        <v/>
      </c>
      <c r="O150" s="7" t="str">
        <f ca="1">IF(Tabela3[[#This Row],[Data da compra]]&gt;0,(TODAY()-Tabela3[[#This Row],[Data da compra]])/365,"")</f>
        <v/>
      </c>
      <c r="P150" s="7" t="str">
        <f>IFERROR(VLOOKUP(Tabela3[[#This Row],[Categoria]],Cadastros!A:C,3,0),"")</f>
        <v/>
      </c>
      <c r="Q150" s="9" t="str">
        <f ca="1">IFERROR(Tabela3[[#This Row],[Vida útil]]-Tabela3[[#This Row],[Idade]],"")</f>
        <v/>
      </c>
      <c r="R150" s="8" t="str">
        <f ca="1">IFERROR(Tabela3[[#This Row],[Valor]]-(Tabela3[[#This Row],[Valor]]*(Tabela3[[#This Row],[Idade]]*VLOOKUP(Tabela3[[#This Row],[Categoria]],Cadastros!A:B,2,0))),"")</f>
        <v/>
      </c>
    </row>
    <row r="151" spans="4:18" x14ac:dyDescent="0.25">
      <c r="D151" s="5"/>
      <c r="N151" s="6" t="str">
        <f>IFERROR(Tabela3[[#This Row],[Última revisão do bem]]+(VLOOKUP(Tabela3[[#This Row],[Categoria]],Cadastros!A:D,4,0)+365),"")</f>
        <v/>
      </c>
      <c r="O151" s="7" t="str">
        <f ca="1">IF(Tabela3[[#This Row],[Data da compra]]&gt;0,(TODAY()-Tabela3[[#This Row],[Data da compra]])/365,"")</f>
        <v/>
      </c>
      <c r="P151" s="7" t="str">
        <f>IFERROR(VLOOKUP(Tabela3[[#This Row],[Categoria]],Cadastros!A:C,3,0),"")</f>
        <v/>
      </c>
      <c r="Q151" s="9" t="str">
        <f ca="1">IFERROR(Tabela3[[#This Row],[Vida útil]]-Tabela3[[#This Row],[Idade]],"")</f>
        <v/>
      </c>
      <c r="R151" s="8" t="str">
        <f ca="1">IFERROR(Tabela3[[#This Row],[Valor]]-(Tabela3[[#This Row],[Valor]]*(Tabela3[[#This Row],[Idade]]*VLOOKUP(Tabela3[[#This Row],[Categoria]],Cadastros!A:B,2,0))),"")</f>
        <v/>
      </c>
    </row>
    <row r="152" spans="4:18" x14ac:dyDescent="0.25">
      <c r="D152" s="5"/>
      <c r="N152" s="6" t="str">
        <f>IFERROR(Tabela3[[#This Row],[Última revisão do bem]]+(VLOOKUP(Tabela3[[#This Row],[Categoria]],Cadastros!A:D,4,0)+365),"")</f>
        <v/>
      </c>
      <c r="O152" s="7" t="str">
        <f ca="1">IF(Tabela3[[#This Row],[Data da compra]]&gt;0,(TODAY()-Tabela3[[#This Row],[Data da compra]])/365,"")</f>
        <v/>
      </c>
      <c r="P152" s="7" t="str">
        <f>IFERROR(VLOOKUP(Tabela3[[#This Row],[Categoria]],Cadastros!A:C,3,0),"")</f>
        <v/>
      </c>
      <c r="Q152" s="9" t="str">
        <f ca="1">IFERROR(Tabela3[[#This Row],[Vida útil]]-Tabela3[[#This Row],[Idade]],"")</f>
        <v/>
      </c>
      <c r="R152" s="8" t="str">
        <f ca="1">IFERROR(Tabela3[[#This Row],[Valor]]-(Tabela3[[#This Row],[Valor]]*(Tabela3[[#This Row],[Idade]]*VLOOKUP(Tabela3[[#This Row],[Categoria]],Cadastros!A:B,2,0))),"")</f>
        <v/>
      </c>
    </row>
    <row r="153" spans="4:18" x14ac:dyDescent="0.25">
      <c r="D153" s="5"/>
      <c r="N153" s="6" t="str">
        <f>IFERROR(Tabela3[[#This Row],[Última revisão do bem]]+(VLOOKUP(Tabela3[[#This Row],[Categoria]],Cadastros!A:D,4,0)+365),"")</f>
        <v/>
      </c>
      <c r="O153" s="7" t="str">
        <f ca="1">IF(Tabela3[[#This Row],[Data da compra]]&gt;0,(TODAY()-Tabela3[[#This Row],[Data da compra]])/365,"")</f>
        <v/>
      </c>
      <c r="P153" s="7" t="str">
        <f>IFERROR(VLOOKUP(Tabela3[[#This Row],[Categoria]],Cadastros!A:C,3,0),"")</f>
        <v/>
      </c>
      <c r="Q153" s="9" t="str">
        <f ca="1">IFERROR(Tabela3[[#This Row],[Vida útil]]-Tabela3[[#This Row],[Idade]],"")</f>
        <v/>
      </c>
      <c r="R153" s="8" t="str">
        <f ca="1">IFERROR(Tabela3[[#This Row],[Valor]]-(Tabela3[[#This Row],[Valor]]*(Tabela3[[#This Row],[Idade]]*VLOOKUP(Tabela3[[#This Row],[Categoria]],Cadastros!A:B,2,0))),"")</f>
        <v/>
      </c>
    </row>
    <row r="154" spans="4:18" x14ac:dyDescent="0.25">
      <c r="D154" s="5"/>
      <c r="N154" s="6" t="str">
        <f>IFERROR(Tabela3[[#This Row],[Última revisão do bem]]+(VLOOKUP(Tabela3[[#This Row],[Categoria]],Cadastros!A:D,4,0)+365),"")</f>
        <v/>
      </c>
      <c r="O154" s="7" t="str">
        <f ca="1">IF(Tabela3[[#This Row],[Data da compra]]&gt;0,(TODAY()-Tabela3[[#This Row],[Data da compra]])/365,"")</f>
        <v/>
      </c>
      <c r="P154" s="7" t="str">
        <f>IFERROR(VLOOKUP(Tabela3[[#This Row],[Categoria]],Cadastros!A:C,3,0),"")</f>
        <v/>
      </c>
      <c r="Q154" s="9" t="str">
        <f ca="1">IFERROR(Tabela3[[#This Row],[Vida útil]]-Tabela3[[#This Row],[Idade]],"")</f>
        <v/>
      </c>
      <c r="R154" s="8" t="str">
        <f ca="1">IFERROR(Tabela3[[#This Row],[Valor]]-(Tabela3[[#This Row],[Valor]]*(Tabela3[[#This Row],[Idade]]*VLOOKUP(Tabela3[[#This Row],[Categoria]],Cadastros!A:B,2,0))),"")</f>
        <v/>
      </c>
    </row>
    <row r="155" spans="4:18" x14ac:dyDescent="0.25">
      <c r="D155" s="5"/>
      <c r="N155" s="6" t="str">
        <f>IFERROR(Tabela3[[#This Row],[Última revisão do bem]]+(VLOOKUP(Tabela3[[#This Row],[Categoria]],Cadastros!A:D,4,0)+365),"")</f>
        <v/>
      </c>
      <c r="O155" s="7" t="str">
        <f ca="1">IF(Tabela3[[#This Row],[Data da compra]]&gt;0,(TODAY()-Tabela3[[#This Row],[Data da compra]])/365,"")</f>
        <v/>
      </c>
      <c r="P155" s="7" t="str">
        <f>IFERROR(VLOOKUP(Tabela3[[#This Row],[Categoria]],Cadastros!A:C,3,0),"")</f>
        <v/>
      </c>
      <c r="Q155" s="9" t="str">
        <f ca="1">IFERROR(Tabela3[[#This Row],[Vida útil]]-Tabela3[[#This Row],[Idade]],"")</f>
        <v/>
      </c>
      <c r="R155" s="8" t="str">
        <f ca="1">IFERROR(Tabela3[[#This Row],[Valor]]-(Tabela3[[#This Row],[Valor]]*(Tabela3[[#This Row],[Idade]]*VLOOKUP(Tabela3[[#This Row],[Categoria]],Cadastros!A:B,2,0))),"")</f>
        <v/>
      </c>
    </row>
    <row r="156" spans="4:18" x14ac:dyDescent="0.25">
      <c r="D156" s="5"/>
      <c r="N156" s="6" t="str">
        <f>IFERROR(Tabela3[[#This Row],[Última revisão do bem]]+(VLOOKUP(Tabela3[[#This Row],[Categoria]],Cadastros!A:D,4,0)+365),"")</f>
        <v/>
      </c>
      <c r="O156" s="7" t="str">
        <f ca="1">IF(Tabela3[[#This Row],[Data da compra]]&gt;0,(TODAY()-Tabela3[[#This Row],[Data da compra]])/365,"")</f>
        <v/>
      </c>
      <c r="P156" s="7" t="str">
        <f>IFERROR(VLOOKUP(Tabela3[[#This Row],[Categoria]],Cadastros!A:C,3,0),"")</f>
        <v/>
      </c>
      <c r="Q156" s="9" t="str">
        <f ca="1">IFERROR(Tabela3[[#This Row],[Vida útil]]-Tabela3[[#This Row],[Idade]],"")</f>
        <v/>
      </c>
      <c r="R156" s="8" t="str">
        <f ca="1">IFERROR(Tabela3[[#This Row],[Valor]]-(Tabela3[[#This Row],[Valor]]*(Tabela3[[#This Row],[Idade]]*VLOOKUP(Tabela3[[#This Row],[Categoria]],Cadastros!A:B,2,0))),"")</f>
        <v/>
      </c>
    </row>
    <row r="157" spans="4:18" x14ac:dyDescent="0.25">
      <c r="D157" s="5"/>
      <c r="N157" s="6" t="str">
        <f>IFERROR(Tabela3[[#This Row],[Última revisão do bem]]+(VLOOKUP(Tabela3[[#This Row],[Categoria]],Cadastros!A:D,4,0)+365),"")</f>
        <v/>
      </c>
      <c r="O157" s="7" t="str">
        <f ca="1">IF(Tabela3[[#This Row],[Data da compra]]&gt;0,(TODAY()-Tabela3[[#This Row],[Data da compra]])/365,"")</f>
        <v/>
      </c>
      <c r="P157" s="7" t="str">
        <f>IFERROR(VLOOKUP(Tabela3[[#This Row],[Categoria]],Cadastros!A:C,3,0),"")</f>
        <v/>
      </c>
      <c r="Q157" s="9" t="str">
        <f ca="1">IFERROR(Tabela3[[#This Row],[Vida útil]]-Tabela3[[#This Row],[Idade]],"")</f>
        <v/>
      </c>
      <c r="R157" s="8" t="str">
        <f ca="1">IFERROR(Tabela3[[#This Row],[Valor]]-(Tabela3[[#This Row],[Valor]]*(Tabela3[[#This Row],[Idade]]*VLOOKUP(Tabela3[[#This Row],[Categoria]],Cadastros!A:B,2,0))),"")</f>
        <v/>
      </c>
    </row>
    <row r="158" spans="4:18" x14ac:dyDescent="0.25">
      <c r="D158" s="5"/>
      <c r="N158" s="6" t="str">
        <f>IFERROR(Tabela3[[#This Row],[Última revisão do bem]]+(VLOOKUP(Tabela3[[#This Row],[Categoria]],Cadastros!A:D,4,0)+365),"")</f>
        <v/>
      </c>
      <c r="O158" s="7" t="str">
        <f ca="1">IF(Tabela3[[#This Row],[Data da compra]]&gt;0,(TODAY()-Tabela3[[#This Row],[Data da compra]])/365,"")</f>
        <v/>
      </c>
      <c r="P158" s="7" t="str">
        <f>IFERROR(VLOOKUP(Tabela3[[#This Row],[Categoria]],Cadastros!A:C,3,0),"")</f>
        <v/>
      </c>
      <c r="Q158" s="9" t="str">
        <f ca="1">IFERROR(Tabela3[[#This Row],[Vida útil]]-Tabela3[[#This Row],[Idade]],"")</f>
        <v/>
      </c>
      <c r="R158" s="8" t="str">
        <f ca="1">IFERROR(Tabela3[[#This Row],[Valor]]-(Tabela3[[#This Row],[Valor]]*(Tabela3[[#This Row],[Idade]]*VLOOKUP(Tabela3[[#This Row],[Categoria]],Cadastros!A:B,2,0))),"")</f>
        <v/>
      </c>
    </row>
    <row r="159" spans="4:18" x14ac:dyDescent="0.25">
      <c r="D159" s="5"/>
      <c r="N159" s="6" t="str">
        <f>IFERROR(Tabela3[[#This Row],[Última revisão do bem]]+(VLOOKUP(Tabela3[[#This Row],[Categoria]],Cadastros!A:D,4,0)+365),"")</f>
        <v/>
      </c>
      <c r="O159" s="7" t="str">
        <f ca="1">IF(Tabela3[[#This Row],[Data da compra]]&gt;0,(TODAY()-Tabela3[[#This Row],[Data da compra]])/365,"")</f>
        <v/>
      </c>
      <c r="P159" s="7" t="str">
        <f>IFERROR(VLOOKUP(Tabela3[[#This Row],[Categoria]],Cadastros!A:C,3,0),"")</f>
        <v/>
      </c>
      <c r="Q159" s="9" t="str">
        <f ca="1">IFERROR(Tabela3[[#This Row],[Vida útil]]-Tabela3[[#This Row],[Idade]],"")</f>
        <v/>
      </c>
      <c r="R159" s="8" t="str">
        <f ca="1">IFERROR(Tabela3[[#This Row],[Valor]]-(Tabela3[[#This Row],[Valor]]*(Tabela3[[#This Row],[Idade]]*VLOOKUP(Tabela3[[#This Row],[Categoria]],Cadastros!A:B,2,0))),"")</f>
        <v/>
      </c>
    </row>
    <row r="160" spans="4:18" x14ac:dyDescent="0.25">
      <c r="D160" s="5"/>
      <c r="N160" s="6" t="str">
        <f>IFERROR(Tabela3[[#This Row],[Última revisão do bem]]+(VLOOKUP(Tabela3[[#This Row],[Categoria]],Cadastros!A:D,4,0)+365),"")</f>
        <v/>
      </c>
      <c r="O160" s="7" t="str">
        <f ca="1">IF(Tabela3[[#This Row],[Data da compra]]&gt;0,(TODAY()-Tabela3[[#This Row],[Data da compra]])/365,"")</f>
        <v/>
      </c>
      <c r="P160" s="7" t="str">
        <f>IFERROR(VLOOKUP(Tabela3[[#This Row],[Categoria]],Cadastros!A:C,3,0),"")</f>
        <v/>
      </c>
      <c r="Q160" s="9" t="str">
        <f ca="1">IFERROR(Tabela3[[#This Row],[Vida útil]]-Tabela3[[#This Row],[Idade]],"")</f>
        <v/>
      </c>
      <c r="R160" s="8" t="str">
        <f ca="1">IFERROR(Tabela3[[#This Row],[Valor]]-(Tabela3[[#This Row],[Valor]]*(Tabela3[[#This Row],[Idade]]*VLOOKUP(Tabela3[[#This Row],[Categoria]],Cadastros!A:B,2,0))),"")</f>
        <v/>
      </c>
    </row>
    <row r="161" spans="4:18" x14ac:dyDescent="0.25">
      <c r="D161" s="5"/>
      <c r="N161" s="6" t="str">
        <f>IFERROR(Tabela3[[#This Row],[Última revisão do bem]]+(VLOOKUP(Tabela3[[#This Row],[Categoria]],Cadastros!A:D,4,0)+365),"")</f>
        <v/>
      </c>
      <c r="O161" s="7" t="str">
        <f ca="1">IF(Tabela3[[#This Row],[Data da compra]]&gt;0,(TODAY()-Tabela3[[#This Row],[Data da compra]])/365,"")</f>
        <v/>
      </c>
      <c r="P161" s="7" t="str">
        <f>IFERROR(VLOOKUP(Tabela3[[#This Row],[Categoria]],Cadastros!A:C,3,0),"")</f>
        <v/>
      </c>
      <c r="Q161" s="9" t="str">
        <f ca="1">IFERROR(Tabela3[[#This Row],[Vida útil]]-Tabela3[[#This Row],[Idade]],"")</f>
        <v/>
      </c>
      <c r="R161" s="8" t="str">
        <f ca="1">IFERROR(Tabela3[[#This Row],[Valor]]-(Tabela3[[#This Row],[Valor]]*(Tabela3[[#This Row],[Idade]]*VLOOKUP(Tabela3[[#This Row],[Categoria]],Cadastros!A:B,2,0))),"")</f>
        <v/>
      </c>
    </row>
    <row r="162" spans="4:18" x14ac:dyDescent="0.25">
      <c r="D162" s="5"/>
      <c r="N162" s="6" t="str">
        <f>IFERROR(Tabela3[[#This Row],[Última revisão do bem]]+(VLOOKUP(Tabela3[[#This Row],[Categoria]],Cadastros!A:D,4,0)+365),"")</f>
        <v/>
      </c>
      <c r="O162" s="7" t="str">
        <f ca="1">IF(Tabela3[[#This Row],[Data da compra]]&gt;0,(TODAY()-Tabela3[[#This Row],[Data da compra]])/365,"")</f>
        <v/>
      </c>
      <c r="P162" s="7" t="str">
        <f>IFERROR(VLOOKUP(Tabela3[[#This Row],[Categoria]],Cadastros!A:C,3,0),"")</f>
        <v/>
      </c>
      <c r="Q162" s="9" t="str">
        <f ca="1">IFERROR(Tabela3[[#This Row],[Vida útil]]-Tabela3[[#This Row],[Idade]],"")</f>
        <v/>
      </c>
      <c r="R162" s="8" t="str">
        <f ca="1">IFERROR(Tabela3[[#This Row],[Valor]]-(Tabela3[[#This Row],[Valor]]*(Tabela3[[#This Row],[Idade]]*VLOOKUP(Tabela3[[#This Row],[Categoria]],Cadastros!A:B,2,0))),"")</f>
        <v/>
      </c>
    </row>
    <row r="163" spans="4:18" x14ac:dyDescent="0.25">
      <c r="D163" s="5"/>
      <c r="N163" s="6" t="str">
        <f>IFERROR(Tabela3[[#This Row],[Última revisão do bem]]+(VLOOKUP(Tabela3[[#This Row],[Categoria]],Cadastros!A:D,4,0)+365),"")</f>
        <v/>
      </c>
      <c r="O163" s="7" t="str">
        <f ca="1">IF(Tabela3[[#This Row],[Data da compra]]&gt;0,(TODAY()-Tabela3[[#This Row],[Data da compra]])/365,"")</f>
        <v/>
      </c>
      <c r="P163" s="7" t="str">
        <f>IFERROR(VLOOKUP(Tabela3[[#This Row],[Categoria]],Cadastros!A:C,3,0),"")</f>
        <v/>
      </c>
      <c r="Q163" s="9" t="str">
        <f ca="1">IFERROR(Tabela3[[#This Row],[Vida útil]]-Tabela3[[#This Row],[Idade]],"")</f>
        <v/>
      </c>
      <c r="R163" s="8" t="str">
        <f ca="1">IFERROR(Tabela3[[#This Row],[Valor]]-(Tabela3[[#This Row],[Valor]]*(Tabela3[[#This Row],[Idade]]*VLOOKUP(Tabela3[[#This Row],[Categoria]],Cadastros!A:B,2,0))),"")</f>
        <v/>
      </c>
    </row>
    <row r="164" spans="4:18" x14ac:dyDescent="0.25">
      <c r="D164" s="5"/>
      <c r="N164" s="6" t="str">
        <f>IFERROR(Tabela3[[#This Row],[Última revisão do bem]]+(VLOOKUP(Tabela3[[#This Row],[Categoria]],Cadastros!A:D,4,0)+365),"")</f>
        <v/>
      </c>
      <c r="O164" s="7" t="str">
        <f ca="1">IF(Tabela3[[#This Row],[Data da compra]]&gt;0,(TODAY()-Tabela3[[#This Row],[Data da compra]])/365,"")</f>
        <v/>
      </c>
      <c r="P164" s="7" t="str">
        <f>IFERROR(VLOOKUP(Tabela3[[#This Row],[Categoria]],Cadastros!A:C,3,0),"")</f>
        <v/>
      </c>
      <c r="Q164" s="9" t="str">
        <f ca="1">IFERROR(Tabela3[[#This Row],[Vida útil]]-Tabela3[[#This Row],[Idade]],"")</f>
        <v/>
      </c>
      <c r="R164" s="8" t="str">
        <f ca="1">IFERROR(Tabela3[[#This Row],[Valor]]-(Tabela3[[#This Row],[Valor]]*(Tabela3[[#This Row],[Idade]]*VLOOKUP(Tabela3[[#This Row],[Categoria]],Cadastros!A:B,2,0))),"")</f>
        <v/>
      </c>
    </row>
    <row r="165" spans="4:18" x14ac:dyDescent="0.25">
      <c r="D165" s="5"/>
      <c r="N165" s="6" t="str">
        <f>IFERROR(Tabela3[[#This Row],[Última revisão do bem]]+(VLOOKUP(Tabela3[[#This Row],[Categoria]],Cadastros!A:D,4,0)+365),"")</f>
        <v/>
      </c>
      <c r="O165" s="7" t="str">
        <f ca="1">IF(Tabela3[[#This Row],[Data da compra]]&gt;0,(TODAY()-Tabela3[[#This Row],[Data da compra]])/365,"")</f>
        <v/>
      </c>
      <c r="P165" s="7" t="str">
        <f>IFERROR(VLOOKUP(Tabela3[[#This Row],[Categoria]],Cadastros!A:C,3,0),"")</f>
        <v/>
      </c>
      <c r="Q165" s="9" t="str">
        <f ca="1">IFERROR(Tabela3[[#This Row],[Vida útil]]-Tabela3[[#This Row],[Idade]],"")</f>
        <v/>
      </c>
      <c r="R165" s="8" t="str">
        <f ca="1">IFERROR(Tabela3[[#This Row],[Valor]]-(Tabela3[[#This Row],[Valor]]*(Tabela3[[#This Row],[Idade]]*VLOOKUP(Tabela3[[#This Row],[Categoria]],Cadastros!A:B,2,0))),"")</f>
        <v/>
      </c>
    </row>
    <row r="166" spans="4:18" x14ac:dyDescent="0.25">
      <c r="D166" s="5"/>
      <c r="N166" s="6" t="str">
        <f>IFERROR(Tabela3[[#This Row],[Última revisão do bem]]+(VLOOKUP(Tabela3[[#This Row],[Categoria]],Cadastros!A:D,4,0)+365),"")</f>
        <v/>
      </c>
      <c r="O166" s="7" t="str">
        <f ca="1">IF(Tabela3[[#This Row],[Data da compra]]&gt;0,(TODAY()-Tabela3[[#This Row],[Data da compra]])/365,"")</f>
        <v/>
      </c>
      <c r="P166" s="7" t="str">
        <f>IFERROR(VLOOKUP(Tabela3[[#This Row],[Categoria]],Cadastros!A:C,3,0),"")</f>
        <v/>
      </c>
      <c r="Q166" s="9" t="str">
        <f ca="1">IFERROR(Tabela3[[#This Row],[Vida útil]]-Tabela3[[#This Row],[Idade]],"")</f>
        <v/>
      </c>
      <c r="R166" s="8" t="str">
        <f ca="1">IFERROR(Tabela3[[#This Row],[Valor]]-(Tabela3[[#This Row],[Valor]]*(Tabela3[[#This Row],[Idade]]*VLOOKUP(Tabela3[[#This Row],[Categoria]],Cadastros!A:B,2,0))),"")</f>
        <v/>
      </c>
    </row>
    <row r="167" spans="4:18" x14ac:dyDescent="0.25">
      <c r="D167" s="5"/>
      <c r="N167" s="6" t="str">
        <f>IFERROR(Tabela3[[#This Row],[Última revisão do bem]]+(VLOOKUP(Tabela3[[#This Row],[Categoria]],Cadastros!A:D,4,0)+365),"")</f>
        <v/>
      </c>
      <c r="O167" s="7" t="str">
        <f ca="1">IF(Tabela3[[#This Row],[Data da compra]]&gt;0,(TODAY()-Tabela3[[#This Row],[Data da compra]])/365,"")</f>
        <v/>
      </c>
      <c r="P167" s="7" t="str">
        <f>IFERROR(VLOOKUP(Tabela3[[#This Row],[Categoria]],Cadastros!A:C,3,0),"")</f>
        <v/>
      </c>
      <c r="Q167" s="9" t="str">
        <f ca="1">IFERROR(Tabela3[[#This Row],[Vida útil]]-Tabela3[[#This Row],[Idade]],"")</f>
        <v/>
      </c>
      <c r="R167" s="8" t="str">
        <f ca="1">IFERROR(Tabela3[[#This Row],[Valor]]-(Tabela3[[#This Row],[Valor]]*(Tabela3[[#This Row],[Idade]]*VLOOKUP(Tabela3[[#This Row],[Categoria]],Cadastros!A:B,2,0))),"")</f>
        <v/>
      </c>
    </row>
    <row r="168" spans="4:18" x14ac:dyDescent="0.25">
      <c r="D168" s="5"/>
      <c r="N168" s="6" t="str">
        <f>IFERROR(Tabela3[[#This Row],[Última revisão do bem]]+(VLOOKUP(Tabela3[[#This Row],[Categoria]],Cadastros!A:D,4,0)+365),"")</f>
        <v/>
      </c>
      <c r="O168" s="7" t="str">
        <f ca="1">IF(Tabela3[[#This Row],[Data da compra]]&gt;0,(TODAY()-Tabela3[[#This Row],[Data da compra]])/365,"")</f>
        <v/>
      </c>
      <c r="P168" s="7" t="str">
        <f>IFERROR(VLOOKUP(Tabela3[[#This Row],[Categoria]],Cadastros!A:C,3,0),"")</f>
        <v/>
      </c>
      <c r="Q168" s="9" t="str">
        <f ca="1">IFERROR(Tabela3[[#This Row],[Vida útil]]-Tabela3[[#This Row],[Idade]],"")</f>
        <v/>
      </c>
      <c r="R168" s="8" t="str">
        <f ca="1">IFERROR(Tabela3[[#This Row],[Valor]]-(Tabela3[[#This Row],[Valor]]*(Tabela3[[#This Row],[Idade]]*VLOOKUP(Tabela3[[#This Row],[Categoria]],Cadastros!A:B,2,0))),"")</f>
        <v/>
      </c>
    </row>
    <row r="169" spans="4:18" x14ac:dyDescent="0.25">
      <c r="D169" s="5"/>
      <c r="N169" s="6" t="str">
        <f>IFERROR(Tabela3[[#This Row],[Última revisão do bem]]+(VLOOKUP(Tabela3[[#This Row],[Categoria]],Cadastros!A:D,4,0)+365),"")</f>
        <v/>
      </c>
      <c r="O169" s="7" t="str">
        <f ca="1">IF(Tabela3[[#This Row],[Data da compra]]&gt;0,(TODAY()-Tabela3[[#This Row],[Data da compra]])/365,"")</f>
        <v/>
      </c>
      <c r="P169" s="7" t="str">
        <f>IFERROR(VLOOKUP(Tabela3[[#This Row],[Categoria]],Cadastros!A:C,3,0),"")</f>
        <v/>
      </c>
      <c r="Q169" s="9" t="str">
        <f ca="1">IFERROR(Tabela3[[#This Row],[Vida útil]]-Tabela3[[#This Row],[Idade]],"")</f>
        <v/>
      </c>
      <c r="R169" s="8" t="str">
        <f ca="1">IFERROR(Tabela3[[#This Row],[Valor]]-(Tabela3[[#This Row],[Valor]]*(Tabela3[[#This Row],[Idade]]*VLOOKUP(Tabela3[[#This Row],[Categoria]],Cadastros!A:B,2,0))),"")</f>
        <v/>
      </c>
    </row>
    <row r="170" spans="4:18" x14ac:dyDescent="0.25">
      <c r="D170" s="5"/>
      <c r="N170" s="6" t="str">
        <f>IFERROR(Tabela3[[#This Row],[Última revisão do bem]]+(VLOOKUP(Tabela3[[#This Row],[Categoria]],Cadastros!A:D,4,0)+365),"")</f>
        <v/>
      </c>
      <c r="O170" s="7" t="str">
        <f ca="1">IF(Tabela3[[#This Row],[Data da compra]]&gt;0,(TODAY()-Tabela3[[#This Row],[Data da compra]])/365,"")</f>
        <v/>
      </c>
      <c r="P170" s="7" t="str">
        <f>IFERROR(VLOOKUP(Tabela3[[#This Row],[Categoria]],Cadastros!A:C,3,0),"")</f>
        <v/>
      </c>
      <c r="Q170" s="9" t="str">
        <f ca="1">IFERROR(Tabela3[[#This Row],[Vida útil]]-Tabela3[[#This Row],[Idade]],"")</f>
        <v/>
      </c>
      <c r="R170" s="8" t="str">
        <f ca="1">IFERROR(Tabela3[[#This Row],[Valor]]-(Tabela3[[#This Row],[Valor]]*(Tabela3[[#This Row],[Idade]]*VLOOKUP(Tabela3[[#This Row],[Categoria]],Cadastros!A:B,2,0))),"")</f>
        <v/>
      </c>
    </row>
    <row r="171" spans="4:18" x14ac:dyDescent="0.25">
      <c r="D171" s="5"/>
      <c r="N171" s="6" t="str">
        <f>IFERROR(Tabela3[[#This Row],[Última revisão do bem]]+(VLOOKUP(Tabela3[[#This Row],[Categoria]],Cadastros!A:D,4,0)+365),"")</f>
        <v/>
      </c>
      <c r="O171" s="7" t="str">
        <f ca="1">IF(Tabela3[[#This Row],[Data da compra]]&gt;0,(TODAY()-Tabela3[[#This Row],[Data da compra]])/365,"")</f>
        <v/>
      </c>
      <c r="P171" s="7" t="str">
        <f>IFERROR(VLOOKUP(Tabela3[[#This Row],[Categoria]],Cadastros!A:C,3,0),"")</f>
        <v/>
      </c>
      <c r="Q171" s="9" t="str">
        <f ca="1">IFERROR(Tabela3[[#This Row],[Vida útil]]-Tabela3[[#This Row],[Idade]],"")</f>
        <v/>
      </c>
      <c r="R171" s="8" t="str">
        <f ca="1">IFERROR(Tabela3[[#This Row],[Valor]]-(Tabela3[[#This Row],[Valor]]*(Tabela3[[#This Row],[Idade]]*VLOOKUP(Tabela3[[#This Row],[Categoria]],Cadastros!A:B,2,0))),"")</f>
        <v/>
      </c>
    </row>
    <row r="172" spans="4:18" x14ac:dyDescent="0.25">
      <c r="D172" s="5"/>
      <c r="N172" s="6" t="str">
        <f>IFERROR(Tabela3[[#This Row],[Última revisão do bem]]+(VLOOKUP(Tabela3[[#This Row],[Categoria]],Cadastros!A:D,4,0)+365),"")</f>
        <v/>
      </c>
      <c r="O172" s="7" t="str">
        <f ca="1">IF(Tabela3[[#This Row],[Data da compra]]&gt;0,(TODAY()-Tabela3[[#This Row],[Data da compra]])/365,"")</f>
        <v/>
      </c>
      <c r="P172" s="7" t="str">
        <f>IFERROR(VLOOKUP(Tabela3[[#This Row],[Categoria]],Cadastros!A:C,3,0),"")</f>
        <v/>
      </c>
      <c r="Q172" s="9" t="str">
        <f ca="1">IFERROR(Tabela3[[#This Row],[Vida útil]]-Tabela3[[#This Row],[Idade]],"")</f>
        <v/>
      </c>
      <c r="R172" s="8" t="str">
        <f ca="1">IFERROR(Tabela3[[#This Row],[Valor]]-(Tabela3[[#This Row],[Valor]]*(Tabela3[[#This Row],[Idade]]*VLOOKUP(Tabela3[[#This Row],[Categoria]],Cadastros!A:B,2,0))),"")</f>
        <v/>
      </c>
    </row>
    <row r="173" spans="4:18" x14ac:dyDescent="0.25">
      <c r="D173" s="5"/>
      <c r="N173" s="6" t="str">
        <f>IFERROR(Tabela3[[#This Row],[Última revisão do bem]]+(VLOOKUP(Tabela3[[#This Row],[Categoria]],Cadastros!A:D,4,0)+365),"")</f>
        <v/>
      </c>
      <c r="O173" s="7" t="str">
        <f ca="1">IF(Tabela3[[#This Row],[Data da compra]]&gt;0,(TODAY()-Tabela3[[#This Row],[Data da compra]])/365,"")</f>
        <v/>
      </c>
      <c r="P173" s="7" t="str">
        <f>IFERROR(VLOOKUP(Tabela3[[#This Row],[Categoria]],Cadastros!A:C,3,0),"")</f>
        <v/>
      </c>
      <c r="Q173" s="9" t="str">
        <f ca="1">IFERROR(Tabela3[[#This Row],[Vida útil]]-Tabela3[[#This Row],[Idade]],"")</f>
        <v/>
      </c>
      <c r="R173" s="8" t="str">
        <f ca="1">IFERROR(Tabela3[[#This Row],[Valor]]-(Tabela3[[#This Row],[Valor]]*(Tabela3[[#This Row],[Idade]]*VLOOKUP(Tabela3[[#This Row],[Categoria]],Cadastros!A:B,2,0))),"")</f>
        <v/>
      </c>
    </row>
    <row r="174" spans="4:18" x14ac:dyDescent="0.25">
      <c r="D174" s="5"/>
      <c r="N174" s="6" t="str">
        <f>IFERROR(Tabela3[[#This Row],[Última revisão do bem]]+(VLOOKUP(Tabela3[[#This Row],[Categoria]],Cadastros!A:D,4,0)+365),"")</f>
        <v/>
      </c>
      <c r="O174" s="7" t="str">
        <f ca="1">IF(Tabela3[[#This Row],[Data da compra]]&gt;0,(TODAY()-Tabela3[[#This Row],[Data da compra]])/365,"")</f>
        <v/>
      </c>
      <c r="P174" s="7" t="str">
        <f>IFERROR(VLOOKUP(Tabela3[[#This Row],[Categoria]],Cadastros!A:C,3,0),"")</f>
        <v/>
      </c>
      <c r="Q174" s="9" t="str">
        <f ca="1">IFERROR(Tabela3[[#This Row],[Vida útil]]-Tabela3[[#This Row],[Idade]],"")</f>
        <v/>
      </c>
      <c r="R174" s="8" t="str">
        <f ca="1">IFERROR(Tabela3[[#This Row],[Valor]]-(Tabela3[[#This Row],[Valor]]*(Tabela3[[#This Row],[Idade]]*VLOOKUP(Tabela3[[#This Row],[Categoria]],Cadastros!A:B,2,0))),"")</f>
        <v/>
      </c>
    </row>
    <row r="175" spans="4:18" x14ac:dyDescent="0.25">
      <c r="D175" s="5"/>
      <c r="N175" s="6" t="str">
        <f>IFERROR(Tabela3[[#This Row],[Última revisão do bem]]+(VLOOKUP(Tabela3[[#This Row],[Categoria]],Cadastros!A:D,4,0)+365),"")</f>
        <v/>
      </c>
      <c r="O175" s="7" t="str">
        <f ca="1">IF(Tabela3[[#This Row],[Data da compra]]&gt;0,(TODAY()-Tabela3[[#This Row],[Data da compra]])/365,"")</f>
        <v/>
      </c>
      <c r="P175" s="7" t="str">
        <f>IFERROR(VLOOKUP(Tabela3[[#This Row],[Categoria]],Cadastros!A:C,3,0),"")</f>
        <v/>
      </c>
      <c r="Q175" s="9" t="str">
        <f ca="1">IFERROR(Tabela3[[#This Row],[Vida útil]]-Tabela3[[#This Row],[Idade]],"")</f>
        <v/>
      </c>
      <c r="R175" s="8" t="str">
        <f ca="1">IFERROR(Tabela3[[#This Row],[Valor]]-(Tabela3[[#This Row],[Valor]]*(Tabela3[[#This Row],[Idade]]*VLOOKUP(Tabela3[[#This Row],[Categoria]],Cadastros!A:B,2,0))),"")</f>
        <v/>
      </c>
    </row>
    <row r="176" spans="4:18" x14ac:dyDescent="0.25">
      <c r="D176" s="5"/>
      <c r="N176" s="6" t="str">
        <f>IFERROR(Tabela3[[#This Row],[Última revisão do bem]]+(VLOOKUP(Tabela3[[#This Row],[Categoria]],Cadastros!A:D,4,0)+365),"")</f>
        <v/>
      </c>
      <c r="O176" s="7" t="str">
        <f ca="1">IF(Tabela3[[#This Row],[Data da compra]]&gt;0,(TODAY()-Tabela3[[#This Row],[Data da compra]])/365,"")</f>
        <v/>
      </c>
      <c r="P176" s="7" t="str">
        <f>IFERROR(VLOOKUP(Tabela3[[#This Row],[Categoria]],Cadastros!A:C,3,0),"")</f>
        <v/>
      </c>
      <c r="Q176" s="9" t="str">
        <f ca="1">IFERROR(Tabela3[[#This Row],[Vida útil]]-Tabela3[[#This Row],[Idade]],"")</f>
        <v/>
      </c>
      <c r="R176" s="8" t="str">
        <f ca="1">IFERROR(Tabela3[[#This Row],[Valor]]-(Tabela3[[#This Row],[Valor]]*(Tabela3[[#This Row],[Idade]]*VLOOKUP(Tabela3[[#This Row],[Categoria]],Cadastros!A:B,2,0))),"")</f>
        <v/>
      </c>
    </row>
    <row r="177" spans="4:18" x14ac:dyDescent="0.25">
      <c r="D177" s="5"/>
      <c r="N177" s="6" t="str">
        <f>IFERROR(Tabela3[[#This Row],[Última revisão do bem]]+(VLOOKUP(Tabela3[[#This Row],[Categoria]],Cadastros!A:D,4,0)+365),"")</f>
        <v/>
      </c>
      <c r="O177" s="7" t="str">
        <f ca="1">IF(Tabela3[[#This Row],[Data da compra]]&gt;0,(TODAY()-Tabela3[[#This Row],[Data da compra]])/365,"")</f>
        <v/>
      </c>
      <c r="P177" s="7" t="str">
        <f>IFERROR(VLOOKUP(Tabela3[[#This Row],[Categoria]],Cadastros!A:C,3,0),"")</f>
        <v/>
      </c>
      <c r="Q177" s="9" t="str">
        <f ca="1">IFERROR(Tabela3[[#This Row],[Vida útil]]-Tabela3[[#This Row],[Idade]],"")</f>
        <v/>
      </c>
      <c r="R177" s="8" t="str">
        <f ca="1">IFERROR(Tabela3[[#This Row],[Valor]]-(Tabela3[[#This Row],[Valor]]*(Tabela3[[#This Row],[Idade]]*VLOOKUP(Tabela3[[#This Row],[Categoria]],Cadastros!A:B,2,0))),"")</f>
        <v/>
      </c>
    </row>
    <row r="178" spans="4:18" x14ac:dyDescent="0.25">
      <c r="D178" s="5"/>
      <c r="N178" s="6" t="str">
        <f>IFERROR(Tabela3[[#This Row],[Última revisão do bem]]+(VLOOKUP(Tabela3[[#This Row],[Categoria]],Cadastros!A:D,4,0)+365),"")</f>
        <v/>
      </c>
      <c r="O178" s="7" t="str">
        <f ca="1">IF(Tabela3[[#This Row],[Data da compra]]&gt;0,(TODAY()-Tabela3[[#This Row],[Data da compra]])/365,"")</f>
        <v/>
      </c>
      <c r="P178" s="7" t="str">
        <f>IFERROR(VLOOKUP(Tabela3[[#This Row],[Categoria]],Cadastros!A:C,3,0),"")</f>
        <v/>
      </c>
      <c r="Q178" s="9" t="str">
        <f ca="1">IFERROR(Tabela3[[#This Row],[Vida útil]]-Tabela3[[#This Row],[Idade]],"")</f>
        <v/>
      </c>
      <c r="R178" s="8" t="str">
        <f ca="1">IFERROR(Tabela3[[#This Row],[Valor]]-(Tabela3[[#This Row],[Valor]]*(Tabela3[[#This Row],[Idade]]*VLOOKUP(Tabela3[[#This Row],[Categoria]],Cadastros!A:B,2,0))),"")</f>
        <v/>
      </c>
    </row>
    <row r="179" spans="4:18" x14ac:dyDescent="0.25">
      <c r="D179" s="5"/>
      <c r="N179" s="6" t="str">
        <f>IFERROR(Tabela3[[#This Row],[Última revisão do bem]]+(VLOOKUP(Tabela3[[#This Row],[Categoria]],Cadastros!A:D,4,0)+365),"")</f>
        <v/>
      </c>
      <c r="O179" s="7" t="str">
        <f ca="1">IF(Tabela3[[#This Row],[Data da compra]]&gt;0,(TODAY()-Tabela3[[#This Row],[Data da compra]])/365,"")</f>
        <v/>
      </c>
      <c r="P179" s="7" t="str">
        <f>IFERROR(VLOOKUP(Tabela3[[#This Row],[Categoria]],Cadastros!A:C,3,0),"")</f>
        <v/>
      </c>
      <c r="Q179" s="9" t="str">
        <f ca="1">IFERROR(Tabela3[[#This Row],[Vida útil]]-Tabela3[[#This Row],[Idade]],"")</f>
        <v/>
      </c>
      <c r="R179" s="8" t="str">
        <f ca="1">IFERROR(Tabela3[[#This Row],[Valor]]-(Tabela3[[#This Row],[Valor]]*(Tabela3[[#This Row],[Idade]]*VLOOKUP(Tabela3[[#This Row],[Categoria]],Cadastros!A:B,2,0))),"")</f>
        <v/>
      </c>
    </row>
    <row r="180" spans="4:18" x14ac:dyDescent="0.25">
      <c r="D180" s="5"/>
      <c r="N180" s="6" t="str">
        <f>IFERROR(Tabela3[[#This Row],[Última revisão do bem]]+(VLOOKUP(Tabela3[[#This Row],[Categoria]],Cadastros!A:D,4,0)+365),"")</f>
        <v/>
      </c>
      <c r="O180" s="7" t="str">
        <f ca="1">IF(Tabela3[[#This Row],[Data da compra]]&gt;0,(TODAY()-Tabela3[[#This Row],[Data da compra]])/365,"")</f>
        <v/>
      </c>
      <c r="P180" s="7" t="str">
        <f>IFERROR(VLOOKUP(Tabela3[[#This Row],[Categoria]],Cadastros!A:C,3,0),"")</f>
        <v/>
      </c>
      <c r="Q180" s="9" t="str">
        <f ca="1">IFERROR(Tabela3[[#This Row],[Vida útil]]-Tabela3[[#This Row],[Idade]],"")</f>
        <v/>
      </c>
      <c r="R180" s="8" t="str">
        <f ca="1">IFERROR(Tabela3[[#This Row],[Valor]]-(Tabela3[[#This Row],[Valor]]*(Tabela3[[#This Row],[Idade]]*VLOOKUP(Tabela3[[#This Row],[Categoria]],Cadastros!A:B,2,0))),"")</f>
        <v/>
      </c>
    </row>
    <row r="181" spans="4:18" x14ac:dyDescent="0.25">
      <c r="D181" s="5"/>
      <c r="N181" s="6" t="str">
        <f>IFERROR(Tabela3[[#This Row],[Última revisão do bem]]+(VLOOKUP(Tabela3[[#This Row],[Categoria]],Cadastros!A:D,4,0)+365),"")</f>
        <v/>
      </c>
      <c r="O181" s="7" t="str">
        <f ca="1">IF(Tabela3[[#This Row],[Data da compra]]&gt;0,(TODAY()-Tabela3[[#This Row],[Data da compra]])/365,"")</f>
        <v/>
      </c>
      <c r="P181" s="7" t="str">
        <f>IFERROR(VLOOKUP(Tabela3[[#This Row],[Categoria]],Cadastros!A:C,3,0),"")</f>
        <v/>
      </c>
      <c r="Q181" s="9" t="str">
        <f ca="1">IFERROR(Tabela3[[#This Row],[Vida útil]]-Tabela3[[#This Row],[Idade]],"")</f>
        <v/>
      </c>
      <c r="R181" s="8" t="str">
        <f ca="1">IFERROR(Tabela3[[#This Row],[Valor]]-(Tabela3[[#This Row],[Valor]]*(Tabela3[[#This Row],[Idade]]*VLOOKUP(Tabela3[[#This Row],[Categoria]],Cadastros!A:B,2,0))),"")</f>
        <v/>
      </c>
    </row>
    <row r="182" spans="4:18" x14ac:dyDescent="0.25">
      <c r="D182" s="5"/>
      <c r="N182" s="6" t="str">
        <f>IFERROR(Tabela3[[#This Row],[Última revisão do bem]]+(VLOOKUP(Tabela3[[#This Row],[Categoria]],Cadastros!A:D,4,0)+365),"")</f>
        <v/>
      </c>
      <c r="O182" s="7" t="str">
        <f ca="1">IF(Tabela3[[#This Row],[Data da compra]]&gt;0,(TODAY()-Tabela3[[#This Row],[Data da compra]])/365,"")</f>
        <v/>
      </c>
      <c r="P182" s="7" t="str">
        <f>IFERROR(VLOOKUP(Tabela3[[#This Row],[Categoria]],Cadastros!A:C,3,0),"")</f>
        <v/>
      </c>
      <c r="Q182" s="9" t="str">
        <f ca="1">IFERROR(Tabela3[[#This Row],[Vida útil]]-Tabela3[[#This Row],[Idade]],"")</f>
        <v/>
      </c>
      <c r="R182" s="8" t="str">
        <f ca="1">IFERROR(Tabela3[[#This Row],[Valor]]-(Tabela3[[#This Row],[Valor]]*(Tabela3[[#This Row],[Idade]]*VLOOKUP(Tabela3[[#This Row],[Categoria]],Cadastros!A:B,2,0))),"")</f>
        <v/>
      </c>
    </row>
    <row r="183" spans="4:18" x14ac:dyDescent="0.25">
      <c r="D183" s="5"/>
      <c r="N183" s="6" t="str">
        <f>IFERROR(Tabela3[[#This Row],[Última revisão do bem]]+(VLOOKUP(Tabela3[[#This Row],[Categoria]],Cadastros!A:D,4,0)+365),"")</f>
        <v/>
      </c>
      <c r="O183" s="7" t="str">
        <f ca="1">IF(Tabela3[[#This Row],[Data da compra]]&gt;0,(TODAY()-Tabela3[[#This Row],[Data da compra]])/365,"")</f>
        <v/>
      </c>
      <c r="P183" s="7" t="str">
        <f>IFERROR(VLOOKUP(Tabela3[[#This Row],[Categoria]],Cadastros!A:C,3,0),"")</f>
        <v/>
      </c>
      <c r="Q183" s="9" t="str">
        <f ca="1">IFERROR(Tabela3[[#This Row],[Vida útil]]-Tabela3[[#This Row],[Idade]],"")</f>
        <v/>
      </c>
      <c r="R183" s="8" t="str">
        <f ca="1">IFERROR(Tabela3[[#This Row],[Valor]]-(Tabela3[[#This Row],[Valor]]*(Tabela3[[#This Row],[Idade]]*VLOOKUP(Tabela3[[#This Row],[Categoria]],Cadastros!A:B,2,0))),"")</f>
        <v/>
      </c>
    </row>
    <row r="184" spans="4:18" x14ac:dyDescent="0.25">
      <c r="D184" s="5"/>
      <c r="N184" s="6" t="str">
        <f>IFERROR(Tabela3[[#This Row],[Última revisão do bem]]+(VLOOKUP(Tabela3[[#This Row],[Categoria]],Cadastros!A:D,4,0)+365),"")</f>
        <v/>
      </c>
      <c r="O184" s="7" t="str">
        <f ca="1">IF(Tabela3[[#This Row],[Data da compra]]&gt;0,(TODAY()-Tabela3[[#This Row],[Data da compra]])/365,"")</f>
        <v/>
      </c>
      <c r="P184" s="7" t="str">
        <f>IFERROR(VLOOKUP(Tabela3[[#This Row],[Categoria]],Cadastros!A:C,3,0),"")</f>
        <v/>
      </c>
      <c r="Q184" s="9" t="str">
        <f ca="1">IFERROR(Tabela3[[#This Row],[Vida útil]]-Tabela3[[#This Row],[Idade]],"")</f>
        <v/>
      </c>
      <c r="R184" s="8" t="str">
        <f ca="1">IFERROR(Tabela3[[#This Row],[Valor]]-(Tabela3[[#This Row],[Valor]]*(Tabela3[[#This Row],[Idade]]*VLOOKUP(Tabela3[[#This Row],[Categoria]],Cadastros!A:B,2,0))),"")</f>
        <v/>
      </c>
    </row>
    <row r="185" spans="4:18" x14ac:dyDescent="0.25">
      <c r="D185" s="5"/>
      <c r="N185" s="6" t="str">
        <f>IFERROR(Tabela3[[#This Row],[Última revisão do bem]]+(VLOOKUP(Tabela3[[#This Row],[Categoria]],Cadastros!A:D,4,0)+365),"")</f>
        <v/>
      </c>
      <c r="O185" s="7" t="str">
        <f ca="1">IF(Tabela3[[#This Row],[Data da compra]]&gt;0,(TODAY()-Tabela3[[#This Row],[Data da compra]])/365,"")</f>
        <v/>
      </c>
      <c r="P185" s="7" t="str">
        <f>IFERROR(VLOOKUP(Tabela3[[#This Row],[Categoria]],Cadastros!A:C,3,0),"")</f>
        <v/>
      </c>
      <c r="Q185" s="9" t="str">
        <f ca="1">IFERROR(Tabela3[[#This Row],[Vida útil]]-Tabela3[[#This Row],[Idade]],"")</f>
        <v/>
      </c>
      <c r="R185" s="8" t="str">
        <f ca="1">IFERROR(Tabela3[[#This Row],[Valor]]-(Tabela3[[#This Row],[Valor]]*(Tabela3[[#This Row],[Idade]]*VLOOKUP(Tabela3[[#This Row],[Categoria]],Cadastros!A:B,2,0))),"")</f>
        <v/>
      </c>
    </row>
    <row r="186" spans="4:18" x14ac:dyDescent="0.25">
      <c r="D186" s="22"/>
      <c r="N186" s="6" t="str">
        <f>IFERROR(Tabela3[[#This Row],[Última revisão do bem]]+(VLOOKUP(Tabela3[[#This Row],[Categoria]],Cadastros!A:D,4,0)+365),"")</f>
        <v/>
      </c>
      <c r="O186" s="7" t="str">
        <f ca="1">IF(Tabela3[[#This Row],[Data da compra]]&gt;0,(TODAY()-Tabela3[[#This Row],[Data da compra]])/365,"")</f>
        <v/>
      </c>
      <c r="P186" s="7" t="str">
        <f>IFERROR(VLOOKUP(Tabela3[[#This Row],[Categoria]],Cadastros!A:C,3,0),"")</f>
        <v/>
      </c>
      <c r="Q186" s="9" t="str">
        <f ca="1">IFERROR(Tabela3[[#This Row],[Vida útil]]-Tabela3[[#This Row],[Idade]],"")</f>
        <v/>
      </c>
      <c r="R186" s="23" t="str">
        <f ca="1">IFERROR(Tabela3[[#This Row],[Valor]]-(Tabela3[[#This Row],[Valor]]*(Tabela3[[#This Row],[Idade]]*VLOOKUP(Tabela3[[#This Row],[Categoria]],Cadastros!A:B,2,0))),"")</f>
        <v/>
      </c>
    </row>
    <row r="187" spans="4:18" x14ac:dyDescent="0.25">
      <c r="D187" s="5"/>
      <c r="N187" s="6" t="str">
        <f>IFERROR(Tabela3[[#This Row],[Última revisão do bem]]+(VLOOKUP(Tabela3[[#This Row],[Categoria]],Cadastros!A:D,4,0)+365),"")</f>
        <v/>
      </c>
      <c r="O187" s="7" t="str">
        <f ca="1">IF(Tabela3[[#This Row],[Data da compra]]&gt;0,(TODAY()-Tabela3[[#This Row],[Data da compra]])/365,"")</f>
        <v/>
      </c>
      <c r="P187" s="7" t="str">
        <f>IFERROR(VLOOKUP(Tabela3[[#This Row],[Categoria]],Cadastros!A:C,3,0),"")</f>
        <v/>
      </c>
      <c r="Q187" s="9" t="str">
        <f ca="1">IFERROR(Tabela3[[#This Row],[Vida útil]]-Tabela3[[#This Row],[Idade]],"")</f>
        <v/>
      </c>
      <c r="R187" s="8" t="str">
        <f ca="1">IFERROR(Tabela3[[#This Row],[Valor]]-(Tabela3[[#This Row],[Valor]]*(Tabela3[[#This Row],[Idade]]*VLOOKUP(Tabela3[[#This Row],[Categoria]],Cadastros!A:B,2,0))),"")</f>
        <v/>
      </c>
    </row>
    <row r="188" spans="4:18" x14ac:dyDescent="0.25">
      <c r="D188" s="5"/>
      <c r="N188" s="6" t="str">
        <f>IFERROR(Tabela3[[#This Row],[Última revisão do bem]]+(VLOOKUP(Tabela3[[#This Row],[Categoria]],Cadastros!A:D,4,0)+365),"")</f>
        <v/>
      </c>
      <c r="O188" s="7" t="str">
        <f ca="1">IF(Tabela3[[#This Row],[Data da compra]]&gt;0,(TODAY()-Tabela3[[#This Row],[Data da compra]])/365,"")</f>
        <v/>
      </c>
      <c r="P188" s="7" t="str">
        <f>IFERROR(VLOOKUP(Tabela3[[#This Row],[Categoria]],Cadastros!A:C,3,0),"")</f>
        <v/>
      </c>
      <c r="Q188" s="9" t="str">
        <f ca="1">IFERROR(Tabela3[[#This Row],[Vida útil]]-Tabela3[[#This Row],[Idade]],"")</f>
        <v/>
      </c>
      <c r="R188" s="8" t="str">
        <f ca="1">IFERROR(Tabela3[[#This Row],[Valor]]-(Tabela3[[#This Row],[Valor]]*(Tabela3[[#This Row],[Idade]]*VLOOKUP(Tabela3[[#This Row],[Categoria]],Cadastros!A:B,2,0))),"")</f>
        <v/>
      </c>
    </row>
    <row r="189" spans="4:18" x14ac:dyDescent="0.25">
      <c r="D189" s="5"/>
      <c r="N189" s="6" t="str">
        <f>IFERROR(Tabela3[[#This Row],[Última revisão do bem]]+(VLOOKUP(Tabela3[[#This Row],[Categoria]],Cadastros!A:D,4,0)+365),"")</f>
        <v/>
      </c>
      <c r="O189" s="7" t="str">
        <f ca="1">IF(Tabela3[[#This Row],[Data da compra]]&gt;0,(TODAY()-Tabela3[[#This Row],[Data da compra]])/365,"")</f>
        <v/>
      </c>
      <c r="P189" s="7" t="str">
        <f>IFERROR(VLOOKUP(Tabela3[[#This Row],[Categoria]],Cadastros!A:C,3,0),"")</f>
        <v/>
      </c>
      <c r="Q189" s="9" t="str">
        <f ca="1">IFERROR(Tabela3[[#This Row],[Vida útil]]-Tabela3[[#This Row],[Idade]],"")</f>
        <v/>
      </c>
      <c r="R189" s="8" t="str">
        <f ca="1">IFERROR(Tabela3[[#This Row],[Valor]]-(Tabela3[[#This Row],[Valor]]*(Tabela3[[#This Row],[Idade]]*VLOOKUP(Tabela3[[#This Row],[Categoria]],Cadastros!A:B,2,0))),"")</f>
        <v/>
      </c>
    </row>
    <row r="190" spans="4:18" x14ac:dyDescent="0.25">
      <c r="D190" s="5"/>
      <c r="N190" s="6" t="str">
        <f>IFERROR(Tabela3[[#This Row],[Última revisão do bem]]+(VLOOKUP(Tabela3[[#This Row],[Categoria]],Cadastros!A:D,4,0)+365),"")</f>
        <v/>
      </c>
      <c r="O190" s="7" t="str">
        <f ca="1">IF(Tabela3[[#This Row],[Data da compra]]&gt;0,(TODAY()-Tabela3[[#This Row],[Data da compra]])/365,"")</f>
        <v/>
      </c>
      <c r="P190" s="7" t="str">
        <f>IFERROR(VLOOKUP(Tabela3[[#This Row],[Categoria]],Cadastros!A:C,3,0),"")</f>
        <v/>
      </c>
      <c r="Q190" s="9" t="str">
        <f ca="1">IFERROR(Tabela3[[#This Row],[Vida útil]]-Tabela3[[#This Row],[Idade]],"")</f>
        <v/>
      </c>
      <c r="R190" s="8" t="str">
        <f ca="1">IFERROR(Tabela3[[#This Row],[Valor]]-(Tabela3[[#This Row],[Valor]]*(Tabela3[[#This Row],[Idade]]*VLOOKUP(Tabela3[[#This Row],[Categoria]],Cadastros!A:B,2,0))),"")</f>
        <v/>
      </c>
    </row>
    <row r="191" spans="4:18" x14ac:dyDescent="0.25">
      <c r="D191" s="5"/>
      <c r="N191" s="6" t="str">
        <f>IFERROR(Tabela3[[#This Row],[Última revisão do bem]]+(VLOOKUP(Tabela3[[#This Row],[Categoria]],Cadastros!A:D,4,0)+365),"")</f>
        <v/>
      </c>
      <c r="O191" s="7" t="str">
        <f ca="1">IF(Tabela3[[#This Row],[Data da compra]]&gt;0,(TODAY()-Tabela3[[#This Row],[Data da compra]])/365,"")</f>
        <v/>
      </c>
      <c r="P191" s="7" t="str">
        <f>IFERROR(VLOOKUP(Tabela3[[#This Row],[Categoria]],Cadastros!A:C,3,0),"")</f>
        <v/>
      </c>
      <c r="Q191" s="9" t="str">
        <f ca="1">IFERROR(Tabela3[[#This Row],[Vida útil]]-Tabela3[[#This Row],[Idade]],"")</f>
        <v/>
      </c>
      <c r="R191" s="8" t="str">
        <f ca="1">IFERROR(Tabela3[[#This Row],[Valor]]-(Tabela3[[#This Row],[Valor]]*(Tabela3[[#This Row],[Idade]]*VLOOKUP(Tabela3[[#This Row],[Categoria]],Cadastros!A:B,2,0))),"")</f>
        <v/>
      </c>
    </row>
    <row r="192" spans="4:18" x14ac:dyDescent="0.25">
      <c r="D192" s="5"/>
      <c r="N192" s="6" t="str">
        <f>IFERROR(Tabela3[[#This Row],[Última revisão do bem]]+(VLOOKUP(Tabela3[[#This Row],[Categoria]],Cadastros!A:D,4,0)+365),"")</f>
        <v/>
      </c>
      <c r="O192" s="7" t="str">
        <f ca="1">IF(Tabela3[[#This Row],[Data da compra]]&gt;0,(TODAY()-Tabela3[[#This Row],[Data da compra]])/365,"")</f>
        <v/>
      </c>
      <c r="P192" s="7" t="str">
        <f>IFERROR(VLOOKUP(Tabela3[[#This Row],[Categoria]],Cadastros!A:C,3,0),"")</f>
        <v/>
      </c>
      <c r="Q192" s="9" t="str">
        <f ca="1">IFERROR(Tabela3[[#This Row],[Vida útil]]-Tabela3[[#This Row],[Idade]],"")</f>
        <v/>
      </c>
      <c r="R192" s="8" t="str">
        <f ca="1">IFERROR(Tabela3[[#This Row],[Valor]]-(Tabela3[[#This Row],[Valor]]*(Tabela3[[#This Row],[Idade]]*VLOOKUP(Tabela3[[#This Row],[Categoria]],Cadastros!A:B,2,0))),"")</f>
        <v/>
      </c>
    </row>
    <row r="193" spans="4:18" x14ac:dyDescent="0.25">
      <c r="D193" s="5"/>
      <c r="N193" s="6" t="str">
        <f>IFERROR(Tabela3[[#This Row],[Última revisão do bem]]+(VLOOKUP(Tabela3[[#This Row],[Categoria]],Cadastros!A:D,4,0)+365),"")</f>
        <v/>
      </c>
      <c r="O193" s="7" t="str">
        <f ca="1">IF(Tabela3[[#This Row],[Data da compra]]&gt;0,(TODAY()-Tabela3[[#This Row],[Data da compra]])/365,"")</f>
        <v/>
      </c>
      <c r="P193" s="7" t="str">
        <f>IFERROR(VLOOKUP(Tabela3[[#This Row],[Categoria]],Cadastros!A:C,3,0),"")</f>
        <v/>
      </c>
      <c r="Q193" s="9" t="str">
        <f ca="1">IFERROR(Tabela3[[#This Row],[Vida útil]]-Tabela3[[#This Row],[Idade]],"")</f>
        <v/>
      </c>
      <c r="R193" s="8" t="str">
        <f ca="1">IFERROR(Tabela3[[#This Row],[Valor]]-(Tabela3[[#This Row],[Valor]]*(Tabela3[[#This Row],[Idade]]*VLOOKUP(Tabela3[[#This Row],[Categoria]],Cadastros!A:B,2,0))),"")</f>
        <v/>
      </c>
    </row>
    <row r="194" spans="4:18" x14ac:dyDescent="0.25">
      <c r="D194" s="5"/>
      <c r="N194" s="6" t="str">
        <f>IFERROR(Tabela3[[#This Row],[Última revisão do bem]]+(VLOOKUP(Tabela3[[#This Row],[Categoria]],Cadastros!A:D,4,0)+365),"")</f>
        <v/>
      </c>
      <c r="O194" s="7" t="str">
        <f ca="1">IF(Tabela3[[#This Row],[Data da compra]]&gt;0,(TODAY()-Tabela3[[#This Row],[Data da compra]])/365,"")</f>
        <v/>
      </c>
      <c r="P194" s="7" t="str">
        <f>IFERROR(VLOOKUP(Tabela3[[#This Row],[Categoria]],Cadastros!A:C,3,0),"")</f>
        <v/>
      </c>
      <c r="Q194" s="9" t="str">
        <f ca="1">IFERROR(Tabela3[[#This Row],[Vida útil]]-Tabela3[[#This Row],[Idade]],"")</f>
        <v/>
      </c>
      <c r="R194" s="8" t="str">
        <f ca="1">IFERROR(Tabela3[[#This Row],[Valor]]-(Tabela3[[#This Row],[Valor]]*(Tabela3[[#This Row],[Idade]]*VLOOKUP(Tabela3[[#This Row],[Categoria]],Cadastros!A:B,2,0))),"")</f>
        <v/>
      </c>
    </row>
    <row r="195" spans="4:18" x14ac:dyDescent="0.25">
      <c r="D195" s="5"/>
      <c r="N195" s="6" t="str">
        <f>IFERROR(Tabela3[[#This Row],[Última revisão do bem]]+(VLOOKUP(Tabela3[[#This Row],[Categoria]],Cadastros!A:D,4,0)+365),"")</f>
        <v/>
      </c>
      <c r="O195" s="7" t="str">
        <f ca="1">IF(Tabela3[[#This Row],[Data da compra]]&gt;0,(TODAY()-Tabela3[[#This Row],[Data da compra]])/365,"")</f>
        <v/>
      </c>
      <c r="P195" s="7" t="str">
        <f>IFERROR(VLOOKUP(Tabela3[[#This Row],[Categoria]],Cadastros!A:C,3,0),"")</f>
        <v/>
      </c>
      <c r="Q195" s="9" t="str">
        <f ca="1">IFERROR(Tabela3[[#This Row],[Vida útil]]-Tabela3[[#This Row],[Idade]],"")</f>
        <v/>
      </c>
      <c r="R195" s="8" t="str">
        <f ca="1">IFERROR(Tabela3[[#This Row],[Valor]]-(Tabela3[[#This Row],[Valor]]*(Tabela3[[#This Row],[Idade]]*VLOOKUP(Tabela3[[#This Row],[Categoria]],Cadastros!A:B,2,0))),"")</f>
        <v/>
      </c>
    </row>
    <row r="196" spans="4:18" x14ac:dyDescent="0.25">
      <c r="D196" s="5"/>
      <c r="N196" s="6" t="str">
        <f>IFERROR(Tabela3[[#This Row],[Última revisão do bem]]+(VLOOKUP(Tabela3[[#This Row],[Categoria]],Cadastros!A:D,4,0)+365),"")</f>
        <v/>
      </c>
      <c r="O196" s="7" t="str">
        <f ca="1">IF(Tabela3[[#This Row],[Data da compra]]&gt;0,(TODAY()-Tabela3[[#This Row],[Data da compra]])/365,"")</f>
        <v/>
      </c>
      <c r="P196" s="7" t="str">
        <f>IFERROR(VLOOKUP(Tabela3[[#This Row],[Categoria]],Cadastros!A:C,3,0),"")</f>
        <v/>
      </c>
      <c r="Q196" s="9" t="str">
        <f ca="1">IFERROR(Tabela3[[#This Row],[Vida útil]]-Tabela3[[#This Row],[Idade]],"")</f>
        <v/>
      </c>
      <c r="R196" s="8" t="str">
        <f ca="1">IFERROR(Tabela3[[#This Row],[Valor]]-(Tabela3[[#This Row],[Valor]]*(Tabela3[[#This Row],[Idade]]*VLOOKUP(Tabela3[[#This Row],[Categoria]],Cadastros!A:B,2,0))),"")</f>
        <v/>
      </c>
    </row>
    <row r="197" spans="4:18" x14ac:dyDescent="0.25">
      <c r="D197" s="5"/>
      <c r="N197" s="6" t="str">
        <f>IFERROR(Tabela3[[#This Row],[Última revisão do bem]]+(VLOOKUP(Tabela3[[#This Row],[Categoria]],Cadastros!A:D,4,0)+365),"")</f>
        <v/>
      </c>
      <c r="O197" s="7" t="str">
        <f ca="1">IF(Tabela3[[#This Row],[Data da compra]]&gt;0,(TODAY()-Tabela3[[#This Row],[Data da compra]])/365,"")</f>
        <v/>
      </c>
      <c r="P197" s="7" t="str">
        <f>IFERROR(VLOOKUP(Tabela3[[#This Row],[Categoria]],Cadastros!A:C,3,0),"")</f>
        <v/>
      </c>
      <c r="Q197" s="9" t="str">
        <f ca="1">IFERROR(Tabela3[[#This Row],[Vida útil]]-Tabela3[[#This Row],[Idade]],"")</f>
        <v/>
      </c>
      <c r="R197" s="8" t="str">
        <f ca="1">IFERROR(Tabela3[[#This Row],[Valor]]-(Tabela3[[#This Row],[Valor]]*(Tabela3[[#This Row],[Idade]]*VLOOKUP(Tabela3[[#This Row],[Categoria]],Cadastros!A:B,2,0))),"")</f>
        <v/>
      </c>
    </row>
    <row r="198" spans="4:18" x14ac:dyDescent="0.25">
      <c r="D198" s="5"/>
      <c r="N198" s="6" t="str">
        <f>IFERROR(Tabela3[[#This Row],[Última revisão do bem]]+(VLOOKUP(Tabela3[[#This Row],[Categoria]],Cadastros!A:D,4,0)+365),"")</f>
        <v/>
      </c>
      <c r="O198" s="7" t="str">
        <f ca="1">IF(Tabela3[[#This Row],[Data da compra]]&gt;0,(TODAY()-Tabela3[[#This Row],[Data da compra]])/365,"")</f>
        <v/>
      </c>
      <c r="P198" s="7" t="str">
        <f>IFERROR(VLOOKUP(Tabela3[[#This Row],[Categoria]],Cadastros!A:C,3,0),"")</f>
        <v/>
      </c>
      <c r="Q198" s="9" t="str">
        <f ca="1">IFERROR(Tabela3[[#This Row],[Vida útil]]-Tabela3[[#This Row],[Idade]],"")</f>
        <v/>
      </c>
      <c r="R198" s="8" t="str">
        <f ca="1">IFERROR(Tabela3[[#This Row],[Valor]]-(Tabela3[[#This Row],[Valor]]*(Tabela3[[#This Row],[Idade]]*VLOOKUP(Tabela3[[#This Row],[Categoria]],Cadastros!A:B,2,0))),"")</f>
        <v/>
      </c>
    </row>
    <row r="199" spans="4:18" x14ac:dyDescent="0.25">
      <c r="D199" s="5"/>
      <c r="N199" s="6" t="str">
        <f>IFERROR(Tabela3[[#This Row],[Última revisão do bem]]+(VLOOKUP(Tabela3[[#This Row],[Categoria]],Cadastros!A:D,4,0)+365),"")</f>
        <v/>
      </c>
      <c r="O199" s="7" t="str">
        <f ca="1">IF(Tabela3[[#This Row],[Data da compra]]&gt;0,(TODAY()-Tabela3[[#This Row],[Data da compra]])/365,"")</f>
        <v/>
      </c>
      <c r="P199" s="7" t="str">
        <f>IFERROR(VLOOKUP(Tabela3[[#This Row],[Categoria]],Cadastros!A:C,3,0),"")</f>
        <v/>
      </c>
      <c r="Q199" s="9" t="str">
        <f ca="1">IFERROR(Tabela3[[#This Row],[Vida útil]]-Tabela3[[#This Row],[Idade]],"")</f>
        <v/>
      </c>
      <c r="R199" s="8" t="str">
        <f ca="1">IFERROR(Tabela3[[#This Row],[Valor]]-(Tabela3[[#This Row],[Valor]]*(Tabela3[[#This Row],[Idade]]*VLOOKUP(Tabela3[[#This Row],[Categoria]],Cadastros!A:B,2,0))),"")</f>
        <v/>
      </c>
    </row>
    <row r="200" spans="4:18" x14ac:dyDescent="0.25">
      <c r="D200" s="5"/>
      <c r="N200" s="6" t="str">
        <f>IFERROR(Tabela3[[#This Row],[Última revisão do bem]]+(VLOOKUP(Tabela3[[#This Row],[Categoria]],Cadastros!A:D,4,0)+365),"")</f>
        <v/>
      </c>
      <c r="O200" s="7" t="str">
        <f ca="1">IF(Tabela3[[#This Row],[Data da compra]]&gt;0,(TODAY()-Tabela3[[#This Row],[Data da compra]])/365,"")</f>
        <v/>
      </c>
      <c r="P200" s="7" t="str">
        <f>IFERROR(VLOOKUP(Tabela3[[#This Row],[Categoria]],Cadastros!A:C,3,0),"")</f>
        <v/>
      </c>
      <c r="Q200" s="9" t="str">
        <f ca="1">IFERROR(Tabela3[[#This Row],[Vida útil]]-Tabela3[[#This Row],[Idade]],"")</f>
        <v/>
      </c>
      <c r="R200" s="8" t="str">
        <f ca="1">IFERROR(Tabela3[[#This Row],[Valor]]-(Tabela3[[#This Row],[Valor]]*(Tabela3[[#This Row],[Idade]]*VLOOKUP(Tabela3[[#This Row],[Categoria]],Cadastros!A:B,2,0))),"")</f>
        <v/>
      </c>
    </row>
    <row r="201" spans="4:18" x14ac:dyDescent="0.25">
      <c r="D201" s="5"/>
      <c r="N201" s="6" t="str">
        <f>IFERROR(Tabela3[[#This Row],[Última revisão do bem]]+(VLOOKUP(Tabela3[[#This Row],[Categoria]],Cadastros!A:D,4,0)+365),"")</f>
        <v/>
      </c>
      <c r="O201" s="7" t="str">
        <f ca="1">IF(Tabela3[[#This Row],[Data da compra]]&gt;0,(TODAY()-Tabela3[[#This Row],[Data da compra]])/365,"")</f>
        <v/>
      </c>
      <c r="P201" s="7" t="str">
        <f>IFERROR(VLOOKUP(Tabela3[[#This Row],[Categoria]],Cadastros!A:C,3,0),"")</f>
        <v/>
      </c>
      <c r="Q201" s="9" t="str">
        <f ca="1">IFERROR(Tabela3[[#This Row],[Vida útil]]-Tabela3[[#This Row],[Idade]],"")</f>
        <v/>
      </c>
      <c r="R201" s="8" t="str">
        <f ca="1">IFERROR(Tabela3[[#This Row],[Valor]]-(Tabela3[[#This Row],[Valor]]*(Tabela3[[#This Row],[Idade]]*VLOOKUP(Tabela3[[#This Row],[Categoria]],Cadastros!A:B,2,0))),"")</f>
        <v/>
      </c>
    </row>
    <row r="202" spans="4:18" x14ac:dyDescent="0.25">
      <c r="D202" s="5"/>
      <c r="N202" s="6" t="str">
        <f>IFERROR(Tabela3[[#This Row],[Última revisão do bem]]+(VLOOKUP(Tabela3[[#This Row],[Categoria]],Cadastros!A:D,4,0)+365),"")</f>
        <v/>
      </c>
      <c r="O202" s="7" t="str">
        <f ca="1">IF(Tabela3[[#This Row],[Data da compra]]&gt;0,(TODAY()-Tabela3[[#This Row],[Data da compra]])/365,"")</f>
        <v/>
      </c>
      <c r="P202" s="7" t="str">
        <f>IFERROR(VLOOKUP(Tabela3[[#This Row],[Categoria]],Cadastros!A:C,3,0),"")</f>
        <v/>
      </c>
      <c r="Q202" s="9" t="str">
        <f ca="1">IFERROR(Tabela3[[#This Row],[Vida útil]]-Tabela3[[#This Row],[Idade]],"")</f>
        <v/>
      </c>
      <c r="R202" s="8" t="str">
        <f ca="1">IFERROR(Tabela3[[#This Row],[Valor]]-(Tabela3[[#This Row],[Valor]]*(Tabela3[[#This Row],[Idade]]*VLOOKUP(Tabela3[[#This Row],[Categoria]],Cadastros!A:B,2,0))),"")</f>
        <v/>
      </c>
    </row>
    <row r="203" spans="4:18" x14ac:dyDescent="0.25">
      <c r="D203" s="5"/>
      <c r="N203" s="6" t="str">
        <f>IFERROR(Tabela3[[#This Row],[Última revisão do bem]]+(VLOOKUP(Tabela3[[#This Row],[Categoria]],Cadastros!A:D,4,0)+365),"")</f>
        <v/>
      </c>
      <c r="O203" s="7" t="str">
        <f ca="1">IF(Tabela3[[#This Row],[Data da compra]]&gt;0,(TODAY()-Tabela3[[#This Row],[Data da compra]])/365,"")</f>
        <v/>
      </c>
      <c r="P203" s="7" t="str">
        <f>IFERROR(VLOOKUP(Tabela3[[#This Row],[Categoria]],Cadastros!A:C,3,0),"")</f>
        <v/>
      </c>
      <c r="Q203" s="9" t="str">
        <f ca="1">IFERROR(Tabela3[[#This Row],[Vida útil]]-Tabela3[[#This Row],[Idade]],"")</f>
        <v/>
      </c>
      <c r="R203" s="8" t="str">
        <f ca="1">IFERROR(Tabela3[[#This Row],[Valor]]-(Tabela3[[#This Row],[Valor]]*(Tabela3[[#This Row],[Idade]]*VLOOKUP(Tabela3[[#This Row],[Categoria]],Cadastros!A:B,2,0))),"")</f>
        <v/>
      </c>
    </row>
    <row r="204" spans="4:18" x14ac:dyDescent="0.25">
      <c r="D204" s="22"/>
      <c r="N204" s="6" t="str">
        <f>IFERROR(Tabela3[[#This Row],[Última revisão do bem]]+(VLOOKUP(Tabela3[[#This Row],[Categoria]],Cadastros!A:D,4,0)+365),"")</f>
        <v/>
      </c>
      <c r="O204" s="7" t="str">
        <f ca="1">IF(Tabela3[[#This Row],[Data da compra]]&gt;0,(TODAY()-Tabela3[[#This Row],[Data da compra]])/365,"")</f>
        <v/>
      </c>
      <c r="P204" s="7" t="str">
        <f>IFERROR(VLOOKUP(Tabela3[[#This Row],[Categoria]],Cadastros!A:C,3,0),"")</f>
        <v/>
      </c>
      <c r="Q204" s="9" t="str">
        <f ca="1">IFERROR(Tabela3[[#This Row],[Vida útil]]-Tabela3[[#This Row],[Idade]],"")</f>
        <v/>
      </c>
      <c r="R204" s="23" t="str">
        <f ca="1">IFERROR(Tabela3[[#This Row],[Valor]]-(Tabela3[[#This Row],[Valor]]*(Tabela3[[#This Row],[Idade]]*VLOOKUP(Tabela3[[#This Row],[Categoria]],Cadastros!A:B,2,0))),"")</f>
        <v/>
      </c>
    </row>
    <row r="205" spans="4:18" x14ac:dyDescent="0.25">
      <c r="D205" s="5"/>
      <c r="N205" s="6" t="str">
        <f>IFERROR(Tabela3[[#This Row],[Última revisão do bem]]+(VLOOKUP(Tabela3[[#This Row],[Categoria]],Cadastros!A:D,4,0)+365),"")</f>
        <v/>
      </c>
      <c r="O205" s="7" t="str">
        <f ca="1">IF(Tabela3[[#This Row],[Data da compra]]&gt;0,(TODAY()-Tabela3[[#This Row],[Data da compra]])/365,"")</f>
        <v/>
      </c>
      <c r="P205" s="7" t="str">
        <f>IFERROR(VLOOKUP(Tabela3[[#This Row],[Categoria]],Cadastros!A:C,3,0),"")</f>
        <v/>
      </c>
      <c r="Q205" s="9" t="str">
        <f ca="1">IFERROR(Tabela3[[#This Row],[Vida útil]]-Tabela3[[#This Row],[Idade]],"")</f>
        <v/>
      </c>
      <c r="R205" s="8" t="str">
        <f ca="1">IFERROR(Tabela3[[#This Row],[Valor]]-(Tabela3[[#This Row],[Valor]]*(Tabela3[[#This Row],[Idade]]*VLOOKUP(Tabela3[[#This Row],[Categoria]],Cadastros!A:B,2,0))),"")</f>
        <v/>
      </c>
    </row>
    <row r="206" spans="4:18" x14ac:dyDescent="0.25">
      <c r="D206" s="5"/>
      <c r="N206" s="6" t="str">
        <f>IFERROR(Tabela3[[#This Row],[Última revisão do bem]]+(VLOOKUP(Tabela3[[#This Row],[Categoria]],Cadastros!A:D,4,0)+365),"")</f>
        <v/>
      </c>
      <c r="O206" s="7" t="str">
        <f ca="1">IF(Tabela3[[#This Row],[Data da compra]]&gt;0,(TODAY()-Tabela3[[#This Row],[Data da compra]])/365,"")</f>
        <v/>
      </c>
      <c r="P206" s="7" t="str">
        <f>IFERROR(VLOOKUP(Tabela3[[#This Row],[Categoria]],Cadastros!A:C,3,0),"")</f>
        <v/>
      </c>
      <c r="Q206" s="9" t="str">
        <f ca="1">IFERROR(Tabela3[[#This Row],[Vida útil]]-Tabela3[[#This Row],[Idade]],"")</f>
        <v/>
      </c>
      <c r="R206" s="8" t="str">
        <f ca="1">IFERROR(Tabela3[[#This Row],[Valor]]-(Tabela3[[#This Row],[Valor]]*(Tabela3[[#This Row],[Idade]]*VLOOKUP(Tabela3[[#This Row],[Categoria]],Cadastros!A:B,2,0))),"")</f>
        <v/>
      </c>
    </row>
    <row r="207" spans="4:18" x14ac:dyDescent="0.25">
      <c r="D207" s="5"/>
      <c r="N207" s="6" t="str">
        <f>IFERROR(Tabela3[[#This Row],[Última revisão do bem]]+(VLOOKUP(Tabela3[[#This Row],[Categoria]],Cadastros!A:D,4,0)+365),"")</f>
        <v/>
      </c>
      <c r="O207" s="7" t="str">
        <f ca="1">IF(Tabela3[[#This Row],[Data da compra]]&gt;0,(TODAY()-Tabela3[[#This Row],[Data da compra]])/365,"")</f>
        <v/>
      </c>
      <c r="P207" s="7" t="str">
        <f>IFERROR(VLOOKUP(Tabela3[[#This Row],[Categoria]],Cadastros!A:C,3,0),"")</f>
        <v/>
      </c>
      <c r="Q207" s="9" t="str">
        <f ca="1">IFERROR(Tabela3[[#This Row],[Vida útil]]-Tabela3[[#This Row],[Idade]],"")</f>
        <v/>
      </c>
      <c r="R207" s="8" t="str">
        <f ca="1">IFERROR(Tabela3[[#This Row],[Valor]]-(Tabela3[[#This Row],[Valor]]*(Tabela3[[#This Row],[Idade]]*VLOOKUP(Tabela3[[#This Row],[Categoria]],Cadastros!A:B,2,0))),"")</f>
        <v/>
      </c>
    </row>
    <row r="208" spans="4:18" x14ac:dyDescent="0.25">
      <c r="D208" s="5"/>
      <c r="N208" s="6" t="str">
        <f>IFERROR(Tabela3[[#This Row],[Última revisão do bem]]+(VLOOKUP(Tabela3[[#This Row],[Categoria]],Cadastros!A:D,4,0)+365),"")</f>
        <v/>
      </c>
      <c r="O208" s="7" t="str">
        <f ca="1">IF(Tabela3[[#This Row],[Data da compra]]&gt;0,(TODAY()-Tabela3[[#This Row],[Data da compra]])/365,"")</f>
        <v/>
      </c>
      <c r="P208" s="7" t="str">
        <f>IFERROR(VLOOKUP(Tabela3[[#This Row],[Categoria]],Cadastros!A:C,3,0),"")</f>
        <v/>
      </c>
      <c r="Q208" s="9" t="str">
        <f ca="1">IFERROR(Tabela3[[#This Row],[Vida útil]]-Tabela3[[#This Row],[Idade]],"")</f>
        <v/>
      </c>
      <c r="R208" s="8" t="str">
        <f ca="1">IFERROR(Tabela3[[#This Row],[Valor]]-(Tabela3[[#This Row],[Valor]]*(Tabela3[[#This Row],[Idade]]*VLOOKUP(Tabela3[[#This Row],[Categoria]],Cadastros!A:B,2,0))),"")</f>
        <v/>
      </c>
    </row>
    <row r="209" spans="4:18" x14ac:dyDescent="0.25">
      <c r="D209" s="5"/>
      <c r="N209" s="6" t="str">
        <f>IFERROR(Tabela3[[#This Row],[Última revisão do bem]]+(VLOOKUP(Tabela3[[#This Row],[Categoria]],Cadastros!A:D,4,0)+365),"")</f>
        <v/>
      </c>
      <c r="O209" s="7" t="str">
        <f ca="1">IF(Tabela3[[#This Row],[Data da compra]]&gt;0,(TODAY()-Tabela3[[#This Row],[Data da compra]])/365,"")</f>
        <v/>
      </c>
      <c r="P209" s="7" t="str">
        <f>IFERROR(VLOOKUP(Tabela3[[#This Row],[Categoria]],Cadastros!A:C,3,0),"")</f>
        <v/>
      </c>
      <c r="Q209" s="9" t="str">
        <f ca="1">IFERROR(Tabela3[[#This Row],[Vida útil]]-Tabela3[[#This Row],[Idade]],"")</f>
        <v/>
      </c>
      <c r="R209" s="8" t="str">
        <f ca="1">IFERROR(Tabela3[[#This Row],[Valor]]-(Tabela3[[#This Row],[Valor]]*(Tabela3[[#This Row],[Idade]]*VLOOKUP(Tabela3[[#This Row],[Categoria]],Cadastros!A:B,2,0))),"")</f>
        <v/>
      </c>
    </row>
    <row r="210" spans="4:18" x14ac:dyDescent="0.25">
      <c r="D210" s="5"/>
      <c r="N210" s="6" t="str">
        <f>IFERROR(Tabela3[[#This Row],[Última revisão do bem]]+(VLOOKUP(Tabela3[[#This Row],[Categoria]],Cadastros!A:D,4,0)+365),"")</f>
        <v/>
      </c>
      <c r="O210" s="7" t="str">
        <f ca="1">IF(Tabela3[[#This Row],[Data da compra]]&gt;0,(TODAY()-Tabela3[[#This Row],[Data da compra]])/365,"")</f>
        <v/>
      </c>
      <c r="P210" s="7" t="str">
        <f>IFERROR(VLOOKUP(Tabela3[[#This Row],[Categoria]],Cadastros!A:C,3,0),"")</f>
        <v/>
      </c>
      <c r="Q210" s="9" t="str">
        <f ca="1">IFERROR(Tabela3[[#This Row],[Vida útil]]-Tabela3[[#This Row],[Idade]],"")</f>
        <v/>
      </c>
      <c r="R210" s="8" t="str">
        <f ca="1">IFERROR(Tabela3[[#This Row],[Valor]]-(Tabela3[[#This Row],[Valor]]*(Tabela3[[#This Row],[Idade]]*VLOOKUP(Tabela3[[#This Row],[Categoria]],Cadastros!A:B,2,0))),"")</f>
        <v/>
      </c>
    </row>
    <row r="211" spans="4:18" x14ac:dyDescent="0.25">
      <c r="D211" s="5"/>
      <c r="N211" s="6" t="str">
        <f>IFERROR(Tabela3[[#This Row],[Última revisão do bem]]+(VLOOKUP(Tabela3[[#This Row],[Categoria]],Cadastros!A:D,4,0)+365),"")</f>
        <v/>
      </c>
      <c r="O211" s="7" t="str">
        <f ca="1">IF(Tabela3[[#This Row],[Data da compra]]&gt;0,(TODAY()-Tabela3[[#This Row],[Data da compra]])/365,"")</f>
        <v/>
      </c>
      <c r="P211" s="7" t="str">
        <f>IFERROR(VLOOKUP(Tabela3[[#This Row],[Categoria]],Cadastros!A:C,3,0),"")</f>
        <v/>
      </c>
      <c r="Q211" s="9" t="str">
        <f ca="1">IFERROR(Tabela3[[#This Row],[Vida útil]]-Tabela3[[#This Row],[Idade]],"")</f>
        <v/>
      </c>
      <c r="R211" s="8" t="str">
        <f ca="1">IFERROR(Tabela3[[#This Row],[Valor]]-(Tabela3[[#This Row],[Valor]]*(Tabela3[[#This Row],[Idade]]*VLOOKUP(Tabela3[[#This Row],[Categoria]],Cadastros!A:B,2,0))),"")</f>
        <v/>
      </c>
    </row>
    <row r="212" spans="4:18" x14ac:dyDescent="0.25">
      <c r="D212" s="5"/>
      <c r="N212" s="6" t="str">
        <f>IFERROR(Tabela3[[#This Row],[Última revisão do bem]]+(VLOOKUP(Tabela3[[#This Row],[Categoria]],Cadastros!A:D,4,0)+365),"")</f>
        <v/>
      </c>
      <c r="O212" s="7" t="str">
        <f ca="1">IF(Tabela3[[#This Row],[Data da compra]]&gt;0,(TODAY()-Tabela3[[#This Row],[Data da compra]])/365,"")</f>
        <v/>
      </c>
      <c r="P212" s="7" t="str">
        <f>IFERROR(VLOOKUP(Tabela3[[#This Row],[Categoria]],Cadastros!A:C,3,0),"")</f>
        <v/>
      </c>
      <c r="Q212" s="9" t="str">
        <f ca="1">IFERROR(Tabela3[[#This Row],[Vida útil]]-Tabela3[[#This Row],[Idade]],"")</f>
        <v/>
      </c>
      <c r="R212" s="8" t="str">
        <f ca="1">IFERROR(Tabela3[[#This Row],[Valor]]-(Tabela3[[#This Row],[Valor]]*(Tabela3[[#This Row],[Idade]]*VLOOKUP(Tabela3[[#This Row],[Categoria]],Cadastros!A:B,2,0))),"")</f>
        <v/>
      </c>
    </row>
    <row r="213" spans="4:18" x14ac:dyDescent="0.25">
      <c r="D213" s="5"/>
      <c r="N213" s="6" t="str">
        <f>IFERROR(Tabela3[[#This Row],[Última revisão do bem]]+(VLOOKUP(Tabela3[[#This Row],[Categoria]],Cadastros!A:D,4,0)+365),"")</f>
        <v/>
      </c>
      <c r="O213" s="7" t="str">
        <f ca="1">IF(Tabela3[[#This Row],[Data da compra]]&gt;0,(TODAY()-Tabela3[[#This Row],[Data da compra]])/365,"")</f>
        <v/>
      </c>
      <c r="P213" s="7" t="str">
        <f>IFERROR(VLOOKUP(Tabela3[[#This Row],[Categoria]],Cadastros!A:C,3,0),"")</f>
        <v/>
      </c>
      <c r="Q213" s="9" t="str">
        <f ca="1">IFERROR(Tabela3[[#This Row],[Vida útil]]-Tabela3[[#This Row],[Idade]],"")</f>
        <v/>
      </c>
      <c r="R213" s="8" t="str">
        <f ca="1">IFERROR(Tabela3[[#This Row],[Valor]]-(Tabela3[[#This Row],[Valor]]*(Tabela3[[#This Row],[Idade]]*VLOOKUP(Tabela3[[#This Row],[Categoria]],Cadastros!A:B,2,0))),"")</f>
        <v/>
      </c>
    </row>
    <row r="214" spans="4:18" x14ac:dyDescent="0.25">
      <c r="D214" s="5"/>
      <c r="N214" s="6" t="str">
        <f>IFERROR(Tabela3[[#This Row],[Última revisão do bem]]+(VLOOKUP(Tabela3[[#This Row],[Categoria]],Cadastros!A:D,4,0)+365),"")</f>
        <v/>
      </c>
      <c r="O214" s="7" t="str">
        <f ca="1">IF(Tabela3[[#This Row],[Data da compra]]&gt;0,(TODAY()-Tabela3[[#This Row],[Data da compra]])/365,"")</f>
        <v/>
      </c>
      <c r="P214" s="7" t="str">
        <f>IFERROR(VLOOKUP(Tabela3[[#This Row],[Categoria]],Cadastros!A:C,3,0),"")</f>
        <v/>
      </c>
      <c r="Q214" s="9" t="str">
        <f ca="1">IFERROR(Tabela3[[#This Row],[Vida útil]]-Tabela3[[#This Row],[Idade]],"")</f>
        <v/>
      </c>
      <c r="R214" s="8" t="str">
        <f ca="1">IFERROR(Tabela3[[#This Row],[Valor]]-(Tabela3[[#This Row],[Valor]]*(Tabela3[[#This Row],[Idade]]*VLOOKUP(Tabela3[[#This Row],[Categoria]],Cadastros!A:B,2,0))),"")</f>
        <v/>
      </c>
    </row>
    <row r="215" spans="4:18" x14ac:dyDescent="0.25">
      <c r="D215" s="5"/>
      <c r="N215" s="6" t="str">
        <f>IFERROR(Tabela3[[#This Row],[Última revisão do bem]]+(VLOOKUP(Tabela3[[#This Row],[Categoria]],Cadastros!A:D,4,0)+365),"")</f>
        <v/>
      </c>
      <c r="O215" s="7" t="str">
        <f ca="1">IF(Tabela3[[#This Row],[Data da compra]]&gt;0,(TODAY()-Tabela3[[#This Row],[Data da compra]])/365,"")</f>
        <v/>
      </c>
      <c r="P215" s="7" t="str">
        <f>IFERROR(VLOOKUP(Tabela3[[#This Row],[Categoria]],Cadastros!A:C,3,0),"")</f>
        <v/>
      </c>
      <c r="Q215" s="9" t="str">
        <f ca="1">IFERROR(Tabela3[[#This Row],[Vida útil]]-Tabela3[[#This Row],[Idade]],"")</f>
        <v/>
      </c>
      <c r="R215" s="8" t="str">
        <f ca="1">IFERROR(Tabela3[[#This Row],[Valor]]-(Tabela3[[#This Row],[Valor]]*(Tabela3[[#This Row],[Idade]]*VLOOKUP(Tabela3[[#This Row],[Categoria]],Cadastros!A:B,2,0))),"")</f>
        <v/>
      </c>
    </row>
    <row r="216" spans="4:18" x14ac:dyDescent="0.25">
      <c r="D216" s="5"/>
      <c r="N216" s="6" t="str">
        <f>IFERROR(Tabela3[[#This Row],[Última revisão do bem]]+(VLOOKUP(Tabela3[[#This Row],[Categoria]],Cadastros!A:D,4,0)+365),"")</f>
        <v/>
      </c>
      <c r="O216" s="7" t="str">
        <f ca="1">IF(Tabela3[[#This Row],[Data da compra]]&gt;0,(TODAY()-Tabela3[[#This Row],[Data da compra]])/365,"")</f>
        <v/>
      </c>
      <c r="P216" s="7" t="str">
        <f>IFERROR(VLOOKUP(Tabela3[[#This Row],[Categoria]],Cadastros!A:C,3,0),"")</f>
        <v/>
      </c>
      <c r="Q216" s="9" t="str">
        <f ca="1">IFERROR(Tabela3[[#This Row],[Vida útil]]-Tabela3[[#This Row],[Idade]],"")</f>
        <v/>
      </c>
      <c r="R216" s="8" t="str">
        <f ca="1">IFERROR(Tabela3[[#This Row],[Valor]]-(Tabela3[[#This Row],[Valor]]*(Tabela3[[#This Row],[Idade]]*VLOOKUP(Tabela3[[#This Row],[Categoria]],Cadastros!A:B,2,0))),"")</f>
        <v/>
      </c>
    </row>
    <row r="217" spans="4:18" x14ac:dyDescent="0.25">
      <c r="D217" s="5"/>
      <c r="N217" s="6" t="str">
        <f>IFERROR(Tabela3[[#This Row],[Última revisão do bem]]+(VLOOKUP(Tabela3[[#This Row],[Categoria]],Cadastros!A:D,4,0)+365),"")</f>
        <v/>
      </c>
      <c r="O217" s="7" t="str">
        <f ca="1">IF(Tabela3[[#This Row],[Data da compra]]&gt;0,(TODAY()-Tabela3[[#This Row],[Data da compra]])/365,"")</f>
        <v/>
      </c>
      <c r="P217" s="7" t="str">
        <f>IFERROR(VLOOKUP(Tabela3[[#This Row],[Categoria]],Cadastros!A:C,3,0),"")</f>
        <v/>
      </c>
      <c r="Q217" s="9" t="str">
        <f ca="1">IFERROR(Tabela3[[#This Row],[Vida útil]]-Tabela3[[#This Row],[Idade]],"")</f>
        <v/>
      </c>
      <c r="R217" s="8" t="str">
        <f ca="1">IFERROR(Tabela3[[#This Row],[Valor]]-(Tabela3[[#This Row],[Valor]]*(Tabela3[[#This Row],[Idade]]*VLOOKUP(Tabela3[[#This Row],[Categoria]],Cadastros!A:B,2,0))),"")</f>
        <v/>
      </c>
    </row>
    <row r="218" spans="4:18" x14ac:dyDescent="0.25">
      <c r="D218" s="5"/>
      <c r="N218" s="6" t="str">
        <f>IFERROR(Tabela3[[#This Row],[Última revisão do bem]]+(VLOOKUP(Tabela3[[#This Row],[Categoria]],Cadastros!A:D,4,0)+365),"")</f>
        <v/>
      </c>
      <c r="O218" s="7" t="str">
        <f ca="1">IF(Tabela3[[#This Row],[Data da compra]]&gt;0,(TODAY()-Tabela3[[#This Row],[Data da compra]])/365,"")</f>
        <v/>
      </c>
      <c r="P218" s="7" t="str">
        <f>IFERROR(VLOOKUP(Tabela3[[#This Row],[Categoria]],Cadastros!A:C,3,0),"")</f>
        <v/>
      </c>
      <c r="Q218" s="9" t="str">
        <f ca="1">IFERROR(Tabela3[[#This Row],[Vida útil]]-Tabela3[[#This Row],[Idade]],"")</f>
        <v/>
      </c>
      <c r="R218" s="8" t="str">
        <f ca="1">IFERROR(Tabela3[[#This Row],[Valor]]-(Tabela3[[#This Row],[Valor]]*(Tabela3[[#This Row],[Idade]]*VLOOKUP(Tabela3[[#This Row],[Categoria]],Cadastros!A:B,2,0))),"")</f>
        <v/>
      </c>
    </row>
    <row r="219" spans="4:18" x14ac:dyDescent="0.25">
      <c r="D219" s="5"/>
      <c r="N219" s="6" t="str">
        <f>IFERROR(Tabela3[[#This Row],[Última revisão do bem]]+(VLOOKUP(Tabela3[[#This Row],[Categoria]],Cadastros!A:D,4,0)+365),"")</f>
        <v/>
      </c>
      <c r="O219" s="7" t="str">
        <f ca="1">IF(Tabela3[[#This Row],[Data da compra]]&gt;0,(TODAY()-Tabela3[[#This Row],[Data da compra]])/365,"")</f>
        <v/>
      </c>
      <c r="P219" s="7" t="str">
        <f>IFERROR(VLOOKUP(Tabela3[[#This Row],[Categoria]],Cadastros!A:C,3,0),"")</f>
        <v/>
      </c>
      <c r="Q219" s="9" t="str">
        <f ca="1">IFERROR(Tabela3[[#This Row],[Vida útil]]-Tabela3[[#This Row],[Idade]],"")</f>
        <v/>
      </c>
      <c r="R219" s="8" t="str">
        <f ca="1">IFERROR(Tabela3[[#This Row],[Valor]]-(Tabela3[[#This Row],[Valor]]*(Tabela3[[#This Row],[Idade]]*VLOOKUP(Tabela3[[#This Row],[Categoria]],Cadastros!A:B,2,0))),"")</f>
        <v/>
      </c>
    </row>
    <row r="220" spans="4:18" x14ac:dyDescent="0.25">
      <c r="D220" s="5"/>
      <c r="N220" s="6" t="str">
        <f>IFERROR(Tabela3[[#This Row],[Última revisão do bem]]+(VLOOKUP(Tabela3[[#This Row],[Categoria]],Cadastros!A:D,4,0)+365),"")</f>
        <v/>
      </c>
      <c r="O220" s="7" t="str">
        <f ca="1">IF(Tabela3[[#This Row],[Data da compra]]&gt;0,(TODAY()-Tabela3[[#This Row],[Data da compra]])/365,"")</f>
        <v/>
      </c>
      <c r="P220" s="7" t="str">
        <f>IFERROR(VLOOKUP(Tabela3[[#This Row],[Categoria]],Cadastros!A:C,3,0),"")</f>
        <v/>
      </c>
      <c r="Q220" s="9" t="str">
        <f ca="1">IFERROR(Tabela3[[#This Row],[Vida útil]]-Tabela3[[#This Row],[Idade]],"")</f>
        <v/>
      </c>
      <c r="R220" s="8" t="str">
        <f ca="1">IFERROR(Tabela3[[#This Row],[Valor]]-(Tabela3[[#This Row],[Valor]]*(Tabela3[[#This Row],[Idade]]*VLOOKUP(Tabela3[[#This Row],[Categoria]],Cadastros!A:B,2,0))),"")</f>
        <v/>
      </c>
    </row>
    <row r="221" spans="4:18" x14ac:dyDescent="0.25">
      <c r="D221" s="5"/>
      <c r="N221" s="6" t="str">
        <f>IFERROR(Tabela3[[#This Row],[Última revisão do bem]]+(VLOOKUP(Tabela3[[#This Row],[Categoria]],Cadastros!A:D,4,0)+365),"")</f>
        <v/>
      </c>
      <c r="O221" s="7" t="str">
        <f ca="1">IF(Tabela3[[#This Row],[Data da compra]]&gt;0,(TODAY()-Tabela3[[#This Row],[Data da compra]])/365,"")</f>
        <v/>
      </c>
      <c r="P221" s="7" t="str">
        <f>IFERROR(VLOOKUP(Tabela3[[#This Row],[Categoria]],Cadastros!A:C,3,0),"")</f>
        <v/>
      </c>
      <c r="Q221" s="9" t="str">
        <f ca="1">IFERROR(Tabela3[[#This Row],[Vida útil]]-Tabela3[[#This Row],[Idade]],"")</f>
        <v/>
      </c>
      <c r="R221" s="8" t="str">
        <f ca="1">IFERROR(Tabela3[[#This Row],[Valor]]-(Tabela3[[#This Row],[Valor]]*(Tabela3[[#This Row],[Idade]]*VLOOKUP(Tabela3[[#This Row],[Categoria]],Cadastros!A:B,2,0))),"")</f>
        <v/>
      </c>
    </row>
    <row r="222" spans="4:18" x14ac:dyDescent="0.25">
      <c r="D222" s="22"/>
      <c r="N222" s="6" t="str">
        <f>IFERROR(Tabela3[[#This Row],[Última revisão do bem]]+(VLOOKUP(Tabela3[[#This Row],[Categoria]],Cadastros!A:D,4,0)+365),"")</f>
        <v/>
      </c>
      <c r="O222" s="7" t="str">
        <f ca="1">IF(Tabela3[[#This Row],[Data da compra]]&gt;0,(TODAY()-Tabela3[[#This Row],[Data da compra]])/365,"")</f>
        <v/>
      </c>
      <c r="P222" s="7" t="str">
        <f>IFERROR(VLOOKUP(Tabela3[[#This Row],[Categoria]],Cadastros!A:C,3,0),"")</f>
        <v/>
      </c>
      <c r="Q222" s="9" t="str">
        <f ca="1">IFERROR(Tabela3[[#This Row],[Vida útil]]-Tabela3[[#This Row],[Idade]],"")</f>
        <v/>
      </c>
      <c r="R222" s="23" t="str">
        <f ca="1">IFERROR(Tabela3[[#This Row],[Valor]]-(Tabela3[[#This Row],[Valor]]*(Tabela3[[#This Row],[Idade]]*VLOOKUP(Tabela3[[#This Row],[Categoria]],Cadastros!A:B,2,0))),"")</f>
        <v/>
      </c>
    </row>
    <row r="223" spans="4:18" x14ac:dyDescent="0.25">
      <c r="D223" s="5"/>
      <c r="N223" s="6" t="str">
        <f>IFERROR(Tabela3[[#This Row],[Última revisão do bem]]+(VLOOKUP(Tabela3[[#This Row],[Categoria]],Cadastros!A:D,4,0)+365),"")</f>
        <v/>
      </c>
      <c r="O223" s="7" t="str">
        <f ca="1">IF(Tabela3[[#This Row],[Data da compra]]&gt;0,(TODAY()-Tabela3[[#This Row],[Data da compra]])/365,"")</f>
        <v/>
      </c>
      <c r="P223" s="7" t="str">
        <f>IFERROR(VLOOKUP(Tabela3[[#This Row],[Categoria]],Cadastros!A:C,3,0),"")</f>
        <v/>
      </c>
      <c r="Q223" s="9" t="str">
        <f ca="1">IFERROR(Tabela3[[#This Row],[Vida útil]]-Tabela3[[#This Row],[Idade]],"")</f>
        <v/>
      </c>
      <c r="R223" s="8" t="str">
        <f ca="1">IFERROR(Tabela3[[#This Row],[Valor]]-(Tabela3[[#This Row],[Valor]]*(Tabela3[[#This Row],[Idade]]*VLOOKUP(Tabela3[[#This Row],[Categoria]],Cadastros!A:B,2,0))),"")</f>
        <v/>
      </c>
    </row>
    <row r="224" spans="4:18" x14ac:dyDescent="0.25">
      <c r="D224" s="5"/>
      <c r="N224" s="6" t="str">
        <f>IFERROR(Tabela3[[#This Row],[Última revisão do bem]]+(VLOOKUP(Tabela3[[#This Row],[Categoria]],Cadastros!A:D,4,0)+365),"")</f>
        <v/>
      </c>
      <c r="O224" s="7" t="str">
        <f ca="1">IF(Tabela3[[#This Row],[Data da compra]]&gt;0,(TODAY()-Tabela3[[#This Row],[Data da compra]])/365,"")</f>
        <v/>
      </c>
      <c r="P224" s="7" t="str">
        <f>IFERROR(VLOOKUP(Tabela3[[#This Row],[Categoria]],Cadastros!A:C,3,0),"")</f>
        <v/>
      </c>
      <c r="Q224" s="9" t="str">
        <f ca="1">IFERROR(Tabela3[[#This Row],[Vida útil]]-Tabela3[[#This Row],[Idade]],"")</f>
        <v/>
      </c>
      <c r="R224" s="8" t="str">
        <f ca="1">IFERROR(Tabela3[[#This Row],[Valor]]-(Tabela3[[#This Row],[Valor]]*(Tabela3[[#This Row],[Idade]]*VLOOKUP(Tabela3[[#This Row],[Categoria]],Cadastros!A:B,2,0))),"")</f>
        <v/>
      </c>
    </row>
    <row r="225" spans="4:18" x14ac:dyDescent="0.25">
      <c r="D225" s="5"/>
      <c r="N225" s="6" t="str">
        <f>IFERROR(Tabela3[[#This Row],[Última revisão do bem]]+(VLOOKUP(Tabela3[[#This Row],[Categoria]],Cadastros!A:D,4,0)+365),"")</f>
        <v/>
      </c>
      <c r="O225" s="7" t="str">
        <f ca="1">IF(Tabela3[[#This Row],[Data da compra]]&gt;0,(TODAY()-Tabela3[[#This Row],[Data da compra]])/365,"")</f>
        <v/>
      </c>
      <c r="P225" s="7" t="str">
        <f>IFERROR(VLOOKUP(Tabela3[[#This Row],[Categoria]],Cadastros!A:C,3,0),"")</f>
        <v/>
      </c>
      <c r="Q225" s="9" t="str">
        <f ca="1">IFERROR(Tabela3[[#This Row],[Vida útil]]-Tabela3[[#This Row],[Idade]],"")</f>
        <v/>
      </c>
      <c r="R225" s="8" t="str">
        <f ca="1">IFERROR(Tabela3[[#This Row],[Valor]]-(Tabela3[[#This Row],[Valor]]*(Tabela3[[#This Row],[Idade]]*VLOOKUP(Tabela3[[#This Row],[Categoria]],Cadastros!A:B,2,0))),"")</f>
        <v/>
      </c>
    </row>
    <row r="226" spans="4:18" x14ac:dyDescent="0.25">
      <c r="D226" s="5"/>
      <c r="N226" s="6" t="str">
        <f>IFERROR(Tabela3[[#This Row],[Última revisão do bem]]+(VLOOKUP(Tabela3[[#This Row],[Categoria]],Cadastros!A:D,4,0)+365),"")</f>
        <v/>
      </c>
      <c r="O226" s="7" t="str">
        <f ca="1">IF(Tabela3[[#This Row],[Data da compra]]&gt;0,(TODAY()-Tabela3[[#This Row],[Data da compra]])/365,"")</f>
        <v/>
      </c>
      <c r="P226" s="7" t="str">
        <f>IFERROR(VLOOKUP(Tabela3[[#This Row],[Categoria]],Cadastros!A:C,3,0),"")</f>
        <v/>
      </c>
      <c r="Q226" s="9" t="str">
        <f ca="1">IFERROR(Tabela3[[#This Row],[Vida útil]]-Tabela3[[#This Row],[Idade]],"")</f>
        <v/>
      </c>
      <c r="R226" s="8" t="str">
        <f ca="1">IFERROR(Tabela3[[#This Row],[Valor]]-(Tabela3[[#This Row],[Valor]]*(Tabela3[[#This Row],[Idade]]*VLOOKUP(Tabela3[[#This Row],[Categoria]],Cadastros!A:B,2,0))),"")</f>
        <v/>
      </c>
    </row>
    <row r="227" spans="4:18" x14ac:dyDescent="0.25">
      <c r="D227" s="5"/>
      <c r="N227" s="6" t="str">
        <f>IFERROR(Tabela3[[#This Row],[Última revisão do bem]]+(VLOOKUP(Tabela3[[#This Row],[Categoria]],Cadastros!A:D,4,0)+365),"")</f>
        <v/>
      </c>
      <c r="O227" s="7" t="str">
        <f ca="1">IF(Tabela3[[#This Row],[Data da compra]]&gt;0,(TODAY()-Tabela3[[#This Row],[Data da compra]])/365,"")</f>
        <v/>
      </c>
      <c r="P227" s="7" t="str">
        <f>IFERROR(VLOOKUP(Tabela3[[#This Row],[Categoria]],Cadastros!A:C,3,0),"")</f>
        <v/>
      </c>
      <c r="Q227" s="9" t="str">
        <f ca="1">IFERROR(Tabela3[[#This Row],[Vida útil]]-Tabela3[[#This Row],[Idade]],"")</f>
        <v/>
      </c>
      <c r="R227" s="8" t="str">
        <f ca="1">IFERROR(Tabela3[[#This Row],[Valor]]-(Tabela3[[#This Row],[Valor]]*(Tabela3[[#This Row],[Idade]]*VLOOKUP(Tabela3[[#This Row],[Categoria]],Cadastros!A:B,2,0))),"")</f>
        <v/>
      </c>
    </row>
    <row r="228" spans="4:18" x14ac:dyDescent="0.25">
      <c r="D228" s="5"/>
      <c r="N228" s="6" t="str">
        <f>IFERROR(Tabela3[[#This Row],[Última revisão do bem]]+(VLOOKUP(Tabela3[[#This Row],[Categoria]],Cadastros!A:D,4,0)+365),"")</f>
        <v/>
      </c>
      <c r="O228" s="7" t="str">
        <f ca="1">IF(Tabela3[[#This Row],[Data da compra]]&gt;0,(TODAY()-Tabela3[[#This Row],[Data da compra]])/365,"")</f>
        <v/>
      </c>
      <c r="P228" s="7" t="str">
        <f>IFERROR(VLOOKUP(Tabela3[[#This Row],[Categoria]],Cadastros!A:C,3,0),"")</f>
        <v/>
      </c>
      <c r="Q228" s="9" t="str">
        <f ca="1">IFERROR(Tabela3[[#This Row],[Vida útil]]-Tabela3[[#This Row],[Idade]],"")</f>
        <v/>
      </c>
      <c r="R228" s="8" t="str">
        <f ca="1">IFERROR(Tabela3[[#This Row],[Valor]]-(Tabela3[[#This Row],[Valor]]*(Tabela3[[#This Row],[Idade]]*VLOOKUP(Tabela3[[#This Row],[Categoria]],Cadastros!A:B,2,0))),"")</f>
        <v/>
      </c>
    </row>
    <row r="229" spans="4:18" x14ac:dyDescent="0.25">
      <c r="D229" s="5"/>
      <c r="N229" s="6" t="str">
        <f>IFERROR(Tabela3[[#This Row],[Última revisão do bem]]+(VLOOKUP(Tabela3[[#This Row],[Categoria]],Cadastros!A:D,4,0)+365),"")</f>
        <v/>
      </c>
      <c r="O229" s="7" t="str">
        <f ca="1">IF(Tabela3[[#This Row],[Data da compra]]&gt;0,(TODAY()-Tabela3[[#This Row],[Data da compra]])/365,"")</f>
        <v/>
      </c>
      <c r="P229" s="7" t="str">
        <f>IFERROR(VLOOKUP(Tabela3[[#This Row],[Categoria]],Cadastros!A:C,3,0),"")</f>
        <v/>
      </c>
      <c r="Q229" s="9" t="str">
        <f ca="1">IFERROR(Tabela3[[#This Row],[Vida útil]]-Tabela3[[#This Row],[Idade]],"")</f>
        <v/>
      </c>
      <c r="R229" s="8" t="str">
        <f ca="1">IFERROR(Tabela3[[#This Row],[Valor]]-(Tabela3[[#This Row],[Valor]]*(Tabela3[[#This Row],[Idade]]*VLOOKUP(Tabela3[[#This Row],[Categoria]],Cadastros!A:B,2,0))),"")</f>
        <v/>
      </c>
    </row>
    <row r="230" spans="4:18" x14ac:dyDescent="0.25">
      <c r="D230" s="5"/>
      <c r="N230" s="6" t="str">
        <f>IFERROR(Tabela3[[#This Row],[Última revisão do bem]]+(VLOOKUP(Tabela3[[#This Row],[Categoria]],Cadastros!A:D,4,0)+365),"")</f>
        <v/>
      </c>
      <c r="O230" s="7" t="str">
        <f ca="1">IF(Tabela3[[#This Row],[Data da compra]]&gt;0,(TODAY()-Tabela3[[#This Row],[Data da compra]])/365,"")</f>
        <v/>
      </c>
      <c r="P230" s="7" t="str">
        <f>IFERROR(VLOOKUP(Tabela3[[#This Row],[Categoria]],Cadastros!A:C,3,0),"")</f>
        <v/>
      </c>
      <c r="Q230" s="9" t="str">
        <f ca="1">IFERROR(Tabela3[[#This Row],[Vida útil]]-Tabela3[[#This Row],[Idade]],"")</f>
        <v/>
      </c>
      <c r="R230" s="8" t="str">
        <f ca="1">IFERROR(Tabela3[[#This Row],[Valor]]-(Tabela3[[#This Row],[Valor]]*(Tabela3[[#This Row],[Idade]]*VLOOKUP(Tabela3[[#This Row],[Categoria]],Cadastros!A:B,2,0))),"")</f>
        <v/>
      </c>
    </row>
    <row r="231" spans="4:18" x14ac:dyDescent="0.25">
      <c r="D231" s="5"/>
      <c r="N231" s="6" t="str">
        <f>IFERROR(Tabela3[[#This Row],[Última revisão do bem]]+(VLOOKUP(Tabela3[[#This Row],[Categoria]],Cadastros!A:D,4,0)+365),"")</f>
        <v/>
      </c>
      <c r="O231" s="7" t="str">
        <f ca="1">IF(Tabela3[[#This Row],[Data da compra]]&gt;0,(TODAY()-Tabela3[[#This Row],[Data da compra]])/365,"")</f>
        <v/>
      </c>
      <c r="P231" s="7" t="str">
        <f>IFERROR(VLOOKUP(Tabela3[[#This Row],[Categoria]],Cadastros!A:C,3,0),"")</f>
        <v/>
      </c>
      <c r="Q231" s="9" t="str">
        <f ca="1">IFERROR(Tabela3[[#This Row],[Vida útil]]-Tabela3[[#This Row],[Idade]],"")</f>
        <v/>
      </c>
      <c r="R231" s="8" t="str">
        <f ca="1">IFERROR(Tabela3[[#This Row],[Valor]]-(Tabela3[[#This Row],[Valor]]*(Tabela3[[#This Row],[Idade]]*VLOOKUP(Tabela3[[#This Row],[Categoria]],Cadastros!A:B,2,0))),"")</f>
        <v/>
      </c>
    </row>
    <row r="232" spans="4:18" x14ac:dyDescent="0.25">
      <c r="D232" s="5"/>
      <c r="N232" s="6" t="str">
        <f>IFERROR(Tabela3[[#This Row],[Última revisão do bem]]+(VLOOKUP(Tabela3[[#This Row],[Categoria]],Cadastros!A:D,4,0)+365),"")</f>
        <v/>
      </c>
      <c r="O232" s="7" t="str">
        <f ca="1">IF(Tabela3[[#This Row],[Data da compra]]&gt;0,(TODAY()-Tabela3[[#This Row],[Data da compra]])/365,"")</f>
        <v/>
      </c>
      <c r="P232" s="7" t="str">
        <f>IFERROR(VLOOKUP(Tabela3[[#This Row],[Categoria]],Cadastros!A:C,3,0),"")</f>
        <v/>
      </c>
      <c r="Q232" s="9" t="str">
        <f ca="1">IFERROR(Tabela3[[#This Row],[Vida útil]]-Tabela3[[#This Row],[Idade]],"")</f>
        <v/>
      </c>
      <c r="R232" s="8" t="str">
        <f ca="1">IFERROR(Tabela3[[#This Row],[Valor]]-(Tabela3[[#This Row],[Valor]]*(Tabela3[[#This Row],[Idade]]*VLOOKUP(Tabela3[[#This Row],[Categoria]],Cadastros!A:B,2,0))),"")</f>
        <v/>
      </c>
    </row>
    <row r="233" spans="4:18" x14ac:dyDescent="0.25">
      <c r="D233" s="5"/>
      <c r="N233" s="6" t="str">
        <f>IFERROR(Tabela3[[#This Row],[Última revisão do bem]]+(VLOOKUP(Tabela3[[#This Row],[Categoria]],Cadastros!A:D,4,0)+365),"")</f>
        <v/>
      </c>
      <c r="O233" s="7" t="str">
        <f ca="1">IF(Tabela3[[#This Row],[Data da compra]]&gt;0,(TODAY()-Tabela3[[#This Row],[Data da compra]])/365,"")</f>
        <v/>
      </c>
      <c r="P233" s="7" t="str">
        <f>IFERROR(VLOOKUP(Tabela3[[#This Row],[Categoria]],Cadastros!A:C,3,0),"")</f>
        <v/>
      </c>
      <c r="Q233" s="9" t="str">
        <f ca="1">IFERROR(Tabela3[[#This Row],[Vida útil]]-Tabela3[[#This Row],[Idade]],"")</f>
        <v/>
      </c>
      <c r="R233" s="8" t="str">
        <f ca="1">IFERROR(Tabela3[[#This Row],[Valor]]-(Tabela3[[#This Row],[Valor]]*(Tabela3[[#This Row],[Idade]]*VLOOKUP(Tabela3[[#This Row],[Categoria]],Cadastros!A:B,2,0))),"")</f>
        <v/>
      </c>
    </row>
    <row r="234" spans="4:18" x14ac:dyDescent="0.25">
      <c r="D234" s="5"/>
      <c r="N234" s="6" t="str">
        <f>IFERROR(Tabela3[[#This Row],[Última revisão do bem]]+(VLOOKUP(Tabela3[[#This Row],[Categoria]],Cadastros!A:D,4,0)+365),"")</f>
        <v/>
      </c>
      <c r="O234" s="7" t="str">
        <f ca="1">IF(Tabela3[[#This Row],[Data da compra]]&gt;0,(TODAY()-Tabela3[[#This Row],[Data da compra]])/365,"")</f>
        <v/>
      </c>
      <c r="P234" s="7" t="str">
        <f>IFERROR(VLOOKUP(Tabela3[[#This Row],[Categoria]],Cadastros!A:C,3,0),"")</f>
        <v/>
      </c>
      <c r="Q234" s="9" t="str">
        <f ca="1">IFERROR(Tabela3[[#This Row],[Vida útil]]-Tabela3[[#This Row],[Idade]],"")</f>
        <v/>
      </c>
      <c r="R234" s="8" t="str">
        <f ca="1">IFERROR(Tabela3[[#This Row],[Valor]]-(Tabela3[[#This Row],[Valor]]*(Tabela3[[#This Row],[Idade]]*VLOOKUP(Tabela3[[#This Row],[Categoria]],Cadastros!A:B,2,0))),"")</f>
        <v/>
      </c>
    </row>
    <row r="235" spans="4:18" x14ac:dyDescent="0.25">
      <c r="D235" s="5"/>
      <c r="N235" s="6" t="str">
        <f>IFERROR(Tabela3[[#This Row],[Última revisão do bem]]+(VLOOKUP(Tabela3[[#This Row],[Categoria]],Cadastros!A:D,4,0)+365),"")</f>
        <v/>
      </c>
      <c r="O235" s="7" t="str">
        <f ca="1">IF(Tabela3[[#This Row],[Data da compra]]&gt;0,(TODAY()-Tabela3[[#This Row],[Data da compra]])/365,"")</f>
        <v/>
      </c>
      <c r="P235" s="7" t="str">
        <f>IFERROR(VLOOKUP(Tabela3[[#This Row],[Categoria]],Cadastros!A:C,3,0),"")</f>
        <v/>
      </c>
      <c r="Q235" s="9" t="str">
        <f ca="1">IFERROR(Tabela3[[#This Row],[Vida útil]]-Tabela3[[#This Row],[Idade]],"")</f>
        <v/>
      </c>
      <c r="R235" s="8" t="str">
        <f ca="1">IFERROR(Tabela3[[#This Row],[Valor]]-(Tabela3[[#This Row],[Valor]]*(Tabela3[[#This Row],[Idade]]*VLOOKUP(Tabela3[[#This Row],[Categoria]],Cadastros!A:B,2,0))),"")</f>
        <v/>
      </c>
    </row>
    <row r="236" spans="4:18" x14ac:dyDescent="0.25">
      <c r="D236" s="5"/>
      <c r="N236" s="6" t="str">
        <f>IFERROR(Tabela3[[#This Row],[Última revisão do bem]]+(VLOOKUP(Tabela3[[#This Row],[Categoria]],Cadastros!A:D,4,0)+365),"")</f>
        <v/>
      </c>
      <c r="O236" s="7" t="str">
        <f ca="1">IF(Tabela3[[#This Row],[Data da compra]]&gt;0,(TODAY()-Tabela3[[#This Row],[Data da compra]])/365,"")</f>
        <v/>
      </c>
      <c r="P236" s="7" t="str">
        <f>IFERROR(VLOOKUP(Tabela3[[#This Row],[Categoria]],Cadastros!A:C,3,0),"")</f>
        <v/>
      </c>
      <c r="Q236" s="9" t="str">
        <f ca="1">IFERROR(Tabela3[[#This Row],[Vida útil]]-Tabela3[[#This Row],[Idade]],"")</f>
        <v/>
      </c>
      <c r="R236" s="8" t="str">
        <f ca="1">IFERROR(Tabela3[[#This Row],[Valor]]-(Tabela3[[#This Row],[Valor]]*(Tabela3[[#This Row],[Idade]]*VLOOKUP(Tabela3[[#This Row],[Categoria]],Cadastros!A:B,2,0))),"")</f>
        <v/>
      </c>
    </row>
    <row r="237" spans="4:18" x14ac:dyDescent="0.25">
      <c r="D237" s="5"/>
      <c r="N237" s="6" t="str">
        <f>IFERROR(Tabela3[[#This Row],[Última revisão do bem]]+(VLOOKUP(Tabela3[[#This Row],[Categoria]],Cadastros!A:D,4,0)+365),"")</f>
        <v/>
      </c>
      <c r="O237" s="7" t="str">
        <f ca="1">IF(Tabela3[[#This Row],[Data da compra]]&gt;0,(TODAY()-Tabela3[[#This Row],[Data da compra]])/365,"")</f>
        <v/>
      </c>
      <c r="P237" s="7" t="str">
        <f>IFERROR(VLOOKUP(Tabela3[[#This Row],[Categoria]],Cadastros!A:C,3,0),"")</f>
        <v/>
      </c>
      <c r="Q237" s="9" t="str">
        <f ca="1">IFERROR(Tabela3[[#This Row],[Vida útil]]-Tabela3[[#This Row],[Idade]],"")</f>
        <v/>
      </c>
      <c r="R237" s="8" t="str">
        <f ca="1">IFERROR(Tabela3[[#This Row],[Valor]]-(Tabela3[[#This Row],[Valor]]*(Tabela3[[#This Row],[Idade]]*VLOOKUP(Tabela3[[#This Row],[Categoria]],Cadastros!A:B,2,0))),"")</f>
        <v/>
      </c>
    </row>
    <row r="238" spans="4:18" x14ac:dyDescent="0.25">
      <c r="D238" s="5"/>
      <c r="N238" s="6" t="str">
        <f>IFERROR(Tabela3[[#This Row],[Última revisão do bem]]+(VLOOKUP(Tabela3[[#This Row],[Categoria]],Cadastros!A:D,4,0)+365),"")</f>
        <v/>
      </c>
      <c r="O238" s="7" t="str">
        <f ca="1">IF(Tabela3[[#This Row],[Data da compra]]&gt;0,(TODAY()-Tabela3[[#This Row],[Data da compra]])/365,"")</f>
        <v/>
      </c>
      <c r="P238" s="7" t="str">
        <f>IFERROR(VLOOKUP(Tabela3[[#This Row],[Categoria]],Cadastros!A:C,3,0),"")</f>
        <v/>
      </c>
      <c r="Q238" s="9" t="str">
        <f ca="1">IFERROR(Tabela3[[#This Row],[Vida útil]]-Tabela3[[#This Row],[Idade]],"")</f>
        <v/>
      </c>
      <c r="R238" s="8" t="str">
        <f ca="1">IFERROR(Tabela3[[#This Row],[Valor]]-(Tabela3[[#This Row],[Valor]]*(Tabela3[[#This Row],[Idade]]*VLOOKUP(Tabela3[[#This Row],[Categoria]],Cadastros!A:B,2,0))),"")</f>
        <v/>
      </c>
    </row>
    <row r="239" spans="4:18" x14ac:dyDescent="0.25">
      <c r="D239" s="5"/>
      <c r="N239" s="6" t="str">
        <f>IFERROR(Tabela3[[#This Row],[Última revisão do bem]]+(VLOOKUP(Tabela3[[#This Row],[Categoria]],Cadastros!A:D,4,0)+365),"")</f>
        <v/>
      </c>
      <c r="O239" s="7" t="str">
        <f ca="1">IF(Tabela3[[#This Row],[Data da compra]]&gt;0,(TODAY()-Tabela3[[#This Row],[Data da compra]])/365,"")</f>
        <v/>
      </c>
      <c r="P239" s="7" t="str">
        <f>IFERROR(VLOOKUP(Tabela3[[#This Row],[Categoria]],Cadastros!A:C,3,0),"")</f>
        <v/>
      </c>
      <c r="Q239" s="9" t="str">
        <f ca="1">IFERROR(Tabela3[[#This Row],[Vida útil]]-Tabela3[[#This Row],[Idade]],"")</f>
        <v/>
      </c>
      <c r="R239" s="8" t="str">
        <f ca="1">IFERROR(Tabela3[[#This Row],[Valor]]-(Tabela3[[#This Row],[Valor]]*(Tabela3[[#This Row],[Idade]]*VLOOKUP(Tabela3[[#This Row],[Categoria]],Cadastros!A:B,2,0))),"")</f>
        <v/>
      </c>
    </row>
    <row r="240" spans="4:18" x14ac:dyDescent="0.25">
      <c r="D240" s="22"/>
      <c r="N240" s="6" t="str">
        <f>IFERROR(Tabela3[[#This Row],[Última revisão do bem]]+(VLOOKUP(Tabela3[[#This Row],[Categoria]],Cadastros!A:D,4,0)+365),"")</f>
        <v/>
      </c>
      <c r="O240" s="7" t="str">
        <f ca="1">IF(Tabela3[[#This Row],[Data da compra]]&gt;0,(TODAY()-Tabela3[[#This Row],[Data da compra]])/365,"")</f>
        <v/>
      </c>
      <c r="P240" s="7" t="str">
        <f>IFERROR(VLOOKUP(Tabela3[[#This Row],[Categoria]],Cadastros!A:C,3,0),"")</f>
        <v/>
      </c>
      <c r="Q240" s="9" t="str">
        <f ca="1">IFERROR(Tabela3[[#This Row],[Vida útil]]-Tabela3[[#This Row],[Idade]],"")</f>
        <v/>
      </c>
      <c r="R240" s="23" t="str">
        <f ca="1">IFERROR(Tabela3[[#This Row],[Valor]]-(Tabela3[[#This Row],[Valor]]*(Tabela3[[#This Row],[Idade]]*VLOOKUP(Tabela3[[#This Row],[Categoria]],Cadastros!A:B,2,0))),"")</f>
        <v/>
      </c>
    </row>
    <row r="241" spans="4:18" x14ac:dyDescent="0.25">
      <c r="D241" s="5"/>
      <c r="N241" s="6" t="str">
        <f>IFERROR(Tabela3[[#This Row],[Última revisão do bem]]+(VLOOKUP(Tabela3[[#This Row],[Categoria]],Cadastros!A:D,4,0)+365),"")</f>
        <v/>
      </c>
      <c r="O241" s="7" t="str">
        <f ca="1">IF(Tabela3[[#This Row],[Data da compra]]&gt;0,(TODAY()-Tabela3[[#This Row],[Data da compra]])/365,"")</f>
        <v/>
      </c>
      <c r="P241" s="7" t="str">
        <f>IFERROR(VLOOKUP(Tabela3[[#This Row],[Categoria]],Cadastros!A:C,3,0),"")</f>
        <v/>
      </c>
      <c r="Q241" s="9" t="str">
        <f ca="1">IFERROR(Tabela3[[#This Row],[Vida útil]]-Tabela3[[#This Row],[Idade]],"")</f>
        <v/>
      </c>
      <c r="R241" s="8" t="str">
        <f ca="1">IFERROR(Tabela3[[#This Row],[Valor]]-(Tabela3[[#This Row],[Valor]]*(Tabela3[[#This Row],[Idade]]*VLOOKUP(Tabela3[[#This Row],[Categoria]],Cadastros!A:B,2,0))),"")</f>
        <v/>
      </c>
    </row>
    <row r="242" spans="4:18" x14ac:dyDescent="0.25">
      <c r="D242" s="5"/>
      <c r="N242" s="6" t="str">
        <f>IFERROR(Tabela3[[#This Row],[Última revisão do bem]]+(VLOOKUP(Tabela3[[#This Row],[Categoria]],Cadastros!A:D,4,0)+365),"")</f>
        <v/>
      </c>
      <c r="O242" s="7" t="str">
        <f ca="1">IF(Tabela3[[#This Row],[Data da compra]]&gt;0,(TODAY()-Tabela3[[#This Row],[Data da compra]])/365,"")</f>
        <v/>
      </c>
      <c r="P242" s="7" t="str">
        <f>IFERROR(VLOOKUP(Tabela3[[#This Row],[Categoria]],Cadastros!A:C,3,0),"")</f>
        <v/>
      </c>
      <c r="Q242" s="9" t="str">
        <f ca="1">IFERROR(Tabela3[[#This Row],[Vida útil]]-Tabela3[[#This Row],[Idade]],"")</f>
        <v/>
      </c>
      <c r="R242" s="8" t="str">
        <f ca="1">IFERROR(Tabela3[[#This Row],[Valor]]-(Tabela3[[#This Row],[Valor]]*(Tabela3[[#This Row],[Idade]]*VLOOKUP(Tabela3[[#This Row],[Categoria]],Cadastros!A:B,2,0))),"")</f>
        <v/>
      </c>
    </row>
    <row r="243" spans="4:18" x14ac:dyDescent="0.25">
      <c r="D243" s="5"/>
      <c r="N243" s="6" t="str">
        <f>IFERROR(Tabela3[[#This Row],[Última revisão do bem]]+(VLOOKUP(Tabela3[[#This Row],[Categoria]],Cadastros!A:D,4,0)+365),"")</f>
        <v/>
      </c>
      <c r="O243" s="7" t="str">
        <f ca="1">IF(Tabela3[[#This Row],[Data da compra]]&gt;0,(TODAY()-Tabela3[[#This Row],[Data da compra]])/365,"")</f>
        <v/>
      </c>
      <c r="P243" s="7" t="str">
        <f>IFERROR(VLOOKUP(Tabela3[[#This Row],[Categoria]],Cadastros!A:C,3,0),"")</f>
        <v/>
      </c>
      <c r="Q243" s="9" t="str">
        <f ca="1">IFERROR(Tabela3[[#This Row],[Vida útil]]-Tabela3[[#This Row],[Idade]],"")</f>
        <v/>
      </c>
      <c r="R243" s="8" t="str">
        <f ca="1">IFERROR(Tabela3[[#This Row],[Valor]]-(Tabela3[[#This Row],[Valor]]*(Tabela3[[#This Row],[Idade]]*VLOOKUP(Tabela3[[#This Row],[Categoria]],Cadastros!A:B,2,0))),"")</f>
        <v/>
      </c>
    </row>
    <row r="244" spans="4:18" x14ac:dyDescent="0.25">
      <c r="D244" s="5"/>
      <c r="N244" s="6" t="str">
        <f>IFERROR(Tabela3[[#This Row],[Última revisão do bem]]+(VLOOKUP(Tabela3[[#This Row],[Categoria]],Cadastros!A:D,4,0)+365),"")</f>
        <v/>
      </c>
      <c r="O244" s="7" t="str">
        <f ca="1">IF(Tabela3[[#This Row],[Data da compra]]&gt;0,(TODAY()-Tabela3[[#This Row],[Data da compra]])/365,"")</f>
        <v/>
      </c>
      <c r="P244" s="7" t="str">
        <f>IFERROR(VLOOKUP(Tabela3[[#This Row],[Categoria]],Cadastros!A:C,3,0),"")</f>
        <v/>
      </c>
      <c r="Q244" s="9" t="str">
        <f ca="1">IFERROR(Tabela3[[#This Row],[Vida útil]]-Tabela3[[#This Row],[Idade]],"")</f>
        <v/>
      </c>
      <c r="R244" s="8" t="str">
        <f ca="1">IFERROR(Tabela3[[#This Row],[Valor]]-(Tabela3[[#This Row],[Valor]]*(Tabela3[[#This Row],[Idade]]*VLOOKUP(Tabela3[[#This Row],[Categoria]],Cadastros!A:B,2,0))),"")</f>
        <v/>
      </c>
    </row>
    <row r="245" spans="4:18" x14ac:dyDescent="0.25">
      <c r="D245" s="5"/>
      <c r="N245" s="6" t="str">
        <f>IFERROR(Tabela3[[#This Row],[Última revisão do bem]]+(VLOOKUP(Tabela3[[#This Row],[Categoria]],Cadastros!A:D,4,0)+365),"")</f>
        <v/>
      </c>
      <c r="O245" s="7" t="str">
        <f ca="1">IF(Tabela3[[#This Row],[Data da compra]]&gt;0,(TODAY()-Tabela3[[#This Row],[Data da compra]])/365,"")</f>
        <v/>
      </c>
      <c r="P245" s="7" t="str">
        <f>IFERROR(VLOOKUP(Tabela3[[#This Row],[Categoria]],Cadastros!A:C,3,0),"")</f>
        <v/>
      </c>
      <c r="Q245" s="9" t="str">
        <f ca="1">IFERROR(Tabela3[[#This Row],[Vida útil]]-Tabela3[[#This Row],[Idade]],"")</f>
        <v/>
      </c>
      <c r="R245" s="8" t="str">
        <f ca="1">IFERROR(Tabela3[[#This Row],[Valor]]-(Tabela3[[#This Row],[Valor]]*(Tabela3[[#This Row],[Idade]]*VLOOKUP(Tabela3[[#This Row],[Categoria]],Cadastros!A:B,2,0))),"")</f>
        <v/>
      </c>
    </row>
    <row r="246" spans="4:18" x14ac:dyDescent="0.25">
      <c r="D246" s="5"/>
      <c r="N246" s="6" t="str">
        <f>IFERROR(Tabela3[[#This Row],[Última revisão do bem]]+(VLOOKUP(Tabela3[[#This Row],[Categoria]],Cadastros!A:D,4,0)+365),"")</f>
        <v/>
      </c>
      <c r="O246" s="7" t="str">
        <f ca="1">IF(Tabela3[[#This Row],[Data da compra]]&gt;0,(TODAY()-Tabela3[[#This Row],[Data da compra]])/365,"")</f>
        <v/>
      </c>
      <c r="P246" s="7" t="str">
        <f>IFERROR(VLOOKUP(Tabela3[[#This Row],[Categoria]],Cadastros!A:C,3,0),"")</f>
        <v/>
      </c>
      <c r="Q246" s="9" t="str">
        <f ca="1">IFERROR(Tabela3[[#This Row],[Vida útil]]-Tabela3[[#This Row],[Idade]],"")</f>
        <v/>
      </c>
      <c r="R246" s="8" t="str">
        <f ca="1">IFERROR(Tabela3[[#This Row],[Valor]]-(Tabela3[[#This Row],[Valor]]*(Tabela3[[#This Row],[Idade]]*VLOOKUP(Tabela3[[#This Row],[Categoria]],Cadastros!A:B,2,0))),"")</f>
        <v/>
      </c>
    </row>
    <row r="247" spans="4:18" x14ac:dyDescent="0.25">
      <c r="D247" s="5"/>
      <c r="N247" s="6" t="str">
        <f>IFERROR(Tabela3[[#This Row],[Última revisão do bem]]+(VLOOKUP(Tabela3[[#This Row],[Categoria]],Cadastros!A:D,4,0)+365),"")</f>
        <v/>
      </c>
      <c r="O247" s="7" t="str">
        <f ca="1">IF(Tabela3[[#This Row],[Data da compra]]&gt;0,(TODAY()-Tabela3[[#This Row],[Data da compra]])/365,"")</f>
        <v/>
      </c>
      <c r="P247" s="7" t="str">
        <f>IFERROR(VLOOKUP(Tabela3[[#This Row],[Categoria]],Cadastros!A:C,3,0),"")</f>
        <v/>
      </c>
      <c r="Q247" s="9" t="str">
        <f ca="1">IFERROR(Tabela3[[#This Row],[Vida útil]]-Tabela3[[#This Row],[Idade]],"")</f>
        <v/>
      </c>
      <c r="R247" s="8" t="str">
        <f ca="1">IFERROR(Tabela3[[#This Row],[Valor]]-(Tabela3[[#This Row],[Valor]]*(Tabela3[[#This Row],[Idade]]*VLOOKUP(Tabela3[[#This Row],[Categoria]],Cadastros!A:B,2,0))),"")</f>
        <v/>
      </c>
    </row>
    <row r="248" spans="4:18" x14ac:dyDescent="0.25">
      <c r="D248" s="5"/>
      <c r="N248" s="6" t="str">
        <f>IFERROR(Tabela3[[#This Row],[Última revisão do bem]]+(VLOOKUP(Tabela3[[#This Row],[Categoria]],Cadastros!A:D,4,0)+365),"")</f>
        <v/>
      </c>
      <c r="O248" s="7" t="str">
        <f ca="1">IF(Tabela3[[#This Row],[Data da compra]]&gt;0,(TODAY()-Tabela3[[#This Row],[Data da compra]])/365,"")</f>
        <v/>
      </c>
      <c r="P248" s="7" t="str">
        <f>IFERROR(VLOOKUP(Tabela3[[#This Row],[Categoria]],Cadastros!A:C,3,0),"")</f>
        <v/>
      </c>
      <c r="Q248" s="9" t="str">
        <f ca="1">IFERROR(Tabela3[[#This Row],[Vida útil]]-Tabela3[[#This Row],[Idade]],"")</f>
        <v/>
      </c>
      <c r="R248" s="8" t="str">
        <f ca="1">IFERROR(Tabela3[[#This Row],[Valor]]-(Tabela3[[#This Row],[Valor]]*(Tabela3[[#This Row],[Idade]]*VLOOKUP(Tabela3[[#This Row],[Categoria]],Cadastros!A:B,2,0))),"")</f>
        <v/>
      </c>
    </row>
    <row r="249" spans="4:18" x14ac:dyDescent="0.25">
      <c r="D249" s="5"/>
      <c r="N249" s="6" t="str">
        <f>IFERROR(Tabela3[[#This Row],[Última revisão do bem]]+(VLOOKUP(Tabela3[[#This Row],[Categoria]],Cadastros!A:D,4,0)+365),"")</f>
        <v/>
      </c>
      <c r="O249" s="7" t="str">
        <f ca="1">IF(Tabela3[[#This Row],[Data da compra]]&gt;0,(TODAY()-Tabela3[[#This Row],[Data da compra]])/365,"")</f>
        <v/>
      </c>
      <c r="P249" s="7" t="str">
        <f>IFERROR(VLOOKUP(Tabela3[[#This Row],[Categoria]],Cadastros!A:C,3,0),"")</f>
        <v/>
      </c>
      <c r="Q249" s="9" t="str">
        <f ca="1">IFERROR(Tabela3[[#This Row],[Vida útil]]-Tabela3[[#This Row],[Idade]],"")</f>
        <v/>
      </c>
      <c r="R249" s="8" t="str">
        <f ca="1">IFERROR(Tabela3[[#This Row],[Valor]]-(Tabela3[[#This Row],[Valor]]*(Tabela3[[#This Row],[Idade]]*VLOOKUP(Tabela3[[#This Row],[Categoria]],Cadastros!A:B,2,0))),"")</f>
        <v/>
      </c>
    </row>
    <row r="250" spans="4:18" x14ac:dyDescent="0.25">
      <c r="D250" s="5"/>
      <c r="N250" s="6" t="str">
        <f>IFERROR(Tabela3[[#This Row],[Última revisão do bem]]+(VLOOKUP(Tabela3[[#This Row],[Categoria]],Cadastros!A:D,4,0)+365),"")</f>
        <v/>
      </c>
      <c r="O250" s="7" t="str">
        <f ca="1">IF(Tabela3[[#This Row],[Data da compra]]&gt;0,(TODAY()-Tabela3[[#This Row],[Data da compra]])/365,"")</f>
        <v/>
      </c>
      <c r="P250" s="7" t="str">
        <f>IFERROR(VLOOKUP(Tabela3[[#This Row],[Categoria]],Cadastros!A:C,3,0),"")</f>
        <v/>
      </c>
      <c r="Q250" s="9" t="str">
        <f ca="1">IFERROR(Tabela3[[#This Row],[Vida útil]]-Tabela3[[#This Row],[Idade]],"")</f>
        <v/>
      </c>
      <c r="R250" s="8" t="str">
        <f ca="1">IFERROR(Tabela3[[#This Row],[Valor]]-(Tabela3[[#This Row],[Valor]]*(Tabela3[[#This Row],[Idade]]*VLOOKUP(Tabela3[[#This Row],[Categoria]],Cadastros!A:B,2,0))),"")</f>
        <v/>
      </c>
    </row>
    <row r="251" spans="4:18" x14ac:dyDescent="0.25">
      <c r="D251" s="5"/>
      <c r="N251" s="6" t="str">
        <f>IFERROR(Tabela3[[#This Row],[Última revisão do bem]]+(VLOOKUP(Tabela3[[#This Row],[Categoria]],Cadastros!A:D,4,0)+365),"")</f>
        <v/>
      </c>
      <c r="O251" s="7" t="str">
        <f ca="1">IF(Tabela3[[#This Row],[Data da compra]]&gt;0,(TODAY()-Tabela3[[#This Row],[Data da compra]])/365,"")</f>
        <v/>
      </c>
      <c r="P251" s="7" t="str">
        <f>IFERROR(VLOOKUP(Tabela3[[#This Row],[Categoria]],Cadastros!A:C,3,0),"")</f>
        <v/>
      </c>
      <c r="Q251" s="9" t="str">
        <f ca="1">IFERROR(Tabela3[[#This Row],[Vida útil]]-Tabela3[[#This Row],[Idade]],"")</f>
        <v/>
      </c>
      <c r="R251" s="8" t="str">
        <f ca="1">IFERROR(Tabela3[[#This Row],[Valor]]-(Tabela3[[#This Row],[Valor]]*(Tabela3[[#This Row],[Idade]]*VLOOKUP(Tabela3[[#This Row],[Categoria]],Cadastros!A:B,2,0))),"")</f>
        <v/>
      </c>
    </row>
    <row r="252" spans="4:18" x14ac:dyDescent="0.25">
      <c r="D252" s="5"/>
      <c r="N252" s="6" t="str">
        <f>IFERROR(Tabela3[[#This Row],[Última revisão do bem]]+(VLOOKUP(Tabela3[[#This Row],[Categoria]],Cadastros!A:D,4,0)+365),"")</f>
        <v/>
      </c>
      <c r="O252" s="7" t="str">
        <f ca="1">IF(Tabela3[[#This Row],[Data da compra]]&gt;0,(TODAY()-Tabela3[[#This Row],[Data da compra]])/365,"")</f>
        <v/>
      </c>
      <c r="P252" s="7" t="str">
        <f>IFERROR(VLOOKUP(Tabela3[[#This Row],[Categoria]],Cadastros!A:C,3,0),"")</f>
        <v/>
      </c>
      <c r="Q252" s="9" t="str">
        <f ca="1">IFERROR(Tabela3[[#This Row],[Vida útil]]-Tabela3[[#This Row],[Idade]],"")</f>
        <v/>
      </c>
      <c r="R252" s="8" t="str">
        <f ca="1">IFERROR(Tabela3[[#This Row],[Valor]]-(Tabela3[[#This Row],[Valor]]*(Tabela3[[#This Row],[Idade]]*VLOOKUP(Tabela3[[#This Row],[Categoria]],Cadastros!A:B,2,0))),"")</f>
        <v/>
      </c>
    </row>
    <row r="253" spans="4:18" x14ac:dyDescent="0.25">
      <c r="D253" s="5"/>
      <c r="N253" s="6" t="str">
        <f>IFERROR(Tabela3[[#This Row],[Última revisão do bem]]+(VLOOKUP(Tabela3[[#This Row],[Categoria]],Cadastros!A:D,4,0)+365),"")</f>
        <v/>
      </c>
      <c r="O253" s="7" t="str">
        <f ca="1">IF(Tabela3[[#This Row],[Data da compra]]&gt;0,(TODAY()-Tabela3[[#This Row],[Data da compra]])/365,"")</f>
        <v/>
      </c>
      <c r="P253" s="7" t="str">
        <f>IFERROR(VLOOKUP(Tabela3[[#This Row],[Categoria]],Cadastros!A:C,3,0),"")</f>
        <v/>
      </c>
      <c r="Q253" s="9" t="str">
        <f ca="1">IFERROR(Tabela3[[#This Row],[Vida útil]]-Tabela3[[#This Row],[Idade]],"")</f>
        <v/>
      </c>
      <c r="R253" s="8" t="str">
        <f ca="1">IFERROR(Tabela3[[#This Row],[Valor]]-(Tabela3[[#This Row],[Valor]]*(Tabela3[[#This Row],[Idade]]*VLOOKUP(Tabela3[[#This Row],[Categoria]],Cadastros!A:B,2,0))),"")</f>
        <v/>
      </c>
    </row>
    <row r="254" spans="4:18" x14ac:dyDescent="0.25">
      <c r="D254" s="5"/>
      <c r="N254" s="6" t="str">
        <f>IFERROR(Tabela3[[#This Row],[Última revisão do bem]]+(VLOOKUP(Tabela3[[#This Row],[Categoria]],Cadastros!A:D,4,0)+365),"")</f>
        <v/>
      </c>
      <c r="O254" s="7" t="str">
        <f ca="1">IF(Tabela3[[#This Row],[Data da compra]]&gt;0,(TODAY()-Tabela3[[#This Row],[Data da compra]])/365,"")</f>
        <v/>
      </c>
      <c r="P254" s="7" t="str">
        <f>IFERROR(VLOOKUP(Tabela3[[#This Row],[Categoria]],Cadastros!A:C,3,0),"")</f>
        <v/>
      </c>
      <c r="Q254" s="9" t="str">
        <f ca="1">IFERROR(Tabela3[[#This Row],[Vida útil]]-Tabela3[[#This Row],[Idade]],"")</f>
        <v/>
      </c>
      <c r="R254" s="8" t="str">
        <f ca="1">IFERROR(Tabela3[[#This Row],[Valor]]-(Tabela3[[#This Row],[Valor]]*(Tabela3[[#This Row],[Idade]]*VLOOKUP(Tabela3[[#This Row],[Categoria]],Cadastros!A:B,2,0))),"")</f>
        <v/>
      </c>
    </row>
    <row r="255" spans="4:18" x14ac:dyDescent="0.25">
      <c r="D255" s="5"/>
      <c r="N255" s="6" t="str">
        <f>IFERROR(Tabela3[[#This Row],[Última revisão do bem]]+(VLOOKUP(Tabela3[[#This Row],[Categoria]],Cadastros!A:D,4,0)+365),"")</f>
        <v/>
      </c>
      <c r="O255" s="7" t="str">
        <f ca="1">IF(Tabela3[[#This Row],[Data da compra]]&gt;0,(TODAY()-Tabela3[[#This Row],[Data da compra]])/365,"")</f>
        <v/>
      </c>
      <c r="P255" s="7" t="str">
        <f>IFERROR(VLOOKUP(Tabela3[[#This Row],[Categoria]],Cadastros!A:C,3,0),"")</f>
        <v/>
      </c>
      <c r="Q255" s="9" t="str">
        <f ca="1">IFERROR(Tabela3[[#This Row],[Vida útil]]-Tabela3[[#This Row],[Idade]],"")</f>
        <v/>
      </c>
      <c r="R255" s="8" t="str">
        <f ca="1">IFERROR(Tabela3[[#This Row],[Valor]]-(Tabela3[[#This Row],[Valor]]*(Tabela3[[#This Row],[Idade]]*VLOOKUP(Tabela3[[#This Row],[Categoria]],Cadastros!A:B,2,0))),"")</f>
        <v/>
      </c>
    </row>
    <row r="256" spans="4:18" x14ac:dyDescent="0.25">
      <c r="D256" s="5"/>
      <c r="N256" s="6" t="str">
        <f>IFERROR(Tabela3[[#This Row],[Última revisão do bem]]+(VLOOKUP(Tabela3[[#This Row],[Categoria]],Cadastros!A:D,4,0)+365),"")</f>
        <v/>
      </c>
      <c r="O256" s="7" t="str">
        <f ca="1">IF(Tabela3[[#This Row],[Data da compra]]&gt;0,(TODAY()-Tabela3[[#This Row],[Data da compra]])/365,"")</f>
        <v/>
      </c>
      <c r="P256" s="7" t="str">
        <f>IFERROR(VLOOKUP(Tabela3[[#This Row],[Categoria]],Cadastros!A:C,3,0),"")</f>
        <v/>
      </c>
      <c r="Q256" s="9" t="str">
        <f ca="1">IFERROR(Tabela3[[#This Row],[Vida útil]]-Tabela3[[#This Row],[Idade]],"")</f>
        <v/>
      </c>
      <c r="R256" s="8" t="str">
        <f ca="1">IFERROR(Tabela3[[#This Row],[Valor]]-(Tabela3[[#This Row],[Valor]]*(Tabela3[[#This Row],[Idade]]*VLOOKUP(Tabela3[[#This Row],[Categoria]],Cadastros!A:B,2,0))),"")</f>
        <v/>
      </c>
    </row>
    <row r="257" spans="4:18" x14ac:dyDescent="0.25">
      <c r="D257" s="5"/>
      <c r="N257" s="6" t="str">
        <f>IFERROR(Tabela3[[#This Row],[Última revisão do bem]]+(VLOOKUP(Tabela3[[#This Row],[Categoria]],Cadastros!A:D,4,0)+365),"")</f>
        <v/>
      </c>
      <c r="O257" s="7" t="str">
        <f ca="1">IF(Tabela3[[#This Row],[Data da compra]]&gt;0,(TODAY()-Tabela3[[#This Row],[Data da compra]])/365,"")</f>
        <v/>
      </c>
      <c r="P257" s="7" t="str">
        <f>IFERROR(VLOOKUP(Tabela3[[#This Row],[Categoria]],Cadastros!A:C,3,0),"")</f>
        <v/>
      </c>
      <c r="Q257" s="9" t="str">
        <f ca="1">IFERROR(Tabela3[[#This Row],[Vida útil]]-Tabela3[[#This Row],[Idade]],"")</f>
        <v/>
      </c>
      <c r="R257" s="8" t="str">
        <f ca="1">IFERROR(Tabela3[[#This Row],[Valor]]-(Tabela3[[#This Row],[Valor]]*(Tabela3[[#This Row],[Idade]]*VLOOKUP(Tabela3[[#This Row],[Categoria]],Cadastros!A:B,2,0))),"")</f>
        <v/>
      </c>
    </row>
    <row r="258" spans="4:18" x14ac:dyDescent="0.25">
      <c r="D258" s="22"/>
      <c r="N258" s="6" t="str">
        <f>IFERROR(Tabela3[[#This Row],[Última revisão do bem]]+(VLOOKUP(Tabela3[[#This Row],[Categoria]],Cadastros!A:D,4,0)+365),"")</f>
        <v/>
      </c>
      <c r="O258" s="7" t="str">
        <f ca="1">IF(Tabela3[[#This Row],[Data da compra]]&gt;0,(TODAY()-Tabela3[[#This Row],[Data da compra]])/365,"")</f>
        <v/>
      </c>
      <c r="P258" s="7" t="str">
        <f>IFERROR(VLOOKUP(Tabela3[[#This Row],[Categoria]],Cadastros!A:C,3,0),"")</f>
        <v/>
      </c>
      <c r="Q258" s="9" t="str">
        <f ca="1">IFERROR(Tabela3[[#This Row],[Vida útil]]-Tabela3[[#This Row],[Idade]],"")</f>
        <v/>
      </c>
      <c r="R258" s="23" t="str">
        <f ca="1">IFERROR(Tabela3[[#This Row],[Valor]]-(Tabela3[[#This Row],[Valor]]*(Tabela3[[#This Row],[Idade]]*VLOOKUP(Tabela3[[#This Row],[Categoria]],Cadastros!A:B,2,0))),"")</f>
        <v/>
      </c>
    </row>
    <row r="259" spans="4:18" x14ac:dyDescent="0.25">
      <c r="D259" s="5"/>
      <c r="N259" s="6" t="str">
        <f>IFERROR(Tabela3[[#This Row],[Última revisão do bem]]+(VLOOKUP(Tabela3[[#This Row],[Categoria]],Cadastros!A:D,4,0)+365),"")</f>
        <v/>
      </c>
      <c r="O259" s="7" t="str">
        <f ca="1">IF(Tabela3[[#This Row],[Data da compra]]&gt;0,(TODAY()-Tabela3[[#This Row],[Data da compra]])/365,"")</f>
        <v/>
      </c>
      <c r="P259" s="7" t="str">
        <f>IFERROR(VLOOKUP(Tabela3[[#This Row],[Categoria]],Cadastros!A:C,3,0),"")</f>
        <v/>
      </c>
      <c r="Q259" s="9" t="str">
        <f ca="1">IFERROR(Tabela3[[#This Row],[Vida útil]]-Tabela3[[#This Row],[Idade]],"")</f>
        <v/>
      </c>
      <c r="R259" s="8" t="str">
        <f ca="1">IFERROR(Tabela3[[#This Row],[Valor]]-(Tabela3[[#This Row],[Valor]]*(Tabela3[[#This Row],[Idade]]*VLOOKUP(Tabela3[[#This Row],[Categoria]],Cadastros!A:B,2,0))),"")</f>
        <v/>
      </c>
    </row>
    <row r="260" spans="4:18" x14ac:dyDescent="0.25">
      <c r="D260" s="5"/>
      <c r="N260" s="6" t="str">
        <f>IFERROR(Tabela3[[#This Row],[Última revisão do bem]]+(VLOOKUP(Tabela3[[#This Row],[Categoria]],Cadastros!A:D,4,0)+365),"")</f>
        <v/>
      </c>
      <c r="O260" s="7" t="str">
        <f ca="1">IF(Tabela3[[#This Row],[Data da compra]]&gt;0,(TODAY()-Tabela3[[#This Row],[Data da compra]])/365,"")</f>
        <v/>
      </c>
      <c r="P260" s="7" t="str">
        <f>IFERROR(VLOOKUP(Tabela3[[#This Row],[Categoria]],Cadastros!A:C,3,0),"")</f>
        <v/>
      </c>
      <c r="Q260" s="9" t="str">
        <f ca="1">IFERROR(Tabela3[[#This Row],[Vida útil]]-Tabela3[[#This Row],[Idade]],"")</f>
        <v/>
      </c>
      <c r="R260" s="8" t="str">
        <f ca="1">IFERROR(Tabela3[[#This Row],[Valor]]-(Tabela3[[#This Row],[Valor]]*(Tabela3[[#This Row],[Idade]]*VLOOKUP(Tabela3[[#This Row],[Categoria]],Cadastros!A:B,2,0))),"")</f>
        <v/>
      </c>
    </row>
    <row r="261" spans="4:18" x14ac:dyDescent="0.25">
      <c r="D261" s="5"/>
      <c r="N261" s="6" t="str">
        <f>IFERROR(Tabela3[[#This Row],[Última revisão do bem]]+(VLOOKUP(Tabela3[[#This Row],[Categoria]],Cadastros!A:D,4,0)+365),"")</f>
        <v/>
      </c>
      <c r="O261" s="7" t="str">
        <f ca="1">IF(Tabela3[[#This Row],[Data da compra]]&gt;0,(TODAY()-Tabela3[[#This Row],[Data da compra]])/365,"")</f>
        <v/>
      </c>
      <c r="P261" s="7" t="str">
        <f>IFERROR(VLOOKUP(Tabela3[[#This Row],[Categoria]],Cadastros!A:C,3,0),"")</f>
        <v/>
      </c>
      <c r="Q261" s="9" t="str">
        <f ca="1">IFERROR(Tabela3[[#This Row],[Vida útil]]-Tabela3[[#This Row],[Idade]],"")</f>
        <v/>
      </c>
      <c r="R261" s="8" t="str">
        <f ca="1">IFERROR(Tabela3[[#This Row],[Valor]]-(Tabela3[[#This Row],[Valor]]*(Tabela3[[#This Row],[Idade]]*VLOOKUP(Tabela3[[#This Row],[Categoria]],Cadastros!A:B,2,0))),"")</f>
        <v/>
      </c>
    </row>
    <row r="262" spans="4:18" x14ac:dyDescent="0.25">
      <c r="D262" s="5"/>
      <c r="N262" s="6" t="str">
        <f>IFERROR(Tabela3[[#This Row],[Última revisão do bem]]+(VLOOKUP(Tabela3[[#This Row],[Categoria]],Cadastros!A:D,4,0)+365),"")</f>
        <v/>
      </c>
      <c r="O262" s="7" t="str">
        <f ca="1">IF(Tabela3[[#This Row],[Data da compra]]&gt;0,(TODAY()-Tabela3[[#This Row],[Data da compra]])/365,"")</f>
        <v/>
      </c>
      <c r="P262" s="7" t="str">
        <f>IFERROR(VLOOKUP(Tabela3[[#This Row],[Categoria]],Cadastros!A:C,3,0),"")</f>
        <v/>
      </c>
      <c r="Q262" s="9" t="str">
        <f ca="1">IFERROR(Tabela3[[#This Row],[Vida útil]]-Tabela3[[#This Row],[Idade]],"")</f>
        <v/>
      </c>
      <c r="R262" s="8" t="str">
        <f ca="1">IFERROR(Tabela3[[#This Row],[Valor]]-(Tabela3[[#This Row],[Valor]]*(Tabela3[[#This Row],[Idade]]*VLOOKUP(Tabela3[[#This Row],[Categoria]],Cadastros!A:B,2,0))),"")</f>
        <v/>
      </c>
    </row>
    <row r="263" spans="4:18" x14ac:dyDescent="0.25">
      <c r="D263" s="5"/>
      <c r="N263" s="6" t="str">
        <f>IFERROR(Tabela3[[#This Row],[Última revisão do bem]]+(VLOOKUP(Tabela3[[#This Row],[Categoria]],Cadastros!A:D,4,0)+365),"")</f>
        <v/>
      </c>
      <c r="O263" s="7" t="str">
        <f ca="1">IF(Tabela3[[#This Row],[Data da compra]]&gt;0,(TODAY()-Tabela3[[#This Row],[Data da compra]])/365,"")</f>
        <v/>
      </c>
      <c r="P263" s="7" t="str">
        <f>IFERROR(VLOOKUP(Tabela3[[#This Row],[Categoria]],Cadastros!A:C,3,0),"")</f>
        <v/>
      </c>
      <c r="Q263" s="9" t="str">
        <f ca="1">IFERROR(Tabela3[[#This Row],[Vida útil]]-Tabela3[[#This Row],[Idade]],"")</f>
        <v/>
      </c>
      <c r="R263" s="8" t="str">
        <f ca="1">IFERROR(Tabela3[[#This Row],[Valor]]-(Tabela3[[#This Row],[Valor]]*(Tabela3[[#This Row],[Idade]]*VLOOKUP(Tabela3[[#This Row],[Categoria]],Cadastros!A:B,2,0))),"")</f>
        <v/>
      </c>
    </row>
    <row r="264" spans="4:18" x14ac:dyDescent="0.25">
      <c r="D264" s="5"/>
      <c r="N264" s="6" t="str">
        <f>IFERROR(Tabela3[[#This Row],[Última revisão do bem]]+(VLOOKUP(Tabela3[[#This Row],[Categoria]],Cadastros!A:D,4,0)+365),"")</f>
        <v/>
      </c>
      <c r="O264" s="7" t="str">
        <f ca="1">IF(Tabela3[[#This Row],[Data da compra]]&gt;0,(TODAY()-Tabela3[[#This Row],[Data da compra]])/365,"")</f>
        <v/>
      </c>
      <c r="P264" s="7" t="str">
        <f>IFERROR(VLOOKUP(Tabela3[[#This Row],[Categoria]],Cadastros!A:C,3,0),"")</f>
        <v/>
      </c>
      <c r="Q264" s="9" t="str">
        <f ca="1">IFERROR(Tabela3[[#This Row],[Vida útil]]-Tabela3[[#This Row],[Idade]],"")</f>
        <v/>
      </c>
      <c r="R264" s="8" t="str">
        <f ca="1">IFERROR(Tabela3[[#This Row],[Valor]]-(Tabela3[[#This Row],[Valor]]*(Tabela3[[#This Row],[Idade]]*VLOOKUP(Tabela3[[#This Row],[Categoria]],Cadastros!A:B,2,0))),"")</f>
        <v/>
      </c>
    </row>
    <row r="265" spans="4:18" x14ac:dyDescent="0.25">
      <c r="D265" s="5"/>
      <c r="N265" s="6" t="str">
        <f>IFERROR(Tabela3[[#This Row],[Última revisão do bem]]+(VLOOKUP(Tabela3[[#This Row],[Categoria]],Cadastros!A:D,4,0)+365),"")</f>
        <v/>
      </c>
      <c r="O265" s="7" t="str">
        <f ca="1">IF(Tabela3[[#This Row],[Data da compra]]&gt;0,(TODAY()-Tabela3[[#This Row],[Data da compra]])/365,"")</f>
        <v/>
      </c>
      <c r="P265" s="7" t="str">
        <f>IFERROR(VLOOKUP(Tabela3[[#This Row],[Categoria]],Cadastros!A:C,3,0),"")</f>
        <v/>
      </c>
      <c r="Q265" s="9" t="str">
        <f ca="1">IFERROR(Tabela3[[#This Row],[Vida útil]]-Tabela3[[#This Row],[Idade]],"")</f>
        <v/>
      </c>
      <c r="R265" s="8" t="str">
        <f ca="1">IFERROR(Tabela3[[#This Row],[Valor]]-(Tabela3[[#This Row],[Valor]]*(Tabela3[[#This Row],[Idade]]*VLOOKUP(Tabela3[[#This Row],[Categoria]],Cadastros!A:B,2,0))),"")</f>
        <v/>
      </c>
    </row>
    <row r="266" spans="4:18" x14ac:dyDescent="0.25">
      <c r="D266" s="5"/>
      <c r="N266" s="6" t="str">
        <f>IFERROR(Tabela3[[#This Row],[Última revisão do bem]]+(VLOOKUP(Tabela3[[#This Row],[Categoria]],Cadastros!A:D,4,0)+365),"")</f>
        <v/>
      </c>
      <c r="O266" s="7" t="str">
        <f ca="1">IF(Tabela3[[#This Row],[Data da compra]]&gt;0,(TODAY()-Tabela3[[#This Row],[Data da compra]])/365,"")</f>
        <v/>
      </c>
      <c r="P266" s="7" t="str">
        <f>IFERROR(VLOOKUP(Tabela3[[#This Row],[Categoria]],Cadastros!A:C,3,0),"")</f>
        <v/>
      </c>
      <c r="Q266" s="9" t="str">
        <f ca="1">IFERROR(Tabela3[[#This Row],[Vida útil]]-Tabela3[[#This Row],[Idade]],"")</f>
        <v/>
      </c>
      <c r="R266" s="8" t="str">
        <f ca="1">IFERROR(Tabela3[[#This Row],[Valor]]-(Tabela3[[#This Row],[Valor]]*(Tabela3[[#This Row],[Idade]]*VLOOKUP(Tabela3[[#This Row],[Categoria]],Cadastros!A:B,2,0))),"")</f>
        <v/>
      </c>
    </row>
    <row r="267" spans="4:18" x14ac:dyDescent="0.25">
      <c r="D267" s="5"/>
      <c r="N267" s="6" t="str">
        <f>IFERROR(Tabela3[[#This Row],[Última revisão do bem]]+(VLOOKUP(Tabela3[[#This Row],[Categoria]],Cadastros!A:D,4,0)+365),"")</f>
        <v/>
      </c>
      <c r="O267" s="7" t="str">
        <f ca="1">IF(Tabela3[[#This Row],[Data da compra]]&gt;0,(TODAY()-Tabela3[[#This Row],[Data da compra]])/365,"")</f>
        <v/>
      </c>
      <c r="P267" s="7" t="str">
        <f>IFERROR(VLOOKUP(Tabela3[[#This Row],[Categoria]],Cadastros!A:C,3,0),"")</f>
        <v/>
      </c>
      <c r="Q267" s="9" t="str">
        <f ca="1">IFERROR(Tabela3[[#This Row],[Vida útil]]-Tabela3[[#This Row],[Idade]],"")</f>
        <v/>
      </c>
      <c r="R267" s="8" t="str">
        <f ca="1">IFERROR(Tabela3[[#This Row],[Valor]]-(Tabela3[[#This Row],[Valor]]*(Tabela3[[#This Row],[Idade]]*VLOOKUP(Tabela3[[#This Row],[Categoria]],Cadastros!A:B,2,0))),"")</f>
        <v/>
      </c>
    </row>
    <row r="268" spans="4:18" x14ac:dyDescent="0.25">
      <c r="D268" s="5"/>
      <c r="N268" s="6" t="str">
        <f>IFERROR(Tabela3[[#This Row],[Última revisão do bem]]+(VLOOKUP(Tabela3[[#This Row],[Categoria]],Cadastros!A:D,4,0)+365),"")</f>
        <v/>
      </c>
      <c r="O268" s="7" t="str">
        <f ca="1">IF(Tabela3[[#This Row],[Data da compra]]&gt;0,(TODAY()-Tabela3[[#This Row],[Data da compra]])/365,"")</f>
        <v/>
      </c>
      <c r="P268" s="7" t="str">
        <f>IFERROR(VLOOKUP(Tabela3[[#This Row],[Categoria]],Cadastros!A:C,3,0),"")</f>
        <v/>
      </c>
      <c r="Q268" s="9" t="str">
        <f ca="1">IFERROR(Tabela3[[#This Row],[Vida útil]]-Tabela3[[#This Row],[Idade]],"")</f>
        <v/>
      </c>
      <c r="R268" s="8" t="str">
        <f ca="1">IFERROR(Tabela3[[#This Row],[Valor]]-(Tabela3[[#This Row],[Valor]]*(Tabela3[[#This Row],[Idade]]*VLOOKUP(Tabela3[[#This Row],[Categoria]],Cadastros!A:B,2,0))),"")</f>
        <v/>
      </c>
    </row>
    <row r="269" spans="4:18" x14ac:dyDescent="0.25">
      <c r="D269" s="5"/>
      <c r="N269" s="6" t="str">
        <f>IFERROR(Tabela3[[#This Row],[Última revisão do bem]]+(VLOOKUP(Tabela3[[#This Row],[Categoria]],Cadastros!A:D,4,0)+365),"")</f>
        <v/>
      </c>
      <c r="O269" s="7" t="str">
        <f ca="1">IF(Tabela3[[#This Row],[Data da compra]]&gt;0,(TODAY()-Tabela3[[#This Row],[Data da compra]])/365,"")</f>
        <v/>
      </c>
      <c r="P269" s="7" t="str">
        <f>IFERROR(VLOOKUP(Tabela3[[#This Row],[Categoria]],Cadastros!A:C,3,0),"")</f>
        <v/>
      </c>
      <c r="Q269" s="9" t="str">
        <f ca="1">IFERROR(Tabela3[[#This Row],[Vida útil]]-Tabela3[[#This Row],[Idade]],"")</f>
        <v/>
      </c>
      <c r="R269" s="8" t="str">
        <f ca="1">IFERROR(Tabela3[[#This Row],[Valor]]-(Tabela3[[#This Row],[Valor]]*(Tabela3[[#This Row],[Idade]]*VLOOKUP(Tabela3[[#This Row],[Categoria]],Cadastros!A:B,2,0))),"")</f>
        <v/>
      </c>
    </row>
    <row r="270" spans="4:18" x14ac:dyDescent="0.25">
      <c r="D270" s="5"/>
      <c r="N270" s="6" t="str">
        <f>IFERROR(Tabela3[[#This Row],[Última revisão do bem]]+(VLOOKUP(Tabela3[[#This Row],[Categoria]],Cadastros!A:D,4,0)+365),"")</f>
        <v/>
      </c>
      <c r="O270" s="7" t="str">
        <f ca="1">IF(Tabela3[[#This Row],[Data da compra]]&gt;0,(TODAY()-Tabela3[[#This Row],[Data da compra]])/365,"")</f>
        <v/>
      </c>
      <c r="P270" s="7" t="str">
        <f>IFERROR(VLOOKUP(Tabela3[[#This Row],[Categoria]],Cadastros!A:C,3,0),"")</f>
        <v/>
      </c>
      <c r="Q270" s="9" t="str">
        <f ca="1">IFERROR(Tabela3[[#This Row],[Vida útil]]-Tabela3[[#This Row],[Idade]],"")</f>
        <v/>
      </c>
      <c r="R270" s="8" t="str">
        <f ca="1">IFERROR(Tabela3[[#This Row],[Valor]]-(Tabela3[[#This Row],[Valor]]*(Tabela3[[#This Row],[Idade]]*VLOOKUP(Tabela3[[#This Row],[Categoria]],Cadastros!A:B,2,0))),"")</f>
        <v/>
      </c>
    </row>
    <row r="271" spans="4:18" x14ac:dyDescent="0.25">
      <c r="D271" s="5"/>
      <c r="N271" s="6" t="str">
        <f>IFERROR(Tabela3[[#This Row],[Última revisão do bem]]+(VLOOKUP(Tabela3[[#This Row],[Categoria]],Cadastros!A:D,4,0)+365),"")</f>
        <v/>
      </c>
      <c r="O271" s="7" t="str">
        <f ca="1">IF(Tabela3[[#This Row],[Data da compra]]&gt;0,(TODAY()-Tabela3[[#This Row],[Data da compra]])/365,"")</f>
        <v/>
      </c>
      <c r="P271" s="7" t="str">
        <f>IFERROR(VLOOKUP(Tabela3[[#This Row],[Categoria]],Cadastros!A:C,3,0),"")</f>
        <v/>
      </c>
      <c r="Q271" s="9" t="str">
        <f ca="1">IFERROR(Tabela3[[#This Row],[Vida útil]]-Tabela3[[#This Row],[Idade]],"")</f>
        <v/>
      </c>
      <c r="R271" s="8" t="str">
        <f ca="1">IFERROR(Tabela3[[#This Row],[Valor]]-(Tabela3[[#This Row],[Valor]]*(Tabela3[[#This Row],[Idade]]*VLOOKUP(Tabela3[[#This Row],[Categoria]],Cadastros!A:B,2,0))),"")</f>
        <v/>
      </c>
    </row>
    <row r="272" spans="4:18" x14ac:dyDescent="0.25">
      <c r="D272" s="5"/>
      <c r="N272" s="6" t="str">
        <f>IFERROR(Tabela3[[#This Row],[Última revisão do bem]]+(VLOOKUP(Tabela3[[#This Row],[Categoria]],Cadastros!A:D,4,0)+365),"")</f>
        <v/>
      </c>
      <c r="O272" s="7" t="str">
        <f ca="1">IF(Tabela3[[#This Row],[Data da compra]]&gt;0,(TODAY()-Tabela3[[#This Row],[Data da compra]])/365,"")</f>
        <v/>
      </c>
      <c r="P272" s="7" t="str">
        <f>IFERROR(VLOOKUP(Tabela3[[#This Row],[Categoria]],Cadastros!A:C,3,0),"")</f>
        <v/>
      </c>
      <c r="Q272" s="9" t="str">
        <f ca="1">IFERROR(Tabela3[[#This Row],[Vida útil]]-Tabela3[[#This Row],[Idade]],"")</f>
        <v/>
      </c>
      <c r="R272" s="8" t="str">
        <f ca="1">IFERROR(Tabela3[[#This Row],[Valor]]-(Tabela3[[#This Row],[Valor]]*(Tabela3[[#This Row],[Idade]]*VLOOKUP(Tabela3[[#This Row],[Categoria]],Cadastros!A:B,2,0))),"")</f>
        <v/>
      </c>
    </row>
    <row r="273" spans="4:18" x14ac:dyDescent="0.25">
      <c r="D273" s="5"/>
      <c r="N273" s="6" t="str">
        <f>IFERROR(Tabela3[[#This Row],[Última revisão do bem]]+(VLOOKUP(Tabela3[[#This Row],[Categoria]],Cadastros!A:D,4,0)+365),"")</f>
        <v/>
      </c>
      <c r="O273" s="7" t="str">
        <f ca="1">IF(Tabela3[[#This Row],[Data da compra]]&gt;0,(TODAY()-Tabela3[[#This Row],[Data da compra]])/365,"")</f>
        <v/>
      </c>
      <c r="P273" s="7" t="str">
        <f>IFERROR(VLOOKUP(Tabela3[[#This Row],[Categoria]],Cadastros!A:C,3,0),"")</f>
        <v/>
      </c>
      <c r="Q273" s="9" t="str">
        <f ca="1">IFERROR(Tabela3[[#This Row],[Vida útil]]-Tabela3[[#This Row],[Idade]],"")</f>
        <v/>
      </c>
      <c r="R273" s="8" t="str">
        <f ca="1">IFERROR(Tabela3[[#This Row],[Valor]]-(Tabela3[[#This Row],[Valor]]*(Tabela3[[#This Row],[Idade]]*VLOOKUP(Tabela3[[#This Row],[Categoria]],Cadastros!A:B,2,0))),"")</f>
        <v/>
      </c>
    </row>
    <row r="274" spans="4:18" x14ac:dyDescent="0.25">
      <c r="D274" s="5"/>
      <c r="N274" s="6" t="str">
        <f>IFERROR(Tabela3[[#This Row],[Última revisão do bem]]+(VLOOKUP(Tabela3[[#This Row],[Categoria]],Cadastros!A:D,4,0)+365),"")</f>
        <v/>
      </c>
      <c r="O274" s="7" t="str">
        <f ca="1">IF(Tabela3[[#This Row],[Data da compra]]&gt;0,(TODAY()-Tabela3[[#This Row],[Data da compra]])/365,"")</f>
        <v/>
      </c>
      <c r="P274" s="7" t="str">
        <f>IFERROR(VLOOKUP(Tabela3[[#This Row],[Categoria]],Cadastros!A:C,3,0),"")</f>
        <v/>
      </c>
      <c r="Q274" s="9" t="str">
        <f ca="1">IFERROR(Tabela3[[#This Row],[Vida útil]]-Tabela3[[#This Row],[Idade]],"")</f>
        <v/>
      </c>
      <c r="R274" s="8" t="str">
        <f ca="1">IFERROR(Tabela3[[#This Row],[Valor]]-(Tabela3[[#This Row],[Valor]]*(Tabela3[[#This Row],[Idade]]*VLOOKUP(Tabela3[[#This Row],[Categoria]],Cadastros!A:B,2,0))),"")</f>
        <v/>
      </c>
    </row>
    <row r="275" spans="4:18" x14ac:dyDescent="0.25">
      <c r="D275" s="5"/>
      <c r="N275" s="6" t="str">
        <f>IFERROR(Tabela3[[#This Row],[Última revisão do bem]]+(VLOOKUP(Tabela3[[#This Row],[Categoria]],Cadastros!A:D,4,0)+365),"")</f>
        <v/>
      </c>
      <c r="O275" s="7" t="str">
        <f ca="1">IF(Tabela3[[#This Row],[Data da compra]]&gt;0,(TODAY()-Tabela3[[#This Row],[Data da compra]])/365,"")</f>
        <v/>
      </c>
      <c r="P275" s="7" t="str">
        <f>IFERROR(VLOOKUP(Tabela3[[#This Row],[Categoria]],Cadastros!A:C,3,0),"")</f>
        <v/>
      </c>
      <c r="Q275" s="9" t="str">
        <f ca="1">IFERROR(Tabela3[[#This Row],[Vida útil]]-Tabela3[[#This Row],[Idade]],"")</f>
        <v/>
      </c>
      <c r="R275" s="8" t="str">
        <f ca="1">IFERROR(Tabela3[[#This Row],[Valor]]-(Tabela3[[#This Row],[Valor]]*(Tabela3[[#This Row],[Idade]]*VLOOKUP(Tabela3[[#This Row],[Categoria]],Cadastros!A:B,2,0))),"")</f>
        <v/>
      </c>
    </row>
    <row r="276" spans="4:18" x14ac:dyDescent="0.25">
      <c r="D276" s="22"/>
      <c r="N276" s="6" t="str">
        <f>IFERROR(Tabela3[[#This Row],[Última revisão do bem]]+(VLOOKUP(Tabela3[[#This Row],[Categoria]],Cadastros!A:D,4,0)+365),"")</f>
        <v/>
      </c>
      <c r="O276" s="7" t="str">
        <f ca="1">IF(Tabela3[[#This Row],[Data da compra]]&gt;0,(TODAY()-Tabela3[[#This Row],[Data da compra]])/365,"")</f>
        <v/>
      </c>
      <c r="P276" s="7" t="str">
        <f>IFERROR(VLOOKUP(Tabela3[[#This Row],[Categoria]],Cadastros!A:C,3,0),"")</f>
        <v/>
      </c>
      <c r="Q276" s="9" t="str">
        <f ca="1">IFERROR(Tabela3[[#This Row],[Vida útil]]-Tabela3[[#This Row],[Idade]],"")</f>
        <v/>
      </c>
      <c r="R276" s="23" t="str">
        <f ca="1">IFERROR(Tabela3[[#This Row],[Valor]]-(Tabela3[[#This Row],[Valor]]*(Tabela3[[#This Row],[Idade]]*VLOOKUP(Tabela3[[#This Row],[Categoria]],Cadastros!A:B,2,0))),"")</f>
        <v/>
      </c>
    </row>
    <row r="277" spans="4:18" x14ac:dyDescent="0.25">
      <c r="D277" s="5"/>
      <c r="N277" s="6" t="str">
        <f>IFERROR(Tabela3[[#This Row],[Última revisão do bem]]+(VLOOKUP(Tabela3[[#This Row],[Categoria]],Cadastros!A:D,4,0)+365),"")</f>
        <v/>
      </c>
      <c r="O277" s="7" t="str">
        <f ca="1">IF(Tabela3[[#This Row],[Data da compra]]&gt;0,(TODAY()-Tabela3[[#This Row],[Data da compra]])/365,"")</f>
        <v/>
      </c>
      <c r="P277" s="7" t="str">
        <f>IFERROR(VLOOKUP(Tabela3[[#This Row],[Categoria]],Cadastros!A:C,3,0),"")</f>
        <v/>
      </c>
      <c r="Q277" s="9" t="str">
        <f ca="1">IFERROR(Tabela3[[#This Row],[Vida útil]]-Tabela3[[#This Row],[Idade]],"")</f>
        <v/>
      </c>
      <c r="R277" s="8" t="str">
        <f ca="1">IFERROR(Tabela3[[#This Row],[Valor]]-(Tabela3[[#This Row],[Valor]]*(Tabela3[[#This Row],[Idade]]*VLOOKUP(Tabela3[[#This Row],[Categoria]],Cadastros!A:B,2,0))),"")</f>
        <v/>
      </c>
    </row>
    <row r="278" spans="4:18" x14ac:dyDescent="0.25">
      <c r="D278" s="5"/>
      <c r="N278" s="6" t="str">
        <f>IFERROR(Tabela3[[#This Row],[Última revisão do bem]]+(VLOOKUP(Tabela3[[#This Row],[Categoria]],Cadastros!A:D,4,0)+365),"")</f>
        <v/>
      </c>
      <c r="O278" s="7" t="str">
        <f ca="1">IF(Tabela3[[#This Row],[Data da compra]]&gt;0,(TODAY()-Tabela3[[#This Row],[Data da compra]])/365,"")</f>
        <v/>
      </c>
      <c r="P278" s="7" t="str">
        <f>IFERROR(VLOOKUP(Tabela3[[#This Row],[Categoria]],Cadastros!A:C,3,0),"")</f>
        <v/>
      </c>
      <c r="Q278" s="9" t="str">
        <f ca="1">IFERROR(Tabela3[[#This Row],[Vida útil]]-Tabela3[[#This Row],[Idade]],"")</f>
        <v/>
      </c>
      <c r="R278" s="8" t="str">
        <f ca="1">IFERROR(Tabela3[[#This Row],[Valor]]-(Tabela3[[#This Row],[Valor]]*(Tabela3[[#This Row],[Idade]]*VLOOKUP(Tabela3[[#This Row],[Categoria]],Cadastros!A:B,2,0))),"")</f>
        <v/>
      </c>
    </row>
    <row r="279" spans="4:18" x14ac:dyDescent="0.25">
      <c r="D279" s="5"/>
      <c r="N279" s="6" t="str">
        <f>IFERROR(Tabela3[[#This Row],[Última revisão do bem]]+(VLOOKUP(Tabela3[[#This Row],[Categoria]],Cadastros!A:D,4,0)+365),"")</f>
        <v/>
      </c>
      <c r="O279" s="7" t="str">
        <f ca="1">IF(Tabela3[[#This Row],[Data da compra]]&gt;0,(TODAY()-Tabela3[[#This Row],[Data da compra]])/365,"")</f>
        <v/>
      </c>
      <c r="P279" s="7" t="str">
        <f>IFERROR(VLOOKUP(Tabela3[[#This Row],[Categoria]],Cadastros!A:C,3,0),"")</f>
        <v/>
      </c>
      <c r="Q279" s="9" t="str">
        <f ca="1">IFERROR(Tabela3[[#This Row],[Vida útil]]-Tabela3[[#This Row],[Idade]],"")</f>
        <v/>
      </c>
      <c r="R279" s="8" t="str">
        <f ca="1">IFERROR(Tabela3[[#This Row],[Valor]]-(Tabela3[[#This Row],[Valor]]*(Tabela3[[#This Row],[Idade]]*VLOOKUP(Tabela3[[#This Row],[Categoria]],Cadastros!A:B,2,0))),"")</f>
        <v/>
      </c>
    </row>
    <row r="280" spans="4:18" x14ac:dyDescent="0.25">
      <c r="D280" s="5"/>
      <c r="N280" s="6" t="str">
        <f>IFERROR(Tabela3[[#This Row],[Última revisão do bem]]+(VLOOKUP(Tabela3[[#This Row],[Categoria]],Cadastros!A:D,4,0)+365),"")</f>
        <v/>
      </c>
      <c r="O280" s="7" t="str">
        <f ca="1">IF(Tabela3[[#This Row],[Data da compra]]&gt;0,(TODAY()-Tabela3[[#This Row],[Data da compra]])/365,"")</f>
        <v/>
      </c>
      <c r="P280" s="7" t="str">
        <f>IFERROR(VLOOKUP(Tabela3[[#This Row],[Categoria]],Cadastros!A:C,3,0),"")</f>
        <v/>
      </c>
      <c r="Q280" s="9" t="str">
        <f ca="1">IFERROR(Tabela3[[#This Row],[Vida útil]]-Tabela3[[#This Row],[Idade]],"")</f>
        <v/>
      </c>
      <c r="R280" s="8" t="str">
        <f ca="1">IFERROR(Tabela3[[#This Row],[Valor]]-(Tabela3[[#This Row],[Valor]]*(Tabela3[[#This Row],[Idade]]*VLOOKUP(Tabela3[[#This Row],[Categoria]],Cadastros!A:B,2,0))),"")</f>
        <v/>
      </c>
    </row>
    <row r="281" spans="4:18" x14ac:dyDescent="0.25">
      <c r="D281" s="5"/>
      <c r="N281" s="6" t="str">
        <f>IFERROR(Tabela3[[#This Row],[Última revisão do bem]]+(VLOOKUP(Tabela3[[#This Row],[Categoria]],Cadastros!A:D,4,0)+365),"")</f>
        <v/>
      </c>
      <c r="O281" s="7" t="str">
        <f ca="1">IF(Tabela3[[#This Row],[Data da compra]]&gt;0,(TODAY()-Tabela3[[#This Row],[Data da compra]])/365,"")</f>
        <v/>
      </c>
      <c r="P281" s="7" t="str">
        <f>IFERROR(VLOOKUP(Tabela3[[#This Row],[Categoria]],Cadastros!A:C,3,0),"")</f>
        <v/>
      </c>
      <c r="Q281" s="9" t="str">
        <f ca="1">IFERROR(Tabela3[[#This Row],[Vida útil]]-Tabela3[[#This Row],[Idade]],"")</f>
        <v/>
      </c>
      <c r="R281" s="8" t="str">
        <f ca="1">IFERROR(Tabela3[[#This Row],[Valor]]-(Tabela3[[#This Row],[Valor]]*(Tabela3[[#This Row],[Idade]]*VLOOKUP(Tabela3[[#This Row],[Categoria]],Cadastros!A:B,2,0))),"")</f>
        <v/>
      </c>
    </row>
    <row r="282" spans="4:18" x14ac:dyDescent="0.25">
      <c r="D282" s="5"/>
      <c r="N282" s="6" t="str">
        <f>IFERROR(Tabela3[[#This Row],[Última revisão do bem]]+(VLOOKUP(Tabela3[[#This Row],[Categoria]],Cadastros!A:D,4,0)+365),"")</f>
        <v/>
      </c>
      <c r="O282" s="7" t="str">
        <f ca="1">IF(Tabela3[[#This Row],[Data da compra]]&gt;0,(TODAY()-Tabela3[[#This Row],[Data da compra]])/365,"")</f>
        <v/>
      </c>
      <c r="P282" s="7" t="str">
        <f>IFERROR(VLOOKUP(Tabela3[[#This Row],[Categoria]],Cadastros!A:C,3,0),"")</f>
        <v/>
      </c>
      <c r="Q282" s="9" t="str">
        <f ca="1">IFERROR(Tabela3[[#This Row],[Vida útil]]-Tabela3[[#This Row],[Idade]],"")</f>
        <v/>
      </c>
      <c r="R282" s="8" t="str">
        <f ca="1">IFERROR(Tabela3[[#This Row],[Valor]]-(Tabela3[[#This Row],[Valor]]*(Tabela3[[#This Row],[Idade]]*VLOOKUP(Tabela3[[#This Row],[Categoria]],Cadastros!A:B,2,0))),"")</f>
        <v/>
      </c>
    </row>
    <row r="283" spans="4:18" x14ac:dyDescent="0.25">
      <c r="D283" s="5"/>
      <c r="N283" s="6" t="str">
        <f>IFERROR(Tabela3[[#This Row],[Última revisão do bem]]+(VLOOKUP(Tabela3[[#This Row],[Categoria]],Cadastros!A:D,4,0)+365),"")</f>
        <v/>
      </c>
      <c r="O283" s="7" t="str">
        <f ca="1">IF(Tabela3[[#This Row],[Data da compra]]&gt;0,(TODAY()-Tabela3[[#This Row],[Data da compra]])/365,"")</f>
        <v/>
      </c>
      <c r="P283" s="7" t="str">
        <f>IFERROR(VLOOKUP(Tabela3[[#This Row],[Categoria]],Cadastros!A:C,3,0),"")</f>
        <v/>
      </c>
      <c r="Q283" s="9" t="str">
        <f ca="1">IFERROR(Tabela3[[#This Row],[Vida útil]]-Tabela3[[#This Row],[Idade]],"")</f>
        <v/>
      </c>
      <c r="R283" s="8" t="str">
        <f ca="1">IFERROR(Tabela3[[#This Row],[Valor]]-(Tabela3[[#This Row],[Valor]]*(Tabela3[[#This Row],[Idade]]*VLOOKUP(Tabela3[[#This Row],[Categoria]],Cadastros!A:B,2,0))),"")</f>
        <v/>
      </c>
    </row>
    <row r="284" spans="4:18" x14ac:dyDescent="0.25">
      <c r="D284" s="5"/>
      <c r="N284" s="6" t="str">
        <f>IFERROR(Tabela3[[#This Row],[Última revisão do bem]]+(VLOOKUP(Tabela3[[#This Row],[Categoria]],Cadastros!A:D,4,0)+365),"")</f>
        <v/>
      </c>
      <c r="O284" s="7" t="str">
        <f ca="1">IF(Tabela3[[#This Row],[Data da compra]]&gt;0,(TODAY()-Tabela3[[#This Row],[Data da compra]])/365,"")</f>
        <v/>
      </c>
      <c r="P284" s="7" t="str">
        <f>IFERROR(VLOOKUP(Tabela3[[#This Row],[Categoria]],Cadastros!A:C,3,0),"")</f>
        <v/>
      </c>
      <c r="Q284" s="9" t="str">
        <f ca="1">IFERROR(Tabela3[[#This Row],[Vida útil]]-Tabela3[[#This Row],[Idade]],"")</f>
        <v/>
      </c>
      <c r="R284" s="8" t="str">
        <f ca="1">IFERROR(Tabela3[[#This Row],[Valor]]-(Tabela3[[#This Row],[Valor]]*(Tabela3[[#This Row],[Idade]]*VLOOKUP(Tabela3[[#This Row],[Categoria]],Cadastros!A:B,2,0))),"")</f>
        <v/>
      </c>
    </row>
    <row r="285" spans="4:18" x14ac:dyDescent="0.25">
      <c r="D285" s="5"/>
      <c r="N285" s="6" t="str">
        <f>IFERROR(Tabela3[[#This Row],[Última revisão do bem]]+(VLOOKUP(Tabela3[[#This Row],[Categoria]],Cadastros!A:D,4,0)+365),"")</f>
        <v/>
      </c>
      <c r="O285" s="7" t="str">
        <f ca="1">IF(Tabela3[[#This Row],[Data da compra]]&gt;0,(TODAY()-Tabela3[[#This Row],[Data da compra]])/365,"")</f>
        <v/>
      </c>
      <c r="P285" s="7" t="str">
        <f>IFERROR(VLOOKUP(Tabela3[[#This Row],[Categoria]],Cadastros!A:C,3,0),"")</f>
        <v/>
      </c>
      <c r="Q285" s="9" t="str">
        <f ca="1">IFERROR(Tabela3[[#This Row],[Vida útil]]-Tabela3[[#This Row],[Idade]],"")</f>
        <v/>
      </c>
      <c r="R285" s="8" t="str">
        <f ca="1">IFERROR(Tabela3[[#This Row],[Valor]]-(Tabela3[[#This Row],[Valor]]*(Tabela3[[#This Row],[Idade]]*VLOOKUP(Tabela3[[#This Row],[Categoria]],Cadastros!A:B,2,0))),"")</f>
        <v/>
      </c>
    </row>
    <row r="286" spans="4:18" x14ac:dyDescent="0.25">
      <c r="D286" s="5"/>
      <c r="N286" s="6" t="str">
        <f>IFERROR(Tabela3[[#This Row],[Última revisão do bem]]+(VLOOKUP(Tabela3[[#This Row],[Categoria]],Cadastros!A:D,4,0)+365),"")</f>
        <v/>
      </c>
      <c r="O286" s="7" t="str">
        <f ca="1">IF(Tabela3[[#This Row],[Data da compra]]&gt;0,(TODAY()-Tabela3[[#This Row],[Data da compra]])/365,"")</f>
        <v/>
      </c>
      <c r="P286" s="7" t="str">
        <f>IFERROR(VLOOKUP(Tabela3[[#This Row],[Categoria]],Cadastros!A:C,3,0),"")</f>
        <v/>
      </c>
      <c r="Q286" s="9" t="str">
        <f ca="1">IFERROR(Tabela3[[#This Row],[Vida útil]]-Tabela3[[#This Row],[Idade]],"")</f>
        <v/>
      </c>
      <c r="R286" s="8" t="str">
        <f ca="1">IFERROR(Tabela3[[#This Row],[Valor]]-(Tabela3[[#This Row],[Valor]]*(Tabela3[[#This Row],[Idade]]*VLOOKUP(Tabela3[[#This Row],[Categoria]],Cadastros!A:B,2,0))),"")</f>
        <v/>
      </c>
    </row>
    <row r="287" spans="4:18" x14ac:dyDescent="0.25">
      <c r="D287" s="5"/>
      <c r="N287" s="6" t="str">
        <f>IFERROR(Tabela3[[#This Row],[Última revisão do bem]]+(VLOOKUP(Tabela3[[#This Row],[Categoria]],Cadastros!A:D,4,0)+365),"")</f>
        <v/>
      </c>
      <c r="O287" s="7" t="str">
        <f ca="1">IF(Tabela3[[#This Row],[Data da compra]]&gt;0,(TODAY()-Tabela3[[#This Row],[Data da compra]])/365,"")</f>
        <v/>
      </c>
      <c r="P287" s="7" t="str">
        <f>IFERROR(VLOOKUP(Tabela3[[#This Row],[Categoria]],Cadastros!A:C,3,0),"")</f>
        <v/>
      </c>
      <c r="Q287" s="9" t="str">
        <f ca="1">IFERROR(Tabela3[[#This Row],[Vida útil]]-Tabela3[[#This Row],[Idade]],"")</f>
        <v/>
      </c>
      <c r="R287" s="8" t="str">
        <f ca="1">IFERROR(Tabela3[[#This Row],[Valor]]-(Tabela3[[#This Row],[Valor]]*(Tabela3[[#This Row],[Idade]]*VLOOKUP(Tabela3[[#This Row],[Categoria]],Cadastros!A:B,2,0))),"")</f>
        <v/>
      </c>
    </row>
    <row r="288" spans="4:18" x14ac:dyDescent="0.25">
      <c r="D288" s="5"/>
      <c r="N288" s="6" t="str">
        <f>IFERROR(Tabela3[[#This Row],[Última revisão do bem]]+(VLOOKUP(Tabela3[[#This Row],[Categoria]],Cadastros!A:D,4,0)+365),"")</f>
        <v/>
      </c>
      <c r="O288" s="7" t="str">
        <f ca="1">IF(Tabela3[[#This Row],[Data da compra]]&gt;0,(TODAY()-Tabela3[[#This Row],[Data da compra]])/365,"")</f>
        <v/>
      </c>
      <c r="P288" s="7" t="str">
        <f>IFERROR(VLOOKUP(Tabela3[[#This Row],[Categoria]],Cadastros!A:C,3,0),"")</f>
        <v/>
      </c>
      <c r="Q288" s="9" t="str">
        <f ca="1">IFERROR(Tabela3[[#This Row],[Vida útil]]-Tabela3[[#This Row],[Idade]],"")</f>
        <v/>
      </c>
      <c r="R288" s="8" t="str">
        <f ca="1">IFERROR(Tabela3[[#This Row],[Valor]]-(Tabela3[[#This Row],[Valor]]*(Tabela3[[#This Row],[Idade]]*VLOOKUP(Tabela3[[#This Row],[Categoria]],Cadastros!A:B,2,0))),"")</f>
        <v/>
      </c>
    </row>
    <row r="289" spans="4:18" x14ac:dyDescent="0.25">
      <c r="D289" s="5"/>
      <c r="N289" s="6" t="str">
        <f>IFERROR(Tabela3[[#This Row],[Última revisão do bem]]+(VLOOKUP(Tabela3[[#This Row],[Categoria]],Cadastros!A:D,4,0)+365),"")</f>
        <v/>
      </c>
      <c r="O289" s="7" t="str">
        <f ca="1">IF(Tabela3[[#This Row],[Data da compra]]&gt;0,(TODAY()-Tabela3[[#This Row],[Data da compra]])/365,"")</f>
        <v/>
      </c>
      <c r="P289" s="7" t="str">
        <f>IFERROR(VLOOKUP(Tabela3[[#This Row],[Categoria]],Cadastros!A:C,3,0),"")</f>
        <v/>
      </c>
      <c r="Q289" s="9" t="str">
        <f ca="1">IFERROR(Tabela3[[#This Row],[Vida útil]]-Tabela3[[#This Row],[Idade]],"")</f>
        <v/>
      </c>
      <c r="R289" s="8" t="str">
        <f ca="1">IFERROR(Tabela3[[#This Row],[Valor]]-(Tabela3[[#This Row],[Valor]]*(Tabela3[[#This Row],[Idade]]*VLOOKUP(Tabela3[[#This Row],[Categoria]],Cadastros!A:B,2,0))),"")</f>
        <v/>
      </c>
    </row>
    <row r="290" spans="4:18" x14ac:dyDescent="0.25">
      <c r="D290" s="5"/>
      <c r="N290" s="6" t="str">
        <f>IFERROR(Tabela3[[#This Row],[Última revisão do bem]]+(VLOOKUP(Tabela3[[#This Row],[Categoria]],Cadastros!A:D,4,0)+365),"")</f>
        <v/>
      </c>
      <c r="O290" s="7" t="str">
        <f ca="1">IF(Tabela3[[#This Row],[Data da compra]]&gt;0,(TODAY()-Tabela3[[#This Row],[Data da compra]])/365,"")</f>
        <v/>
      </c>
      <c r="P290" s="7" t="str">
        <f>IFERROR(VLOOKUP(Tabela3[[#This Row],[Categoria]],Cadastros!A:C,3,0),"")</f>
        <v/>
      </c>
      <c r="Q290" s="9" t="str">
        <f ca="1">IFERROR(Tabela3[[#This Row],[Vida útil]]-Tabela3[[#This Row],[Idade]],"")</f>
        <v/>
      </c>
      <c r="R290" s="8" t="str">
        <f ca="1">IFERROR(Tabela3[[#This Row],[Valor]]-(Tabela3[[#This Row],[Valor]]*(Tabela3[[#This Row],[Idade]]*VLOOKUP(Tabela3[[#This Row],[Categoria]],Cadastros!A:B,2,0))),"")</f>
        <v/>
      </c>
    </row>
    <row r="291" spans="4:18" x14ac:dyDescent="0.25">
      <c r="D291" s="5"/>
      <c r="N291" s="6" t="str">
        <f>IFERROR(Tabela3[[#This Row],[Última revisão do bem]]+(VLOOKUP(Tabela3[[#This Row],[Categoria]],Cadastros!A:D,4,0)+365),"")</f>
        <v/>
      </c>
      <c r="O291" s="7" t="str">
        <f ca="1">IF(Tabela3[[#This Row],[Data da compra]]&gt;0,(TODAY()-Tabela3[[#This Row],[Data da compra]])/365,"")</f>
        <v/>
      </c>
      <c r="P291" s="7" t="str">
        <f>IFERROR(VLOOKUP(Tabela3[[#This Row],[Categoria]],Cadastros!A:C,3,0),"")</f>
        <v/>
      </c>
      <c r="Q291" s="9" t="str">
        <f ca="1">IFERROR(Tabela3[[#This Row],[Vida útil]]-Tabela3[[#This Row],[Idade]],"")</f>
        <v/>
      </c>
      <c r="R291" s="8" t="str">
        <f ca="1">IFERROR(Tabela3[[#This Row],[Valor]]-(Tabela3[[#This Row],[Valor]]*(Tabela3[[#This Row],[Idade]]*VLOOKUP(Tabela3[[#This Row],[Categoria]],Cadastros!A:B,2,0))),"")</f>
        <v/>
      </c>
    </row>
    <row r="292" spans="4:18" x14ac:dyDescent="0.25">
      <c r="D292" s="5"/>
      <c r="N292" s="6" t="str">
        <f>IFERROR(Tabela3[[#This Row],[Última revisão do bem]]+(VLOOKUP(Tabela3[[#This Row],[Categoria]],Cadastros!A:D,4,0)+365),"")</f>
        <v/>
      </c>
      <c r="O292" s="7" t="str">
        <f ca="1">IF(Tabela3[[#This Row],[Data da compra]]&gt;0,(TODAY()-Tabela3[[#This Row],[Data da compra]])/365,"")</f>
        <v/>
      </c>
      <c r="P292" s="7" t="str">
        <f>IFERROR(VLOOKUP(Tabela3[[#This Row],[Categoria]],Cadastros!A:C,3,0),"")</f>
        <v/>
      </c>
      <c r="Q292" s="9" t="str">
        <f ca="1">IFERROR(Tabela3[[#This Row],[Vida útil]]-Tabela3[[#This Row],[Idade]],"")</f>
        <v/>
      </c>
      <c r="R292" s="8" t="str">
        <f ca="1">IFERROR(Tabela3[[#This Row],[Valor]]-(Tabela3[[#This Row],[Valor]]*(Tabela3[[#This Row],[Idade]]*VLOOKUP(Tabela3[[#This Row],[Categoria]],Cadastros!A:B,2,0))),"")</f>
        <v/>
      </c>
    </row>
    <row r="293" spans="4:18" x14ac:dyDescent="0.25">
      <c r="D293" s="5"/>
      <c r="N293" s="6" t="str">
        <f>IFERROR(Tabela3[[#This Row],[Última revisão do bem]]+(VLOOKUP(Tabela3[[#This Row],[Categoria]],Cadastros!A:D,4,0)+365),"")</f>
        <v/>
      </c>
      <c r="O293" s="7" t="str">
        <f ca="1">IF(Tabela3[[#This Row],[Data da compra]]&gt;0,(TODAY()-Tabela3[[#This Row],[Data da compra]])/365,"")</f>
        <v/>
      </c>
      <c r="P293" s="7" t="str">
        <f>IFERROR(VLOOKUP(Tabela3[[#This Row],[Categoria]],Cadastros!A:C,3,0),"")</f>
        <v/>
      </c>
      <c r="Q293" s="9" t="str">
        <f ca="1">IFERROR(Tabela3[[#This Row],[Vida útil]]-Tabela3[[#This Row],[Idade]],"")</f>
        <v/>
      </c>
      <c r="R293" s="8" t="str">
        <f ca="1">IFERROR(Tabela3[[#This Row],[Valor]]-(Tabela3[[#This Row],[Valor]]*(Tabela3[[#This Row],[Idade]]*VLOOKUP(Tabela3[[#This Row],[Categoria]],Cadastros!A:B,2,0))),"")</f>
        <v/>
      </c>
    </row>
    <row r="294" spans="4:18" x14ac:dyDescent="0.25">
      <c r="D294" s="5"/>
      <c r="N294" s="6" t="str">
        <f>IFERROR(Tabela3[[#This Row],[Última revisão do bem]]+(VLOOKUP(Tabela3[[#This Row],[Categoria]],Cadastros!A:D,4,0)+365),"")</f>
        <v/>
      </c>
      <c r="O294" s="7" t="str">
        <f ca="1">IF(Tabela3[[#This Row],[Data da compra]]&gt;0,(TODAY()-Tabela3[[#This Row],[Data da compra]])/365,"")</f>
        <v/>
      </c>
      <c r="P294" s="7" t="str">
        <f>IFERROR(VLOOKUP(Tabela3[[#This Row],[Categoria]],Cadastros!A:C,3,0),"")</f>
        <v/>
      </c>
      <c r="Q294" s="9" t="str">
        <f ca="1">IFERROR(Tabela3[[#This Row],[Vida útil]]-Tabela3[[#This Row],[Idade]],"")</f>
        <v/>
      </c>
      <c r="R294" s="8" t="str">
        <f ca="1">IFERROR(Tabela3[[#This Row],[Valor]]-(Tabela3[[#This Row],[Valor]]*(Tabela3[[#This Row],[Idade]]*VLOOKUP(Tabela3[[#This Row],[Categoria]],Cadastros!A:B,2,0))),"")</f>
        <v/>
      </c>
    </row>
    <row r="295" spans="4:18" x14ac:dyDescent="0.25">
      <c r="D295" s="5"/>
      <c r="N295" s="6" t="str">
        <f>IFERROR(Tabela3[[#This Row],[Última revisão do bem]]+(VLOOKUP(Tabela3[[#This Row],[Categoria]],Cadastros!A:D,4,0)+365),"")</f>
        <v/>
      </c>
      <c r="O295" s="7" t="str">
        <f ca="1">IF(Tabela3[[#This Row],[Data da compra]]&gt;0,(TODAY()-Tabela3[[#This Row],[Data da compra]])/365,"")</f>
        <v/>
      </c>
      <c r="P295" s="7" t="str">
        <f>IFERROR(VLOOKUP(Tabela3[[#This Row],[Categoria]],Cadastros!A:C,3,0),"")</f>
        <v/>
      </c>
      <c r="Q295" s="9" t="str">
        <f ca="1">IFERROR(Tabela3[[#This Row],[Vida útil]]-Tabela3[[#This Row],[Idade]],"")</f>
        <v/>
      </c>
      <c r="R295" s="8" t="str">
        <f ca="1">IFERROR(Tabela3[[#This Row],[Valor]]-(Tabela3[[#This Row],[Valor]]*(Tabela3[[#This Row],[Idade]]*VLOOKUP(Tabela3[[#This Row],[Categoria]],Cadastros!A:B,2,0))),"")</f>
        <v/>
      </c>
    </row>
    <row r="296" spans="4:18" x14ac:dyDescent="0.25">
      <c r="D296" s="5"/>
      <c r="N296" s="6" t="str">
        <f>IFERROR(Tabela3[[#This Row],[Última revisão do bem]]+(VLOOKUP(Tabela3[[#This Row],[Categoria]],Cadastros!A:D,4,0)+365),"")</f>
        <v/>
      </c>
      <c r="O296" s="7" t="str">
        <f ca="1">IF(Tabela3[[#This Row],[Data da compra]]&gt;0,(TODAY()-Tabela3[[#This Row],[Data da compra]])/365,"")</f>
        <v/>
      </c>
      <c r="P296" s="7" t="str">
        <f>IFERROR(VLOOKUP(Tabela3[[#This Row],[Categoria]],Cadastros!A:C,3,0),"")</f>
        <v/>
      </c>
      <c r="Q296" s="9" t="str">
        <f ca="1">IFERROR(Tabela3[[#This Row],[Vida útil]]-Tabela3[[#This Row],[Idade]],"")</f>
        <v/>
      </c>
      <c r="R296" s="8" t="str">
        <f ca="1">IFERROR(Tabela3[[#This Row],[Valor]]-(Tabela3[[#This Row],[Valor]]*(Tabela3[[#This Row],[Idade]]*VLOOKUP(Tabela3[[#This Row],[Categoria]],Cadastros!A:B,2,0))),"")</f>
        <v/>
      </c>
    </row>
    <row r="297" spans="4:18" x14ac:dyDescent="0.25">
      <c r="D297" s="5"/>
      <c r="N297" s="6" t="str">
        <f>IFERROR(Tabela3[[#This Row],[Última revisão do bem]]+(VLOOKUP(Tabela3[[#This Row],[Categoria]],Cadastros!A:D,4,0)+365),"")</f>
        <v/>
      </c>
      <c r="O297" s="7" t="str">
        <f ca="1">IF(Tabela3[[#This Row],[Data da compra]]&gt;0,(TODAY()-Tabela3[[#This Row],[Data da compra]])/365,"")</f>
        <v/>
      </c>
      <c r="P297" s="7" t="str">
        <f>IFERROR(VLOOKUP(Tabela3[[#This Row],[Categoria]],Cadastros!A:C,3,0),"")</f>
        <v/>
      </c>
      <c r="Q297" s="9" t="str">
        <f ca="1">IFERROR(Tabela3[[#This Row],[Vida útil]]-Tabela3[[#This Row],[Idade]],"")</f>
        <v/>
      </c>
      <c r="R297" s="8" t="str">
        <f ca="1">IFERROR(Tabela3[[#This Row],[Valor]]-(Tabela3[[#This Row],[Valor]]*(Tabela3[[#This Row],[Idade]]*VLOOKUP(Tabela3[[#This Row],[Categoria]],Cadastros!A:B,2,0))),"")</f>
        <v/>
      </c>
    </row>
    <row r="298" spans="4:18" x14ac:dyDescent="0.25">
      <c r="D298" s="5"/>
      <c r="N298" s="6" t="str">
        <f>IFERROR(Tabela3[[#This Row],[Última revisão do bem]]+(VLOOKUP(Tabela3[[#This Row],[Categoria]],Cadastros!A:D,4,0)+365),"")</f>
        <v/>
      </c>
      <c r="O298" s="7" t="str">
        <f ca="1">IF(Tabela3[[#This Row],[Data da compra]]&gt;0,(TODAY()-Tabela3[[#This Row],[Data da compra]])/365,"")</f>
        <v/>
      </c>
      <c r="P298" s="7" t="str">
        <f>IFERROR(VLOOKUP(Tabela3[[#This Row],[Categoria]],Cadastros!A:C,3,0),"")</f>
        <v/>
      </c>
      <c r="Q298" s="9" t="str">
        <f ca="1">IFERROR(Tabela3[[#This Row],[Vida útil]]-Tabela3[[#This Row],[Idade]],"")</f>
        <v/>
      </c>
      <c r="R298" s="8" t="str">
        <f ca="1">IFERROR(Tabela3[[#This Row],[Valor]]-(Tabela3[[#This Row],[Valor]]*(Tabela3[[#This Row],[Idade]]*VLOOKUP(Tabela3[[#This Row],[Categoria]],Cadastros!A:B,2,0))),"")</f>
        <v/>
      </c>
    </row>
    <row r="299" spans="4:18" x14ac:dyDescent="0.25">
      <c r="D299" s="5"/>
      <c r="N299" s="6" t="str">
        <f>IFERROR(Tabela3[[#This Row],[Última revisão do bem]]+(VLOOKUP(Tabela3[[#This Row],[Categoria]],Cadastros!A:D,4,0)+365),"")</f>
        <v/>
      </c>
      <c r="O299" s="7" t="str">
        <f ca="1">IF(Tabela3[[#This Row],[Data da compra]]&gt;0,(TODAY()-Tabela3[[#This Row],[Data da compra]])/365,"")</f>
        <v/>
      </c>
      <c r="P299" s="7" t="str">
        <f>IFERROR(VLOOKUP(Tabela3[[#This Row],[Categoria]],Cadastros!A:C,3,0),"")</f>
        <v/>
      </c>
      <c r="Q299" s="9" t="str">
        <f ca="1">IFERROR(Tabela3[[#This Row],[Vida útil]]-Tabela3[[#This Row],[Idade]],"")</f>
        <v/>
      </c>
      <c r="R299" s="8" t="str">
        <f ca="1">IFERROR(Tabela3[[#This Row],[Valor]]-(Tabela3[[#This Row],[Valor]]*(Tabela3[[#This Row],[Idade]]*VLOOKUP(Tabela3[[#This Row],[Categoria]],Cadastros!A:B,2,0))),"")</f>
        <v/>
      </c>
    </row>
    <row r="300" spans="4:18" x14ac:dyDescent="0.25">
      <c r="D300" s="5"/>
      <c r="N300" s="6" t="str">
        <f>IFERROR(Tabela3[[#This Row],[Última revisão do bem]]+(VLOOKUP(Tabela3[[#This Row],[Categoria]],Cadastros!A:D,4,0)+365),"")</f>
        <v/>
      </c>
      <c r="O300" s="7" t="str">
        <f ca="1">IF(Tabela3[[#This Row],[Data da compra]]&gt;0,(TODAY()-Tabela3[[#This Row],[Data da compra]])/365,"")</f>
        <v/>
      </c>
      <c r="P300" s="7" t="str">
        <f>IFERROR(VLOOKUP(Tabela3[[#This Row],[Categoria]],Cadastros!A:C,3,0),"")</f>
        <v/>
      </c>
      <c r="Q300" s="9" t="str">
        <f ca="1">IFERROR(Tabela3[[#This Row],[Vida útil]]-Tabela3[[#This Row],[Idade]],"")</f>
        <v/>
      </c>
      <c r="R300" s="8" t="str">
        <f ca="1">IFERROR(Tabela3[[#This Row],[Valor]]-(Tabela3[[#This Row],[Valor]]*(Tabela3[[#This Row],[Idade]]*VLOOKUP(Tabela3[[#This Row],[Categoria]],Cadastros!A:B,2,0))),"")</f>
        <v/>
      </c>
    </row>
    <row r="301" spans="4:18" x14ac:dyDescent="0.25">
      <c r="D301" s="5"/>
      <c r="N301" s="6" t="str">
        <f>IFERROR(Tabela3[[#This Row],[Última revisão do bem]]+(VLOOKUP(Tabela3[[#This Row],[Categoria]],Cadastros!A:D,4,0)+365),"")</f>
        <v/>
      </c>
      <c r="O301" s="7" t="str">
        <f ca="1">IF(Tabela3[[#This Row],[Data da compra]]&gt;0,(TODAY()-Tabela3[[#This Row],[Data da compra]])/365,"")</f>
        <v/>
      </c>
      <c r="P301" s="7" t="str">
        <f>IFERROR(VLOOKUP(Tabela3[[#This Row],[Categoria]],Cadastros!A:C,3,0),"")</f>
        <v/>
      </c>
      <c r="Q301" s="9" t="str">
        <f ca="1">IFERROR(Tabela3[[#This Row],[Vida útil]]-Tabela3[[#This Row],[Idade]],"")</f>
        <v/>
      </c>
      <c r="R301" s="8" t="str">
        <f ca="1">IFERROR(Tabela3[[#This Row],[Valor]]-(Tabela3[[#This Row],[Valor]]*(Tabela3[[#This Row],[Idade]]*VLOOKUP(Tabela3[[#This Row],[Categoria]],Cadastros!A:B,2,0))),"")</f>
        <v/>
      </c>
    </row>
    <row r="302" spans="4:18" x14ac:dyDescent="0.25">
      <c r="D302" s="5"/>
      <c r="N302" s="6" t="str">
        <f>IFERROR(Tabela3[[#This Row],[Última revisão do bem]]+(VLOOKUP(Tabela3[[#This Row],[Categoria]],Cadastros!A:D,4,0)+365),"")</f>
        <v/>
      </c>
      <c r="O302" s="7" t="str">
        <f ca="1">IF(Tabela3[[#This Row],[Data da compra]]&gt;0,(TODAY()-Tabela3[[#This Row],[Data da compra]])/365,"")</f>
        <v/>
      </c>
      <c r="P302" s="7" t="str">
        <f>IFERROR(VLOOKUP(Tabela3[[#This Row],[Categoria]],Cadastros!A:C,3,0),"")</f>
        <v/>
      </c>
      <c r="Q302" s="9" t="str">
        <f ca="1">IFERROR(Tabela3[[#This Row],[Vida útil]]-Tabela3[[#This Row],[Idade]],"")</f>
        <v/>
      </c>
      <c r="R302" s="8" t="str">
        <f ca="1">IFERROR(Tabela3[[#This Row],[Valor]]-(Tabela3[[#This Row],[Valor]]*(Tabela3[[#This Row],[Idade]]*VLOOKUP(Tabela3[[#This Row],[Categoria]],Cadastros!A:B,2,0))),"")</f>
        <v/>
      </c>
    </row>
    <row r="303" spans="4:18" x14ac:dyDescent="0.25">
      <c r="D303" s="5"/>
      <c r="N303" s="6" t="str">
        <f>IFERROR(Tabela3[[#This Row],[Última revisão do bem]]+(VLOOKUP(Tabela3[[#This Row],[Categoria]],Cadastros!A:D,4,0)+365),"")</f>
        <v/>
      </c>
      <c r="O303" s="7" t="str">
        <f ca="1">IF(Tabela3[[#This Row],[Data da compra]]&gt;0,(TODAY()-Tabela3[[#This Row],[Data da compra]])/365,"")</f>
        <v/>
      </c>
      <c r="P303" s="7" t="str">
        <f>IFERROR(VLOOKUP(Tabela3[[#This Row],[Categoria]],Cadastros!A:C,3,0),"")</f>
        <v/>
      </c>
      <c r="Q303" s="9" t="str">
        <f ca="1">IFERROR(Tabela3[[#This Row],[Vida útil]]-Tabela3[[#This Row],[Idade]],"")</f>
        <v/>
      </c>
      <c r="R303" s="8" t="str">
        <f ca="1">IFERROR(Tabela3[[#This Row],[Valor]]-(Tabela3[[#This Row],[Valor]]*(Tabela3[[#This Row],[Idade]]*VLOOKUP(Tabela3[[#This Row],[Categoria]],Cadastros!A:B,2,0))),"")</f>
        <v/>
      </c>
    </row>
    <row r="304" spans="4:18" x14ac:dyDescent="0.25">
      <c r="D304" s="5"/>
      <c r="N304" s="6" t="str">
        <f>IFERROR(Tabela3[[#This Row],[Última revisão do bem]]+(VLOOKUP(Tabela3[[#This Row],[Categoria]],Cadastros!A:D,4,0)+365),"")</f>
        <v/>
      </c>
      <c r="O304" s="7" t="str">
        <f ca="1">IF(Tabela3[[#This Row],[Data da compra]]&gt;0,(TODAY()-Tabela3[[#This Row],[Data da compra]])/365,"")</f>
        <v/>
      </c>
      <c r="P304" s="7" t="str">
        <f>IFERROR(VLOOKUP(Tabela3[[#This Row],[Categoria]],Cadastros!A:C,3,0),"")</f>
        <v/>
      </c>
      <c r="Q304" s="9" t="str">
        <f ca="1">IFERROR(Tabela3[[#This Row],[Vida útil]]-Tabela3[[#This Row],[Idade]],"")</f>
        <v/>
      </c>
      <c r="R304" s="8" t="str">
        <f ca="1">IFERROR(Tabela3[[#This Row],[Valor]]-(Tabela3[[#This Row],[Valor]]*(Tabela3[[#This Row],[Idade]]*VLOOKUP(Tabela3[[#This Row],[Categoria]],Cadastros!A:B,2,0))),"")</f>
        <v/>
      </c>
    </row>
    <row r="305" spans="4:18" x14ac:dyDescent="0.25">
      <c r="D305" s="5"/>
      <c r="N305" s="6" t="str">
        <f>IFERROR(Tabela3[[#This Row],[Última revisão do bem]]+(VLOOKUP(Tabela3[[#This Row],[Categoria]],Cadastros!A:D,4,0)+365),"")</f>
        <v/>
      </c>
      <c r="O305" s="7" t="str">
        <f ca="1">IF(Tabela3[[#This Row],[Data da compra]]&gt;0,(TODAY()-Tabela3[[#This Row],[Data da compra]])/365,"")</f>
        <v/>
      </c>
      <c r="P305" s="7" t="str">
        <f>IFERROR(VLOOKUP(Tabela3[[#This Row],[Categoria]],Cadastros!A:C,3,0),"")</f>
        <v/>
      </c>
      <c r="Q305" s="9" t="str">
        <f ca="1">IFERROR(Tabela3[[#This Row],[Vida útil]]-Tabela3[[#This Row],[Idade]],"")</f>
        <v/>
      </c>
      <c r="R305" s="8" t="str">
        <f ca="1">IFERROR(Tabela3[[#This Row],[Valor]]-(Tabela3[[#This Row],[Valor]]*(Tabela3[[#This Row],[Idade]]*VLOOKUP(Tabela3[[#This Row],[Categoria]],Cadastros!A:B,2,0))),"")</f>
        <v/>
      </c>
    </row>
    <row r="306" spans="4:18" x14ac:dyDescent="0.25">
      <c r="D306" s="5"/>
      <c r="N306" s="6" t="str">
        <f>IFERROR(Tabela3[[#This Row],[Última revisão do bem]]+(VLOOKUP(Tabela3[[#This Row],[Categoria]],Cadastros!A:D,4,0)+365),"")</f>
        <v/>
      </c>
      <c r="O306" s="7" t="str">
        <f ca="1">IF(Tabela3[[#This Row],[Data da compra]]&gt;0,(TODAY()-Tabela3[[#This Row],[Data da compra]])/365,"")</f>
        <v/>
      </c>
      <c r="P306" s="7" t="str">
        <f>IFERROR(VLOOKUP(Tabela3[[#This Row],[Categoria]],Cadastros!A:C,3,0),"")</f>
        <v/>
      </c>
      <c r="Q306" s="9" t="str">
        <f ca="1">IFERROR(Tabela3[[#This Row],[Vida útil]]-Tabela3[[#This Row],[Idade]],"")</f>
        <v/>
      </c>
      <c r="R306" s="8" t="str">
        <f ca="1">IFERROR(Tabela3[[#This Row],[Valor]]-(Tabela3[[#This Row],[Valor]]*(Tabela3[[#This Row],[Idade]]*VLOOKUP(Tabela3[[#This Row],[Categoria]],Cadastros!A:B,2,0))),"")</f>
        <v/>
      </c>
    </row>
    <row r="307" spans="4:18" x14ac:dyDescent="0.25">
      <c r="D307" s="5"/>
      <c r="N307" s="6" t="str">
        <f>IFERROR(Tabela3[[#This Row],[Última revisão do bem]]+(VLOOKUP(Tabela3[[#This Row],[Categoria]],Cadastros!A:D,4,0)+365),"")</f>
        <v/>
      </c>
      <c r="O307" s="7" t="str">
        <f ca="1">IF(Tabela3[[#This Row],[Data da compra]]&gt;0,(TODAY()-Tabela3[[#This Row],[Data da compra]])/365,"")</f>
        <v/>
      </c>
      <c r="P307" s="7" t="str">
        <f>IFERROR(VLOOKUP(Tabela3[[#This Row],[Categoria]],Cadastros!A:C,3,0),"")</f>
        <v/>
      </c>
      <c r="Q307" s="9" t="str">
        <f ca="1">IFERROR(Tabela3[[#This Row],[Vida útil]]-Tabela3[[#This Row],[Idade]],"")</f>
        <v/>
      </c>
      <c r="R307" s="8" t="str">
        <f ca="1">IFERROR(Tabela3[[#This Row],[Valor]]-(Tabela3[[#This Row],[Valor]]*(Tabela3[[#This Row],[Idade]]*VLOOKUP(Tabela3[[#This Row],[Categoria]],Cadastros!A:B,2,0))),"")</f>
        <v/>
      </c>
    </row>
    <row r="308" spans="4:18" x14ac:dyDescent="0.25">
      <c r="D308" s="5"/>
      <c r="N308" s="6" t="str">
        <f>IFERROR(Tabela3[[#This Row],[Última revisão do bem]]+(VLOOKUP(Tabela3[[#This Row],[Categoria]],Cadastros!A:D,4,0)+365),"")</f>
        <v/>
      </c>
      <c r="O308" s="7" t="str">
        <f ca="1">IF(Tabela3[[#This Row],[Data da compra]]&gt;0,(TODAY()-Tabela3[[#This Row],[Data da compra]])/365,"")</f>
        <v/>
      </c>
      <c r="P308" s="7" t="str">
        <f>IFERROR(VLOOKUP(Tabela3[[#This Row],[Categoria]],Cadastros!A:C,3,0),"")</f>
        <v/>
      </c>
      <c r="Q308" s="9" t="str">
        <f ca="1">IFERROR(Tabela3[[#This Row],[Vida útil]]-Tabela3[[#This Row],[Idade]],"")</f>
        <v/>
      </c>
      <c r="R308" s="8" t="str">
        <f ca="1">IFERROR(Tabela3[[#This Row],[Valor]]-(Tabela3[[#This Row],[Valor]]*(Tabela3[[#This Row],[Idade]]*VLOOKUP(Tabela3[[#This Row],[Categoria]],Cadastros!A:B,2,0))),"")</f>
        <v/>
      </c>
    </row>
    <row r="309" spans="4:18" x14ac:dyDescent="0.25">
      <c r="D309" s="5"/>
      <c r="N309" s="6" t="str">
        <f>IFERROR(Tabela3[[#This Row],[Última revisão do bem]]+(VLOOKUP(Tabela3[[#This Row],[Categoria]],Cadastros!A:D,4,0)+365),"")</f>
        <v/>
      </c>
      <c r="O309" s="7" t="str">
        <f ca="1">IF(Tabela3[[#This Row],[Data da compra]]&gt;0,(TODAY()-Tabela3[[#This Row],[Data da compra]])/365,"")</f>
        <v/>
      </c>
      <c r="P309" s="7" t="str">
        <f>IFERROR(VLOOKUP(Tabela3[[#This Row],[Categoria]],Cadastros!A:C,3,0),"")</f>
        <v/>
      </c>
      <c r="Q309" s="9" t="str">
        <f ca="1">IFERROR(Tabela3[[#This Row],[Vida útil]]-Tabela3[[#This Row],[Idade]],"")</f>
        <v/>
      </c>
      <c r="R309" s="8" t="str">
        <f ca="1">IFERROR(Tabela3[[#This Row],[Valor]]-(Tabela3[[#This Row],[Valor]]*(Tabela3[[#This Row],[Idade]]*VLOOKUP(Tabela3[[#This Row],[Categoria]],Cadastros!A:B,2,0))),"")</f>
        <v/>
      </c>
    </row>
    <row r="310" spans="4:18" x14ac:dyDescent="0.25">
      <c r="D310" s="5"/>
      <c r="N310" s="6" t="str">
        <f>IFERROR(Tabela3[[#This Row],[Última revisão do bem]]+(VLOOKUP(Tabela3[[#This Row],[Categoria]],Cadastros!A:D,4,0)+365),"")</f>
        <v/>
      </c>
      <c r="O310" s="7" t="str">
        <f ca="1">IF(Tabela3[[#This Row],[Data da compra]]&gt;0,(TODAY()-Tabela3[[#This Row],[Data da compra]])/365,"")</f>
        <v/>
      </c>
      <c r="P310" s="7" t="str">
        <f>IFERROR(VLOOKUP(Tabela3[[#This Row],[Categoria]],Cadastros!A:C,3,0),"")</f>
        <v/>
      </c>
      <c r="Q310" s="9" t="str">
        <f ca="1">IFERROR(Tabela3[[#This Row],[Vida útil]]-Tabela3[[#This Row],[Idade]],"")</f>
        <v/>
      </c>
      <c r="R310" s="8" t="str">
        <f ca="1">IFERROR(Tabela3[[#This Row],[Valor]]-(Tabela3[[#This Row],[Valor]]*(Tabela3[[#This Row],[Idade]]*VLOOKUP(Tabela3[[#This Row],[Categoria]],Cadastros!A:B,2,0))),"")</f>
        <v/>
      </c>
    </row>
    <row r="311" spans="4:18" x14ac:dyDescent="0.25">
      <c r="D311" s="5"/>
      <c r="N311" s="6" t="str">
        <f>IFERROR(Tabela3[[#This Row],[Última revisão do bem]]+(VLOOKUP(Tabela3[[#This Row],[Categoria]],Cadastros!A:D,4,0)+365),"")</f>
        <v/>
      </c>
      <c r="O311" s="7" t="str">
        <f ca="1">IF(Tabela3[[#This Row],[Data da compra]]&gt;0,(TODAY()-Tabela3[[#This Row],[Data da compra]])/365,"")</f>
        <v/>
      </c>
      <c r="P311" s="7" t="str">
        <f>IFERROR(VLOOKUP(Tabela3[[#This Row],[Categoria]],Cadastros!A:C,3,0),"")</f>
        <v/>
      </c>
      <c r="Q311" s="9" t="str">
        <f ca="1">IFERROR(Tabela3[[#This Row],[Vida útil]]-Tabela3[[#This Row],[Idade]],"")</f>
        <v/>
      </c>
      <c r="R311" s="8" t="str">
        <f ca="1">IFERROR(Tabela3[[#This Row],[Valor]]-(Tabela3[[#This Row],[Valor]]*(Tabela3[[#This Row],[Idade]]*VLOOKUP(Tabela3[[#This Row],[Categoria]],Cadastros!A:B,2,0))),"")</f>
        <v/>
      </c>
    </row>
    <row r="312" spans="4:18" x14ac:dyDescent="0.25">
      <c r="D312" s="5"/>
      <c r="N312" s="6" t="str">
        <f>IFERROR(Tabela3[[#This Row],[Última revisão do bem]]+(VLOOKUP(Tabela3[[#This Row],[Categoria]],Cadastros!A:D,4,0)+365),"")</f>
        <v/>
      </c>
      <c r="O312" s="7" t="str">
        <f ca="1">IF(Tabela3[[#This Row],[Data da compra]]&gt;0,(TODAY()-Tabela3[[#This Row],[Data da compra]])/365,"")</f>
        <v/>
      </c>
      <c r="P312" s="7" t="str">
        <f>IFERROR(VLOOKUP(Tabela3[[#This Row],[Categoria]],Cadastros!A:C,3,0),"")</f>
        <v/>
      </c>
      <c r="Q312" s="9" t="str">
        <f ca="1">IFERROR(Tabela3[[#This Row],[Vida útil]]-Tabela3[[#This Row],[Idade]],"")</f>
        <v/>
      </c>
      <c r="R312" s="8" t="str">
        <f ca="1">IFERROR(Tabela3[[#This Row],[Valor]]-(Tabela3[[#This Row],[Valor]]*(Tabela3[[#This Row],[Idade]]*VLOOKUP(Tabela3[[#This Row],[Categoria]],Cadastros!A:B,2,0))),"")</f>
        <v/>
      </c>
    </row>
    <row r="313" spans="4:18" x14ac:dyDescent="0.25">
      <c r="D313" s="5"/>
      <c r="N313" s="6" t="str">
        <f>IFERROR(Tabela3[[#This Row],[Última revisão do bem]]+(VLOOKUP(Tabela3[[#This Row],[Categoria]],Cadastros!A:D,4,0)+365),"")</f>
        <v/>
      </c>
      <c r="O313" s="7" t="str">
        <f ca="1">IF(Tabela3[[#This Row],[Data da compra]]&gt;0,(TODAY()-Tabela3[[#This Row],[Data da compra]])/365,"")</f>
        <v/>
      </c>
      <c r="P313" s="7" t="str">
        <f>IFERROR(VLOOKUP(Tabela3[[#This Row],[Categoria]],Cadastros!A:C,3,0),"")</f>
        <v/>
      </c>
      <c r="Q313" s="9" t="str">
        <f ca="1">IFERROR(Tabela3[[#This Row],[Vida útil]]-Tabela3[[#This Row],[Idade]],"")</f>
        <v/>
      </c>
      <c r="R313" s="8" t="str">
        <f ca="1">IFERROR(Tabela3[[#This Row],[Valor]]-(Tabela3[[#This Row],[Valor]]*(Tabela3[[#This Row],[Idade]]*VLOOKUP(Tabela3[[#This Row],[Categoria]],Cadastros!A:B,2,0))),"")</f>
        <v/>
      </c>
    </row>
    <row r="314" spans="4:18" x14ac:dyDescent="0.25">
      <c r="D314" s="5"/>
      <c r="N314" s="6" t="str">
        <f>IFERROR(Tabela3[[#This Row],[Última revisão do bem]]+(VLOOKUP(Tabela3[[#This Row],[Categoria]],Cadastros!A:D,4,0)+365),"")</f>
        <v/>
      </c>
      <c r="O314" s="7" t="str">
        <f ca="1">IF(Tabela3[[#This Row],[Data da compra]]&gt;0,(TODAY()-Tabela3[[#This Row],[Data da compra]])/365,"")</f>
        <v/>
      </c>
      <c r="P314" s="7" t="str">
        <f>IFERROR(VLOOKUP(Tabela3[[#This Row],[Categoria]],Cadastros!A:C,3,0),"")</f>
        <v/>
      </c>
      <c r="Q314" s="9" t="str">
        <f ca="1">IFERROR(Tabela3[[#This Row],[Vida útil]]-Tabela3[[#This Row],[Idade]],"")</f>
        <v/>
      </c>
      <c r="R314" s="8" t="str">
        <f ca="1">IFERROR(Tabela3[[#This Row],[Valor]]-(Tabela3[[#This Row],[Valor]]*(Tabela3[[#This Row],[Idade]]*VLOOKUP(Tabela3[[#This Row],[Categoria]],Cadastros!A:B,2,0))),"")</f>
        <v/>
      </c>
    </row>
    <row r="315" spans="4:18" x14ac:dyDescent="0.25">
      <c r="D315" s="5"/>
      <c r="N315" s="6" t="str">
        <f>IFERROR(Tabela3[[#This Row],[Última revisão do bem]]+(VLOOKUP(Tabela3[[#This Row],[Categoria]],Cadastros!A:D,4,0)+365),"")</f>
        <v/>
      </c>
      <c r="O315" s="7" t="str">
        <f ca="1">IF(Tabela3[[#This Row],[Data da compra]]&gt;0,(TODAY()-Tabela3[[#This Row],[Data da compra]])/365,"")</f>
        <v/>
      </c>
      <c r="P315" s="7" t="str">
        <f>IFERROR(VLOOKUP(Tabela3[[#This Row],[Categoria]],Cadastros!A:C,3,0),"")</f>
        <v/>
      </c>
      <c r="Q315" s="9" t="str">
        <f ca="1">IFERROR(Tabela3[[#This Row],[Vida útil]]-Tabela3[[#This Row],[Idade]],"")</f>
        <v/>
      </c>
      <c r="R315" s="8" t="str">
        <f ca="1">IFERROR(Tabela3[[#This Row],[Valor]]-(Tabela3[[#This Row],[Valor]]*(Tabela3[[#This Row],[Idade]]*VLOOKUP(Tabela3[[#This Row],[Categoria]],Cadastros!A:B,2,0))),"")</f>
        <v/>
      </c>
    </row>
    <row r="316" spans="4:18" x14ac:dyDescent="0.25">
      <c r="D316" s="5"/>
      <c r="N316" s="6" t="str">
        <f>IFERROR(Tabela3[[#This Row],[Última revisão do bem]]+(VLOOKUP(Tabela3[[#This Row],[Categoria]],Cadastros!A:D,4,0)+365),"")</f>
        <v/>
      </c>
      <c r="O316" s="7" t="str">
        <f ca="1">IF(Tabela3[[#This Row],[Data da compra]]&gt;0,(TODAY()-Tabela3[[#This Row],[Data da compra]])/365,"")</f>
        <v/>
      </c>
      <c r="P316" s="7" t="str">
        <f>IFERROR(VLOOKUP(Tabela3[[#This Row],[Categoria]],Cadastros!A:C,3,0),"")</f>
        <v/>
      </c>
      <c r="Q316" s="9" t="str">
        <f ca="1">IFERROR(Tabela3[[#This Row],[Vida útil]]-Tabela3[[#This Row],[Idade]],"")</f>
        <v/>
      </c>
      <c r="R316" s="8" t="str">
        <f ca="1">IFERROR(Tabela3[[#This Row],[Valor]]-(Tabela3[[#This Row],[Valor]]*(Tabela3[[#This Row],[Idade]]*VLOOKUP(Tabela3[[#This Row],[Categoria]],Cadastros!A:B,2,0))),"")</f>
        <v/>
      </c>
    </row>
    <row r="317" spans="4:18" x14ac:dyDescent="0.25">
      <c r="D317" s="5"/>
      <c r="N317" s="6" t="str">
        <f>IFERROR(Tabela3[[#This Row],[Última revisão do bem]]+(VLOOKUP(Tabela3[[#This Row],[Categoria]],Cadastros!A:D,4,0)+365),"")</f>
        <v/>
      </c>
      <c r="O317" s="7" t="str">
        <f ca="1">IF(Tabela3[[#This Row],[Data da compra]]&gt;0,(TODAY()-Tabela3[[#This Row],[Data da compra]])/365,"")</f>
        <v/>
      </c>
      <c r="P317" s="7" t="str">
        <f>IFERROR(VLOOKUP(Tabela3[[#This Row],[Categoria]],Cadastros!A:C,3,0),"")</f>
        <v/>
      </c>
      <c r="Q317" s="9" t="str">
        <f ca="1">IFERROR(Tabela3[[#This Row],[Vida útil]]-Tabela3[[#This Row],[Idade]],"")</f>
        <v/>
      </c>
      <c r="R317" s="8" t="str">
        <f ca="1">IFERROR(Tabela3[[#This Row],[Valor]]-(Tabela3[[#This Row],[Valor]]*(Tabela3[[#This Row],[Idade]]*VLOOKUP(Tabela3[[#This Row],[Categoria]],Cadastros!A:B,2,0))),"")</f>
        <v/>
      </c>
    </row>
    <row r="318" spans="4:18" x14ac:dyDescent="0.25">
      <c r="D318" s="5"/>
      <c r="N318" s="6" t="str">
        <f>IFERROR(Tabela3[[#This Row],[Última revisão do bem]]+(VLOOKUP(Tabela3[[#This Row],[Categoria]],Cadastros!A:D,4,0)+365),"")</f>
        <v/>
      </c>
      <c r="O318" s="7" t="str">
        <f ca="1">IF(Tabela3[[#This Row],[Data da compra]]&gt;0,(TODAY()-Tabela3[[#This Row],[Data da compra]])/365,"")</f>
        <v/>
      </c>
      <c r="P318" s="7" t="str">
        <f>IFERROR(VLOOKUP(Tabela3[[#This Row],[Categoria]],Cadastros!A:C,3,0),"")</f>
        <v/>
      </c>
      <c r="Q318" s="9" t="str">
        <f ca="1">IFERROR(Tabela3[[#This Row],[Vida útil]]-Tabela3[[#This Row],[Idade]],"")</f>
        <v/>
      </c>
      <c r="R318" s="8" t="str">
        <f ca="1">IFERROR(Tabela3[[#This Row],[Valor]]-(Tabela3[[#This Row],[Valor]]*(Tabela3[[#This Row],[Idade]]*VLOOKUP(Tabela3[[#This Row],[Categoria]],Cadastros!A:B,2,0))),"")</f>
        <v/>
      </c>
    </row>
    <row r="319" spans="4:18" x14ac:dyDescent="0.25">
      <c r="D319" s="5"/>
      <c r="N319" s="6" t="str">
        <f>IFERROR(Tabela3[[#This Row],[Última revisão do bem]]+(VLOOKUP(Tabela3[[#This Row],[Categoria]],Cadastros!A:D,4,0)+365),"")</f>
        <v/>
      </c>
      <c r="O319" s="7" t="str">
        <f ca="1">IF(Tabela3[[#This Row],[Data da compra]]&gt;0,(TODAY()-Tabela3[[#This Row],[Data da compra]])/365,"")</f>
        <v/>
      </c>
      <c r="P319" s="7" t="str">
        <f>IFERROR(VLOOKUP(Tabela3[[#This Row],[Categoria]],Cadastros!A:C,3,0),"")</f>
        <v/>
      </c>
      <c r="Q319" s="9" t="str">
        <f ca="1">IFERROR(Tabela3[[#This Row],[Vida útil]]-Tabela3[[#This Row],[Idade]],"")</f>
        <v/>
      </c>
      <c r="R319" s="8" t="str">
        <f ca="1">IFERROR(Tabela3[[#This Row],[Valor]]-(Tabela3[[#This Row],[Valor]]*(Tabela3[[#This Row],[Idade]]*VLOOKUP(Tabela3[[#This Row],[Categoria]],Cadastros!A:B,2,0))),"")</f>
        <v/>
      </c>
    </row>
    <row r="320" spans="4:18" x14ac:dyDescent="0.25">
      <c r="D320" s="5"/>
      <c r="N320" s="6" t="str">
        <f>IFERROR(Tabela3[[#This Row],[Última revisão do bem]]+(VLOOKUP(Tabela3[[#This Row],[Categoria]],Cadastros!A:D,4,0)+365),"")</f>
        <v/>
      </c>
      <c r="O320" s="7" t="str">
        <f ca="1">IF(Tabela3[[#This Row],[Data da compra]]&gt;0,(TODAY()-Tabela3[[#This Row],[Data da compra]])/365,"")</f>
        <v/>
      </c>
      <c r="P320" s="7" t="str">
        <f>IFERROR(VLOOKUP(Tabela3[[#This Row],[Categoria]],Cadastros!A:C,3,0),"")</f>
        <v/>
      </c>
      <c r="Q320" s="9" t="str">
        <f ca="1">IFERROR(Tabela3[[#This Row],[Vida útil]]-Tabela3[[#This Row],[Idade]],"")</f>
        <v/>
      </c>
      <c r="R320" s="8" t="str">
        <f ca="1">IFERROR(Tabela3[[#This Row],[Valor]]-(Tabela3[[#This Row],[Valor]]*(Tabela3[[#This Row],[Idade]]*VLOOKUP(Tabela3[[#This Row],[Categoria]],Cadastros!A:B,2,0))),"")</f>
        <v/>
      </c>
    </row>
    <row r="321" spans="4:18" x14ac:dyDescent="0.25">
      <c r="D321" s="5"/>
      <c r="N321" s="6" t="str">
        <f>IFERROR(Tabela3[[#This Row],[Última revisão do bem]]+(VLOOKUP(Tabela3[[#This Row],[Categoria]],Cadastros!A:D,4,0)+365),"")</f>
        <v/>
      </c>
      <c r="O321" s="7" t="str">
        <f ca="1">IF(Tabela3[[#This Row],[Data da compra]]&gt;0,(TODAY()-Tabela3[[#This Row],[Data da compra]])/365,"")</f>
        <v/>
      </c>
      <c r="P321" s="7" t="str">
        <f>IFERROR(VLOOKUP(Tabela3[[#This Row],[Categoria]],Cadastros!A:C,3,0),"")</f>
        <v/>
      </c>
      <c r="Q321" s="9" t="str">
        <f ca="1">IFERROR(Tabela3[[#This Row],[Vida útil]]-Tabela3[[#This Row],[Idade]],"")</f>
        <v/>
      </c>
      <c r="R321" s="8" t="str">
        <f ca="1">IFERROR(Tabela3[[#This Row],[Valor]]-(Tabela3[[#This Row],[Valor]]*(Tabela3[[#This Row],[Idade]]*VLOOKUP(Tabela3[[#This Row],[Categoria]],Cadastros!A:B,2,0))),"")</f>
        <v/>
      </c>
    </row>
    <row r="322" spans="4:18" x14ac:dyDescent="0.25">
      <c r="D322" s="5"/>
      <c r="N322" s="6" t="str">
        <f>IFERROR(Tabela3[[#This Row],[Última revisão do bem]]+(VLOOKUP(Tabela3[[#This Row],[Categoria]],Cadastros!A:D,4,0)+365),"")</f>
        <v/>
      </c>
      <c r="O322" s="7" t="str">
        <f ca="1">IF(Tabela3[[#This Row],[Data da compra]]&gt;0,(TODAY()-Tabela3[[#This Row],[Data da compra]])/365,"")</f>
        <v/>
      </c>
      <c r="P322" s="7" t="str">
        <f>IFERROR(VLOOKUP(Tabela3[[#This Row],[Categoria]],Cadastros!A:C,3,0),"")</f>
        <v/>
      </c>
      <c r="Q322" s="9" t="str">
        <f ca="1">IFERROR(Tabela3[[#This Row],[Vida útil]]-Tabela3[[#This Row],[Idade]],"")</f>
        <v/>
      </c>
      <c r="R322" s="8" t="str">
        <f ca="1">IFERROR(Tabela3[[#This Row],[Valor]]-(Tabela3[[#This Row],[Valor]]*(Tabela3[[#This Row],[Idade]]*VLOOKUP(Tabela3[[#This Row],[Categoria]],Cadastros!A:B,2,0))),"")</f>
        <v/>
      </c>
    </row>
    <row r="323" spans="4:18" x14ac:dyDescent="0.25">
      <c r="D323" s="5"/>
      <c r="N323" s="6" t="str">
        <f>IFERROR(Tabela3[[#This Row],[Última revisão do bem]]+(VLOOKUP(Tabela3[[#This Row],[Categoria]],Cadastros!A:D,4,0)+365),"")</f>
        <v/>
      </c>
      <c r="O323" s="7" t="str">
        <f ca="1">IF(Tabela3[[#This Row],[Data da compra]]&gt;0,(TODAY()-Tabela3[[#This Row],[Data da compra]])/365,"")</f>
        <v/>
      </c>
      <c r="P323" s="7" t="str">
        <f>IFERROR(VLOOKUP(Tabela3[[#This Row],[Categoria]],Cadastros!A:C,3,0),"")</f>
        <v/>
      </c>
      <c r="Q323" s="9" t="str">
        <f ca="1">IFERROR(Tabela3[[#This Row],[Vida útil]]-Tabela3[[#This Row],[Idade]],"")</f>
        <v/>
      </c>
      <c r="R323" s="8" t="str">
        <f ca="1">IFERROR(Tabela3[[#This Row],[Valor]]-(Tabela3[[#This Row],[Valor]]*(Tabela3[[#This Row],[Idade]]*VLOOKUP(Tabela3[[#This Row],[Categoria]],Cadastros!A:B,2,0))),"")</f>
        <v/>
      </c>
    </row>
    <row r="324" spans="4:18" x14ac:dyDescent="0.25">
      <c r="D324" s="5"/>
      <c r="N324" s="6" t="str">
        <f>IFERROR(Tabela3[[#This Row],[Última revisão do bem]]+(VLOOKUP(Tabela3[[#This Row],[Categoria]],Cadastros!A:D,4,0)+365),"")</f>
        <v/>
      </c>
      <c r="O324" s="7" t="str">
        <f ca="1">IF(Tabela3[[#This Row],[Data da compra]]&gt;0,(TODAY()-Tabela3[[#This Row],[Data da compra]])/365,"")</f>
        <v/>
      </c>
      <c r="P324" s="7" t="str">
        <f>IFERROR(VLOOKUP(Tabela3[[#This Row],[Categoria]],Cadastros!A:C,3,0),"")</f>
        <v/>
      </c>
      <c r="Q324" s="9" t="str">
        <f ca="1">IFERROR(Tabela3[[#This Row],[Vida útil]]-Tabela3[[#This Row],[Idade]],"")</f>
        <v/>
      </c>
      <c r="R324" s="8" t="str">
        <f ca="1">IFERROR(Tabela3[[#This Row],[Valor]]-(Tabela3[[#This Row],[Valor]]*(Tabela3[[#This Row],[Idade]]*VLOOKUP(Tabela3[[#This Row],[Categoria]],Cadastros!A:B,2,0))),"")</f>
        <v/>
      </c>
    </row>
    <row r="325" spans="4:18" x14ac:dyDescent="0.25">
      <c r="D325" s="5"/>
      <c r="N325" s="6" t="str">
        <f>IFERROR(Tabela3[[#This Row],[Última revisão do bem]]+(VLOOKUP(Tabela3[[#This Row],[Categoria]],Cadastros!A:D,4,0)+365),"")</f>
        <v/>
      </c>
      <c r="O325" s="7" t="str">
        <f ca="1">IF(Tabela3[[#This Row],[Data da compra]]&gt;0,(TODAY()-Tabela3[[#This Row],[Data da compra]])/365,"")</f>
        <v/>
      </c>
      <c r="P325" s="7" t="str">
        <f>IFERROR(VLOOKUP(Tabela3[[#This Row],[Categoria]],Cadastros!A:C,3,0),"")</f>
        <v/>
      </c>
      <c r="Q325" s="9" t="str">
        <f ca="1">IFERROR(Tabela3[[#This Row],[Vida útil]]-Tabela3[[#This Row],[Idade]],"")</f>
        <v/>
      </c>
      <c r="R325" s="8" t="str">
        <f ca="1">IFERROR(Tabela3[[#This Row],[Valor]]-(Tabela3[[#This Row],[Valor]]*(Tabela3[[#This Row],[Idade]]*VLOOKUP(Tabela3[[#This Row],[Categoria]],Cadastros!A:B,2,0))),"")</f>
        <v/>
      </c>
    </row>
    <row r="326" spans="4:18" x14ac:dyDescent="0.25">
      <c r="D326" s="5"/>
      <c r="N326" s="6" t="str">
        <f>IFERROR(Tabela3[[#This Row],[Última revisão do bem]]+(VLOOKUP(Tabela3[[#This Row],[Categoria]],Cadastros!A:D,4,0)+365),"")</f>
        <v/>
      </c>
      <c r="O326" s="7" t="str">
        <f ca="1">IF(Tabela3[[#This Row],[Data da compra]]&gt;0,(TODAY()-Tabela3[[#This Row],[Data da compra]])/365,"")</f>
        <v/>
      </c>
      <c r="P326" s="7" t="str">
        <f>IFERROR(VLOOKUP(Tabela3[[#This Row],[Categoria]],Cadastros!A:C,3,0),"")</f>
        <v/>
      </c>
      <c r="Q326" s="9" t="str">
        <f ca="1">IFERROR(Tabela3[[#This Row],[Vida útil]]-Tabela3[[#This Row],[Idade]],"")</f>
        <v/>
      </c>
      <c r="R326" s="8" t="str">
        <f ca="1">IFERROR(Tabela3[[#This Row],[Valor]]-(Tabela3[[#This Row],[Valor]]*(Tabela3[[#This Row],[Idade]]*VLOOKUP(Tabela3[[#This Row],[Categoria]],Cadastros!A:B,2,0))),"")</f>
        <v/>
      </c>
    </row>
    <row r="327" spans="4:18" x14ac:dyDescent="0.25">
      <c r="D327" s="5"/>
      <c r="N327" s="6" t="str">
        <f>IFERROR(Tabela3[[#This Row],[Última revisão do bem]]+(VLOOKUP(Tabela3[[#This Row],[Categoria]],Cadastros!A:D,4,0)+365),"")</f>
        <v/>
      </c>
      <c r="O327" s="7" t="str">
        <f ca="1">IF(Tabela3[[#This Row],[Data da compra]]&gt;0,(TODAY()-Tabela3[[#This Row],[Data da compra]])/365,"")</f>
        <v/>
      </c>
      <c r="P327" s="7" t="str">
        <f>IFERROR(VLOOKUP(Tabela3[[#This Row],[Categoria]],Cadastros!A:C,3,0),"")</f>
        <v/>
      </c>
      <c r="Q327" s="9" t="str">
        <f ca="1">IFERROR(Tabela3[[#This Row],[Vida útil]]-Tabela3[[#This Row],[Idade]],"")</f>
        <v/>
      </c>
      <c r="R327" s="8" t="str">
        <f ca="1">IFERROR(Tabela3[[#This Row],[Valor]]-(Tabela3[[#This Row],[Valor]]*(Tabela3[[#This Row],[Idade]]*VLOOKUP(Tabela3[[#This Row],[Categoria]],Cadastros!A:B,2,0))),"")</f>
        <v/>
      </c>
    </row>
    <row r="328" spans="4:18" x14ac:dyDescent="0.25">
      <c r="D328" s="5"/>
      <c r="N328" s="6" t="str">
        <f>IFERROR(Tabela3[[#This Row],[Última revisão do bem]]+(VLOOKUP(Tabela3[[#This Row],[Categoria]],Cadastros!A:D,4,0)+365),"")</f>
        <v/>
      </c>
      <c r="O328" s="7" t="str">
        <f ca="1">IF(Tabela3[[#This Row],[Data da compra]]&gt;0,(TODAY()-Tabela3[[#This Row],[Data da compra]])/365,"")</f>
        <v/>
      </c>
      <c r="P328" s="7" t="str">
        <f>IFERROR(VLOOKUP(Tabela3[[#This Row],[Categoria]],Cadastros!A:C,3,0),"")</f>
        <v/>
      </c>
      <c r="Q328" s="9" t="str">
        <f ca="1">IFERROR(Tabela3[[#This Row],[Vida útil]]-Tabela3[[#This Row],[Idade]],"")</f>
        <v/>
      </c>
      <c r="R328" s="8" t="str">
        <f ca="1">IFERROR(Tabela3[[#This Row],[Valor]]-(Tabela3[[#This Row],[Valor]]*(Tabela3[[#This Row],[Idade]]*VLOOKUP(Tabela3[[#This Row],[Categoria]],Cadastros!A:B,2,0))),"")</f>
        <v/>
      </c>
    </row>
    <row r="329" spans="4:18" x14ac:dyDescent="0.25">
      <c r="D329" s="5"/>
      <c r="N329" s="6" t="str">
        <f>IFERROR(Tabela3[[#This Row],[Última revisão do bem]]+(VLOOKUP(Tabela3[[#This Row],[Categoria]],Cadastros!A:D,4,0)+365),"")</f>
        <v/>
      </c>
      <c r="O329" s="7" t="str">
        <f ca="1">IF(Tabela3[[#This Row],[Data da compra]]&gt;0,(TODAY()-Tabela3[[#This Row],[Data da compra]])/365,"")</f>
        <v/>
      </c>
      <c r="P329" s="7" t="str">
        <f>IFERROR(VLOOKUP(Tabela3[[#This Row],[Categoria]],Cadastros!A:C,3,0),"")</f>
        <v/>
      </c>
      <c r="Q329" s="9" t="str">
        <f ca="1">IFERROR(Tabela3[[#This Row],[Vida útil]]-Tabela3[[#This Row],[Idade]],"")</f>
        <v/>
      </c>
      <c r="R329" s="8" t="str">
        <f ca="1">IFERROR(Tabela3[[#This Row],[Valor]]-(Tabela3[[#This Row],[Valor]]*(Tabela3[[#This Row],[Idade]]*VLOOKUP(Tabela3[[#This Row],[Categoria]],Cadastros!A:B,2,0))),"")</f>
        <v/>
      </c>
    </row>
    <row r="330" spans="4:18" x14ac:dyDescent="0.25">
      <c r="D330" s="22"/>
      <c r="N330" s="6" t="str">
        <f>IFERROR(Tabela3[[#This Row],[Última revisão do bem]]+(VLOOKUP(Tabela3[[#This Row],[Categoria]],Cadastros!A:D,4,0)+365),"")</f>
        <v/>
      </c>
      <c r="O330" s="7" t="str">
        <f ca="1">IF(Tabela3[[#This Row],[Data da compra]]&gt;0,(TODAY()-Tabela3[[#This Row],[Data da compra]])/365,"")</f>
        <v/>
      </c>
      <c r="P330" s="7" t="str">
        <f>IFERROR(VLOOKUP(Tabela3[[#This Row],[Categoria]],Cadastros!A:C,3,0),"")</f>
        <v/>
      </c>
      <c r="Q330" s="9" t="str">
        <f ca="1">IFERROR(Tabela3[[#This Row],[Vida útil]]-Tabela3[[#This Row],[Idade]],"")</f>
        <v/>
      </c>
      <c r="R330" s="23" t="str">
        <f ca="1">IFERROR(Tabela3[[#This Row],[Valor]]-(Tabela3[[#This Row],[Valor]]*(Tabela3[[#This Row],[Idade]]*VLOOKUP(Tabela3[[#This Row],[Categoria]],Cadastros!A:B,2,0))),"")</f>
        <v/>
      </c>
    </row>
    <row r="331" spans="4:18" x14ac:dyDescent="0.25">
      <c r="D331" s="5"/>
      <c r="N331" s="6" t="str">
        <f>IFERROR(Tabela3[[#This Row],[Última revisão do bem]]+(VLOOKUP(Tabela3[[#This Row],[Categoria]],Cadastros!A:D,4,0)+365),"")</f>
        <v/>
      </c>
      <c r="O331" s="7" t="str">
        <f ca="1">IF(Tabela3[[#This Row],[Data da compra]]&gt;0,(TODAY()-Tabela3[[#This Row],[Data da compra]])/365,"")</f>
        <v/>
      </c>
      <c r="P331" s="7" t="str">
        <f>IFERROR(VLOOKUP(Tabela3[[#This Row],[Categoria]],Cadastros!A:C,3,0),"")</f>
        <v/>
      </c>
      <c r="Q331" s="9" t="str">
        <f ca="1">IFERROR(Tabela3[[#This Row],[Vida útil]]-Tabela3[[#This Row],[Idade]],"")</f>
        <v/>
      </c>
      <c r="R331" s="8" t="str">
        <f ca="1">IFERROR(Tabela3[[#This Row],[Valor]]-(Tabela3[[#This Row],[Valor]]*(Tabela3[[#This Row],[Idade]]*VLOOKUP(Tabela3[[#This Row],[Categoria]],Cadastros!A:B,2,0))),"")</f>
        <v/>
      </c>
    </row>
    <row r="332" spans="4:18" x14ac:dyDescent="0.25">
      <c r="D332" s="5"/>
      <c r="N332" s="6" t="str">
        <f>IFERROR(Tabela3[[#This Row],[Última revisão do bem]]+(VLOOKUP(Tabela3[[#This Row],[Categoria]],Cadastros!A:D,4,0)+365),"")</f>
        <v/>
      </c>
      <c r="O332" s="7" t="str">
        <f ca="1">IF(Tabela3[[#This Row],[Data da compra]]&gt;0,(TODAY()-Tabela3[[#This Row],[Data da compra]])/365,"")</f>
        <v/>
      </c>
      <c r="P332" s="7" t="str">
        <f>IFERROR(VLOOKUP(Tabela3[[#This Row],[Categoria]],Cadastros!A:C,3,0),"")</f>
        <v/>
      </c>
      <c r="Q332" s="9" t="str">
        <f ca="1">IFERROR(Tabela3[[#This Row],[Vida útil]]-Tabela3[[#This Row],[Idade]],"")</f>
        <v/>
      </c>
      <c r="R332" s="8" t="str">
        <f ca="1">IFERROR(Tabela3[[#This Row],[Valor]]-(Tabela3[[#This Row],[Valor]]*(Tabela3[[#This Row],[Idade]]*VLOOKUP(Tabela3[[#This Row],[Categoria]],Cadastros!A:B,2,0))),"")</f>
        <v/>
      </c>
    </row>
    <row r="333" spans="4:18" x14ac:dyDescent="0.25">
      <c r="D333" s="5"/>
      <c r="N333" s="6" t="str">
        <f>IFERROR(Tabela3[[#This Row],[Última revisão do bem]]+(VLOOKUP(Tabela3[[#This Row],[Categoria]],Cadastros!A:D,4,0)+365),"")</f>
        <v/>
      </c>
      <c r="O333" s="7" t="str">
        <f ca="1">IF(Tabela3[[#This Row],[Data da compra]]&gt;0,(TODAY()-Tabela3[[#This Row],[Data da compra]])/365,"")</f>
        <v/>
      </c>
      <c r="P333" s="7" t="str">
        <f>IFERROR(VLOOKUP(Tabela3[[#This Row],[Categoria]],Cadastros!A:C,3,0),"")</f>
        <v/>
      </c>
      <c r="Q333" s="9" t="str">
        <f ca="1">IFERROR(Tabela3[[#This Row],[Vida útil]]-Tabela3[[#This Row],[Idade]],"")</f>
        <v/>
      </c>
      <c r="R333" s="8" t="str">
        <f ca="1">IFERROR(Tabela3[[#This Row],[Valor]]-(Tabela3[[#This Row],[Valor]]*(Tabela3[[#This Row],[Idade]]*VLOOKUP(Tabela3[[#This Row],[Categoria]],Cadastros!A:B,2,0))),"")</f>
        <v/>
      </c>
    </row>
    <row r="334" spans="4:18" x14ac:dyDescent="0.25">
      <c r="D334" s="5"/>
      <c r="N334" s="6" t="str">
        <f>IFERROR(Tabela3[[#This Row],[Última revisão do bem]]+(VLOOKUP(Tabela3[[#This Row],[Categoria]],Cadastros!A:D,4,0)+365),"")</f>
        <v/>
      </c>
      <c r="O334" s="7" t="str">
        <f ca="1">IF(Tabela3[[#This Row],[Data da compra]]&gt;0,(TODAY()-Tabela3[[#This Row],[Data da compra]])/365,"")</f>
        <v/>
      </c>
      <c r="P334" s="7" t="str">
        <f>IFERROR(VLOOKUP(Tabela3[[#This Row],[Categoria]],Cadastros!A:C,3,0),"")</f>
        <v/>
      </c>
      <c r="Q334" s="9" t="str">
        <f ca="1">IFERROR(Tabela3[[#This Row],[Vida útil]]-Tabela3[[#This Row],[Idade]],"")</f>
        <v/>
      </c>
      <c r="R334" s="8" t="str">
        <f ca="1">IFERROR(Tabela3[[#This Row],[Valor]]-(Tabela3[[#This Row],[Valor]]*(Tabela3[[#This Row],[Idade]]*VLOOKUP(Tabela3[[#This Row],[Categoria]],Cadastros!A:B,2,0))),"")</f>
        <v/>
      </c>
    </row>
    <row r="335" spans="4:18" x14ac:dyDescent="0.25">
      <c r="D335" s="5"/>
      <c r="N335" s="6" t="str">
        <f>IFERROR(Tabela3[[#This Row],[Última revisão do bem]]+(VLOOKUP(Tabela3[[#This Row],[Categoria]],Cadastros!A:D,4,0)+365),"")</f>
        <v/>
      </c>
      <c r="O335" s="7" t="str">
        <f ca="1">IF(Tabela3[[#This Row],[Data da compra]]&gt;0,(TODAY()-Tabela3[[#This Row],[Data da compra]])/365,"")</f>
        <v/>
      </c>
      <c r="P335" s="7" t="str">
        <f>IFERROR(VLOOKUP(Tabela3[[#This Row],[Categoria]],Cadastros!A:C,3,0),"")</f>
        <v/>
      </c>
      <c r="Q335" s="9" t="str">
        <f ca="1">IFERROR(Tabela3[[#This Row],[Vida útil]]-Tabela3[[#This Row],[Idade]],"")</f>
        <v/>
      </c>
      <c r="R335" s="8" t="str">
        <f ca="1">IFERROR(Tabela3[[#This Row],[Valor]]-(Tabela3[[#This Row],[Valor]]*(Tabela3[[#This Row],[Idade]]*VLOOKUP(Tabela3[[#This Row],[Categoria]],Cadastros!A:B,2,0))),"")</f>
        <v/>
      </c>
    </row>
    <row r="336" spans="4:18" x14ac:dyDescent="0.25">
      <c r="D336" s="5"/>
      <c r="N336" s="6" t="str">
        <f>IFERROR(Tabela3[[#This Row],[Última revisão do bem]]+(VLOOKUP(Tabela3[[#This Row],[Categoria]],Cadastros!A:D,4,0)+365),"")</f>
        <v/>
      </c>
      <c r="O336" s="7" t="str">
        <f ca="1">IF(Tabela3[[#This Row],[Data da compra]]&gt;0,(TODAY()-Tabela3[[#This Row],[Data da compra]])/365,"")</f>
        <v/>
      </c>
      <c r="P336" s="7" t="str">
        <f>IFERROR(VLOOKUP(Tabela3[[#This Row],[Categoria]],Cadastros!A:C,3,0),"")</f>
        <v/>
      </c>
      <c r="Q336" s="9" t="str">
        <f ca="1">IFERROR(Tabela3[[#This Row],[Vida útil]]-Tabela3[[#This Row],[Idade]],"")</f>
        <v/>
      </c>
      <c r="R336" s="8" t="str">
        <f ca="1">IFERROR(Tabela3[[#This Row],[Valor]]-(Tabela3[[#This Row],[Valor]]*(Tabela3[[#This Row],[Idade]]*VLOOKUP(Tabela3[[#This Row],[Categoria]],Cadastros!A:B,2,0))),"")</f>
        <v/>
      </c>
    </row>
    <row r="337" spans="4:18" x14ac:dyDescent="0.25">
      <c r="D337" s="5"/>
      <c r="N337" s="6" t="str">
        <f>IFERROR(Tabela3[[#This Row],[Última revisão do bem]]+(VLOOKUP(Tabela3[[#This Row],[Categoria]],Cadastros!A:D,4,0)+365),"")</f>
        <v/>
      </c>
      <c r="O337" s="7" t="str">
        <f ca="1">IF(Tabela3[[#This Row],[Data da compra]]&gt;0,(TODAY()-Tabela3[[#This Row],[Data da compra]])/365,"")</f>
        <v/>
      </c>
      <c r="P337" s="7" t="str">
        <f>IFERROR(VLOOKUP(Tabela3[[#This Row],[Categoria]],Cadastros!A:C,3,0),"")</f>
        <v/>
      </c>
      <c r="Q337" s="9" t="str">
        <f ca="1">IFERROR(Tabela3[[#This Row],[Vida útil]]-Tabela3[[#This Row],[Idade]],"")</f>
        <v/>
      </c>
      <c r="R337" s="8" t="str">
        <f ca="1">IFERROR(Tabela3[[#This Row],[Valor]]-(Tabela3[[#This Row],[Valor]]*(Tabela3[[#This Row],[Idade]]*VLOOKUP(Tabela3[[#This Row],[Categoria]],Cadastros!A:B,2,0))),"")</f>
        <v/>
      </c>
    </row>
    <row r="338" spans="4:18" x14ac:dyDescent="0.25">
      <c r="D338" s="5"/>
      <c r="N338" s="6" t="str">
        <f>IFERROR(Tabela3[[#This Row],[Última revisão do bem]]+(VLOOKUP(Tabela3[[#This Row],[Categoria]],Cadastros!A:D,4,0)+365),"")</f>
        <v/>
      </c>
      <c r="O338" s="7" t="str">
        <f ca="1">IF(Tabela3[[#This Row],[Data da compra]]&gt;0,(TODAY()-Tabela3[[#This Row],[Data da compra]])/365,"")</f>
        <v/>
      </c>
      <c r="P338" s="7" t="str">
        <f>IFERROR(VLOOKUP(Tabela3[[#This Row],[Categoria]],Cadastros!A:C,3,0),"")</f>
        <v/>
      </c>
      <c r="Q338" s="9" t="str">
        <f ca="1">IFERROR(Tabela3[[#This Row],[Vida útil]]-Tabela3[[#This Row],[Idade]],"")</f>
        <v/>
      </c>
      <c r="R338" s="8" t="str">
        <f ca="1">IFERROR(Tabela3[[#This Row],[Valor]]-(Tabela3[[#This Row],[Valor]]*(Tabela3[[#This Row],[Idade]]*VLOOKUP(Tabela3[[#This Row],[Categoria]],Cadastros!A:B,2,0))),"")</f>
        <v/>
      </c>
    </row>
    <row r="339" spans="4:18" x14ac:dyDescent="0.25">
      <c r="D339" s="5"/>
      <c r="N339" s="6" t="str">
        <f>IFERROR(Tabela3[[#This Row],[Última revisão do bem]]+(VLOOKUP(Tabela3[[#This Row],[Categoria]],Cadastros!A:D,4,0)+365),"")</f>
        <v/>
      </c>
      <c r="O339" s="7" t="str">
        <f ca="1">IF(Tabela3[[#This Row],[Data da compra]]&gt;0,(TODAY()-Tabela3[[#This Row],[Data da compra]])/365,"")</f>
        <v/>
      </c>
      <c r="P339" s="7" t="str">
        <f>IFERROR(VLOOKUP(Tabela3[[#This Row],[Categoria]],Cadastros!A:C,3,0),"")</f>
        <v/>
      </c>
      <c r="Q339" s="9" t="str">
        <f ca="1">IFERROR(Tabela3[[#This Row],[Vida útil]]-Tabela3[[#This Row],[Idade]],"")</f>
        <v/>
      </c>
      <c r="R339" s="8" t="str">
        <f ca="1">IFERROR(Tabela3[[#This Row],[Valor]]-(Tabela3[[#This Row],[Valor]]*(Tabela3[[#This Row],[Idade]]*VLOOKUP(Tabela3[[#This Row],[Categoria]],Cadastros!A:B,2,0))),"")</f>
        <v/>
      </c>
    </row>
    <row r="340" spans="4:18" x14ac:dyDescent="0.25">
      <c r="D340" s="5"/>
      <c r="N340" s="6" t="str">
        <f>IFERROR(Tabela3[[#This Row],[Última revisão do bem]]+(VLOOKUP(Tabela3[[#This Row],[Categoria]],Cadastros!A:D,4,0)+365),"")</f>
        <v/>
      </c>
      <c r="O340" s="7" t="str">
        <f ca="1">IF(Tabela3[[#This Row],[Data da compra]]&gt;0,(TODAY()-Tabela3[[#This Row],[Data da compra]])/365,"")</f>
        <v/>
      </c>
      <c r="P340" s="7" t="str">
        <f>IFERROR(VLOOKUP(Tabela3[[#This Row],[Categoria]],Cadastros!A:C,3,0),"")</f>
        <v/>
      </c>
      <c r="Q340" s="9" t="str">
        <f ca="1">IFERROR(Tabela3[[#This Row],[Vida útil]]-Tabela3[[#This Row],[Idade]],"")</f>
        <v/>
      </c>
      <c r="R340" s="8" t="str">
        <f ca="1">IFERROR(Tabela3[[#This Row],[Valor]]-(Tabela3[[#This Row],[Valor]]*(Tabela3[[#This Row],[Idade]]*VLOOKUP(Tabela3[[#This Row],[Categoria]],Cadastros!A:B,2,0))),"")</f>
        <v/>
      </c>
    </row>
    <row r="341" spans="4:18" x14ac:dyDescent="0.25">
      <c r="D341" s="5"/>
      <c r="N341" s="6" t="str">
        <f>IFERROR(Tabela3[[#This Row],[Última revisão do bem]]+(VLOOKUP(Tabela3[[#This Row],[Categoria]],Cadastros!A:D,4,0)+365),"")</f>
        <v/>
      </c>
      <c r="O341" s="7" t="str">
        <f ca="1">IF(Tabela3[[#This Row],[Data da compra]]&gt;0,(TODAY()-Tabela3[[#This Row],[Data da compra]])/365,"")</f>
        <v/>
      </c>
      <c r="P341" s="7" t="str">
        <f>IFERROR(VLOOKUP(Tabela3[[#This Row],[Categoria]],Cadastros!A:C,3,0),"")</f>
        <v/>
      </c>
      <c r="Q341" s="9" t="str">
        <f ca="1">IFERROR(Tabela3[[#This Row],[Vida útil]]-Tabela3[[#This Row],[Idade]],"")</f>
        <v/>
      </c>
      <c r="R341" s="8" t="str">
        <f ca="1">IFERROR(Tabela3[[#This Row],[Valor]]-(Tabela3[[#This Row],[Valor]]*(Tabela3[[#This Row],[Idade]]*VLOOKUP(Tabela3[[#This Row],[Categoria]],Cadastros!A:B,2,0))),"")</f>
        <v/>
      </c>
    </row>
    <row r="342" spans="4:18" x14ac:dyDescent="0.25">
      <c r="D342" s="5"/>
      <c r="N342" s="6" t="str">
        <f>IFERROR(Tabela3[[#This Row],[Última revisão do bem]]+(VLOOKUP(Tabela3[[#This Row],[Categoria]],Cadastros!A:D,4,0)+365),"")</f>
        <v/>
      </c>
      <c r="O342" s="7" t="str">
        <f ca="1">IF(Tabela3[[#This Row],[Data da compra]]&gt;0,(TODAY()-Tabela3[[#This Row],[Data da compra]])/365,"")</f>
        <v/>
      </c>
      <c r="P342" s="7" t="str">
        <f>IFERROR(VLOOKUP(Tabela3[[#This Row],[Categoria]],Cadastros!A:C,3,0),"")</f>
        <v/>
      </c>
      <c r="Q342" s="9" t="str">
        <f ca="1">IFERROR(Tabela3[[#This Row],[Vida útil]]-Tabela3[[#This Row],[Idade]],"")</f>
        <v/>
      </c>
      <c r="R342" s="8" t="str">
        <f ca="1">IFERROR(Tabela3[[#This Row],[Valor]]-(Tabela3[[#This Row],[Valor]]*(Tabela3[[#This Row],[Idade]]*VLOOKUP(Tabela3[[#This Row],[Categoria]],Cadastros!A:B,2,0))),"")</f>
        <v/>
      </c>
    </row>
    <row r="343" spans="4:18" x14ac:dyDescent="0.25">
      <c r="D343" s="5"/>
      <c r="N343" s="6" t="str">
        <f>IFERROR(Tabela3[[#This Row],[Última revisão do bem]]+(VLOOKUP(Tabela3[[#This Row],[Categoria]],Cadastros!A:D,4,0)+365),"")</f>
        <v/>
      </c>
      <c r="O343" s="7" t="str">
        <f ca="1">IF(Tabela3[[#This Row],[Data da compra]]&gt;0,(TODAY()-Tabela3[[#This Row],[Data da compra]])/365,"")</f>
        <v/>
      </c>
      <c r="P343" s="7" t="str">
        <f>IFERROR(VLOOKUP(Tabela3[[#This Row],[Categoria]],Cadastros!A:C,3,0),"")</f>
        <v/>
      </c>
      <c r="Q343" s="9" t="str">
        <f ca="1">IFERROR(Tabela3[[#This Row],[Vida útil]]-Tabela3[[#This Row],[Idade]],"")</f>
        <v/>
      </c>
      <c r="R343" s="8" t="str">
        <f ca="1">IFERROR(Tabela3[[#This Row],[Valor]]-(Tabela3[[#This Row],[Valor]]*(Tabela3[[#This Row],[Idade]]*VLOOKUP(Tabela3[[#This Row],[Categoria]],Cadastros!A:B,2,0))),"")</f>
        <v/>
      </c>
    </row>
    <row r="344" spans="4:18" x14ac:dyDescent="0.25">
      <c r="D344" s="5"/>
      <c r="N344" s="6" t="str">
        <f>IFERROR(Tabela3[[#This Row],[Última revisão do bem]]+(VLOOKUP(Tabela3[[#This Row],[Categoria]],Cadastros!A:D,4,0)+365),"")</f>
        <v/>
      </c>
      <c r="O344" s="7" t="str">
        <f ca="1">IF(Tabela3[[#This Row],[Data da compra]]&gt;0,(TODAY()-Tabela3[[#This Row],[Data da compra]])/365,"")</f>
        <v/>
      </c>
      <c r="P344" s="7" t="str">
        <f>IFERROR(VLOOKUP(Tabela3[[#This Row],[Categoria]],Cadastros!A:C,3,0),"")</f>
        <v/>
      </c>
      <c r="Q344" s="9" t="str">
        <f ca="1">IFERROR(Tabela3[[#This Row],[Vida útil]]-Tabela3[[#This Row],[Idade]],"")</f>
        <v/>
      </c>
      <c r="R344" s="8" t="str">
        <f ca="1">IFERROR(Tabela3[[#This Row],[Valor]]-(Tabela3[[#This Row],[Valor]]*(Tabela3[[#This Row],[Idade]]*VLOOKUP(Tabela3[[#This Row],[Categoria]],Cadastros!A:B,2,0))),"")</f>
        <v/>
      </c>
    </row>
    <row r="345" spans="4:18" x14ac:dyDescent="0.25">
      <c r="D345" s="5"/>
      <c r="N345" s="6" t="str">
        <f>IFERROR(Tabela3[[#This Row],[Última revisão do bem]]+(VLOOKUP(Tabela3[[#This Row],[Categoria]],Cadastros!A:D,4,0)+365),"")</f>
        <v/>
      </c>
      <c r="O345" s="7" t="str">
        <f ca="1">IF(Tabela3[[#This Row],[Data da compra]]&gt;0,(TODAY()-Tabela3[[#This Row],[Data da compra]])/365,"")</f>
        <v/>
      </c>
      <c r="P345" s="7" t="str">
        <f>IFERROR(VLOOKUP(Tabela3[[#This Row],[Categoria]],Cadastros!A:C,3,0),"")</f>
        <v/>
      </c>
      <c r="Q345" s="9" t="str">
        <f ca="1">IFERROR(Tabela3[[#This Row],[Vida útil]]-Tabela3[[#This Row],[Idade]],"")</f>
        <v/>
      </c>
      <c r="R345" s="8" t="str">
        <f ca="1">IFERROR(Tabela3[[#This Row],[Valor]]-(Tabela3[[#This Row],[Valor]]*(Tabela3[[#This Row],[Idade]]*VLOOKUP(Tabela3[[#This Row],[Categoria]],Cadastros!A:B,2,0))),"")</f>
        <v/>
      </c>
    </row>
    <row r="346" spans="4:18" x14ac:dyDescent="0.25">
      <c r="D346" s="5"/>
      <c r="N346" s="6" t="str">
        <f>IFERROR(Tabela3[[#This Row],[Última revisão do bem]]+(VLOOKUP(Tabela3[[#This Row],[Categoria]],Cadastros!A:D,4,0)+365),"")</f>
        <v/>
      </c>
      <c r="O346" s="7" t="str">
        <f ca="1">IF(Tabela3[[#This Row],[Data da compra]]&gt;0,(TODAY()-Tabela3[[#This Row],[Data da compra]])/365,"")</f>
        <v/>
      </c>
      <c r="P346" s="7" t="str">
        <f>IFERROR(VLOOKUP(Tabela3[[#This Row],[Categoria]],Cadastros!A:C,3,0),"")</f>
        <v/>
      </c>
      <c r="Q346" s="9" t="str">
        <f ca="1">IFERROR(Tabela3[[#This Row],[Vida útil]]-Tabela3[[#This Row],[Idade]],"")</f>
        <v/>
      </c>
      <c r="R346" s="8" t="str">
        <f ca="1">IFERROR(Tabela3[[#This Row],[Valor]]-(Tabela3[[#This Row],[Valor]]*(Tabela3[[#This Row],[Idade]]*VLOOKUP(Tabela3[[#This Row],[Categoria]],Cadastros!A:B,2,0))),"")</f>
        <v/>
      </c>
    </row>
    <row r="347" spans="4:18" x14ac:dyDescent="0.25">
      <c r="D347" s="5"/>
      <c r="N347" s="6" t="str">
        <f>IFERROR(Tabela3[[#This Row],[Última revisão do bem]]+(VLOOKUP(Tabela3[[#This Row],[Categoria]],Cadastros!A:D,4,0)+365),"")</f>
        <v/>
      </c>
      <c r="O347" s="7" t="str">
        <f ca="1">IF(Tabela3[[#This Row],[Data da compra]]&gt;0,(TODAY()-Tabela3[[#This Row],[Data da compra]])/365,"")</f>
        <v/>
      </c>
      <c r="P347" s="7" t="str">
        <f>IFERROR(VLOOKUP(Tabela3[[#This Row],[Categoria]],Cadastros!A:C,3,0),"")</f>
        <v/>
      </c>
      <c r="Q347" s="9" t="str">
        <f ca="1">IFERROR(Tabela3[[#This Row],[Vida útil]]-Tabela3[[#This Row],[Idade]],"")</f>
        <v/>
      </c>
      <c r="R347" s="8" t="str">
        <f ca="1">IFERROR(Tabela3[[#This Row],[Valor]]-(Tabela3[[#This Row],[Valor]]*(Tabela3[[#This Row],[Idade]]*VLOOKUP(Tabela3[[#This Row],[Categoria]],Cadastros!A:B,2,0))),"")</f>
        <v/>
      </c>
    </row>
    <row r="348" spans="4:18" x14ac:dyDescent="0.25">
      <c r="D348" s="22"/>
      <c r="N348" s="6" t="str">
        <f>IFERROR(Tabela3[[#This Row],[Última revisão do bem]]+(VLOOKUP(Tabela3[[#This Row],[Categoria]],Cadastros!A:D,4,0)+365),"")</f>
        <v/>
      </c>
      <c r="O348" s="7" t="str">
        <f ca="1">IF(Tabela3[[#This Row],[Data da compra]]&gt;0,(TODAY()-Tabela3[[#This Row],[Data da compra]])/365,"")</f>
        <v/>
      </c>
      <c r="P348" s="7" t="str">
        <f>IFERROR(VLOOKUP(Tabela3[[#This Row],[Categoria]],Cadastros!A:C,3,0),"")</f>
        <v/>
      </c>
      <c r="Q348" s="9" t="str">
        <f ca="1">IFERROR(Tabela3[[#This Row],[Vida útil]]-Tabela3[[#This Row],[Idade]],"")</f>
        <v/>
      </c>
      <c r="R348" s="23" t="str">
        <f ca="1">IFERROR(Tabela3[[#This Row],[Valor]]-(Tabela3[[#This Row],[Valor]]*(Tabela3[[#This Row],[Idade]]*VLOOKUP(Tabela3[[#This Row],[Categoria]],Cadastros!A:B,2,0))),"")</f>
        <v/>
      </c>
    </row>
    <row r="349" spans="4:18" x14ac:dyDescent="0.25">
      <c r="D349" s="5"/>
      <c r="N349" s="6" t="str">
        <f>IFERROR(Tabela3[[#This Row],[Última revisão do bem]]+(VLOOKUP(Tabela3[[#This Row],[Categoria]],Cadastros!A:D,4,0)+365),"")</f>
        <v/>
      </c>
      <c r="O349" s="7" t="str">
        <f ca="1">IF(Tabela3[[#This Row],[Data da compra]]&gt;0,(TODAY()-Tabela3[[#This Row],[Data da compra]])/365,"")</f>
        <v/>
      </c>
      <c r="P349" s="7" t="str">
        <f>IFERROR(VLOOKUP(Tabela3[[#This Row],[Categoria]],Cadastros!A:C,3,0),"")</f>
        <v/>
      </c>
      <c r="Q349" s="9" t="str">
        <f ca="1">IFERROR(Tabela3[[#This Row],[Vida útil]]-Tabela3[[#This Row],[Idade]],"")</f>
        <v/>
      </c>
      <c r="R349" s="8" t="str">
        <f ca="1">IFERROR(Tabela3[[#This Row],[Valor]]-(Tabela3[[#This Row],[Valor]]*(Tabela3[[#This Row],[Idade]]*VLOOKUP(Tabela3[[#This Row],[Categoria]],Cadastros!A:B,2,0))),"")</f>
        <v/>
      </c>
    </row>
    <row r="350" spans="4:18" x14ac:dyDescent="0.25">
      <c r="D350" s="5"/>
      <c r="N350" s="6" t="str">
        <f>IFERROR(Tabela3[[#This Row],[Última revisão do bem]]+(VLOOKUP(Tabela3[[#This Row],[Categoria]],Cadastros!A:D,4,0)+365),"")</f>
        <v/>
      </c>
      <c r="O350" s="7" t="str">
        <f ca="1">IF(Tabela3[[#This Row],[Data da compra]]&gt;0,(TODAY()-Tabela3[[#This Row],[Data da compra]])/365,"")</f>
        <v/>
      </c>
      <c r="P350" s="7" t="str">
        <f>IFERROR(VLOOKUP(Tabela3[[#This Row],[Categoria]],Cadastros!A:C,3,0),"")</f>
        <v/>
      </c>
      <c r="Q350" s="9" t="str">
        <f ca="1">IFERROR(Tabela3[[#This Row],[Vida útil]]-Tabela3[[#This Row],[Idade]],"")</f>
        <v/>
      </c>
      <c r="R350" s="8" t="str">
        <f ca="1">IFERROR(Tabela3[[#This Row],[Valor]]-(Tabela3[[#This Row],[Valor]]*(Tabela3[[#This Row],[Idade]]*VLOOKUP(Tabela3[[#This Row],[Categoria]],Cadastros!A:B,2,0))),"")</f>
        <v/>
      </c>
    </row>
    <row r="351" spans="4:18" x14ac:dyDescent="0.25">
      <c r="D351" s="5"/>
      <c r="N351" s="6" t="str">
        <f>IFERROR(Tabela3[[#This Row],[Última revisão do bem]]+(VLOOKUP(Tabela3[[#This Row],[Categoria]],Cadastros!A:D,4,0)+365),"")</f>
        <v/>
      </c>
      <c r="O351" s="7" t="str">
        <f ca="1">IF(Tabela3[[#This Row],[Data da compra]]&gt;0,(TODAY()-Tabela3[[#This Row],[Data da compra]])/365,"")</f>
        <v/>
      </c>
      <c r="P351" s="7" t="str">
        <f>IFERROR(VLOOKUP(Tabela3[[#This Row],[Categoria]],Cadastros!A:C,3,0),"")</f>
        <v/>
      </c>
      <c r="Q351" s="9" t="str">
        <f ca="1">IFERROR(Tabela3[[#This Row],[Vida útil]]-Tabela3[[#This Row],[Idade]],"")</f>
        <v/>
      </c>
      <c r="R351" s="8" t="str">
        <f ca="1">IFERROR(Tabela3[[#This Row],[Valor]]-(Tabela3[[#This Row],[Valor]]*(Tabela3[[#This Row],[Idade]]*VLOOKUP(Tabela3[[#This Row],[Categoria]],Cadastros!A:B,2,0))),"")</f>
        <v/>
      </c>
    </row>
    <row r="352" spans="4:18" x14ac:dyDescent="0.25">
      <c r="D352" s="5"/>
      <c r="N352" s="6" t="str">
        <f>IFERROR(Tabela3[[#This Row],[Última revisão do bem]]+(VLOOKUP(Tabela3[[#This Row],[Categoria]],Cadastros!A:D,4,0)+365),"")</f>
        <v/>
      </c>
      <c r="O352" s="7" t="str">
        <f ca="1">IF(Tabela3[[#This Row],[Data da compra]]&gt;0,(TODAY()-Tabela3[[#This Row],[Data da compra]])/365,"")</f>
        <v/>
      </c>
      <c r="P352" s="7" t="str">
        <f>IFERROR(VLOOKUP(Tabela3[[#This Row],[Categoria]],Cadastros!A:C,3,0),"")</f>
        <v/>
      </c>
      <c r="Q352" s="9" t="str">
        <f ca="1">IFERROR(Tabela3[[#This Row],[Vida útil]]-Tabela3[[#This Row],[Idade]],"")</f>
        <v/>
      </c>
      <c r="R352" s="8" t="str">
        <f ca="1">IFERROR(Tabela3[[#This Row],[Valor]]-(Tabela3[[#This Row],[Valor]]*(Tabela3[[#This Row],[Idade]]*VLOOKUP(Tabela3[[#This Row],[Categoria]],Cadastros!A:B,2,0))),"")</f>
        <v/>
      </c>
    </row>
    <row r="353" spans="4:18" x14ac:dyDescent="0.25">
      <c r="D353" s="5"/>
      <c r="N353" s="6" t="str">
        <f>IFERROR(Tabela3[[#This Row],[Última revisão do bem]]+(VLOOKUP(Tabela3[[#This Row],[Categoria]],Cadastros!A:D,4,0)+365),"")</f>
        <v/>
      </c>
      <c r="O353" s="7" t="str">
        <f ca="1">IF(Tabela3[[#This Row],[Data da compra]]&gt;0,(TODAY()-Tabela3[[#This Row],[Data da compra]])/365,"")</f>
        <v/>
      </c>
      <c r="P353" s="7" t="str">
        <f>IFERROR(VLOOKUP(Tabela3[[#This Row],[Categoria]],Cadastros!A:C,3,0),"")</f>
        <v/>
      </c>
      <c r="Q353" s="9" t="str">
        <f ca="1">IFERROR(Tabela3[[#This Row],[Vida útil]]-Tabela3[[#This Row],[Idade]],"")</f>
        <v/>
      </c>
      <c r="R353" s="8" t="str">
        <f ca="1">IFERROR(Tabela3[[#This Row],[Valor]]-(Tabela3[[#This Row],[Valor]]*(Tabela3[[#This Row],[Idade]]*VLOOKUP(Tabela3[[#This Row],[Categoria]],Cadastros!A:B,2,0))),"")</f>
        <v/>
      </c>
    </row>
    <row r="354" spans="4:18" x14ac:dyDescent="0.25">
      <c r="D354" s="5"/>
      <c r="N354" s="6" t="str">
        <f>IFERROR(Tabela3[[#This Row],[Última revisão do bem]]+(VLOOKUP(Tabela3[[#This Row],[Categoria]],Cadastros!A:D,4,0)+365),"")</f>
        <v/>
      </c>
      <c r="O354" s="7" t="str">
        <f ca="1">IF(Tabela3[[#This Row],[Data da compra]]&gt;0,(TODAY()-Tabela3[[#This Row],[Data da compra]])/365,"")</f>
        <v/>
      </c>
      <c r="P354" s="7" t="str">
        <f>IFERROR(VLOOKUP(Tabela3[[#This Row],[Categoria]],Cadastros!A:C,3,0),"")</f>
        <v/>
      </c>
      <c r="Q354" s="9" t="str">
        <f ca="1">IFERROR(Tabela3[[#This Row],[Vida útil]]-Tabela3[[#This Row],[Idade]],"")</f>
        <v/>
      </c>
      <c r="R354" s="8" t="str">
        <f ca="1">IFERROR(Tabela3[[#This Row],[Valor]]-(Tabela3[[#This Row],[Valor]]*(Tabela3[[#This Row],[Idade]]*VLOOKUP(Tabela3[[#This Row],[Categoria]],Cadastros!A:B,2,0))),"")</f>
        <v/>
      </c>
    </row>
    <row r="355" spans="4:18" x14ac:dyDescent="0.25">
      <c r="D355" s="5"/>
      <c r="N355" s="6" t="str">
        <f>IFERROR(Tabela3[[#This Row],[Última revisão do bem]]+(VLOOKUP(Tabela3[[#This Row],[Categoria]],Cadastros!A:D,4,0)+365),"")</f>
        <v/>
      </c>
      <c r="O355" s="7" t="str">
        <f ca="1">IF(Tabela3[[#This Row],[Data da compra]]&gt;0,(TODAY()-Tabela3[[#This Row],[Data da compra]])/365,"")</f>
        <v/>
      </c>
      <c r="P355" s="7" t="str">
        <f>IFERROR(VLOOKUP(Tabela3[[#This Row],[Categoria]],Cadastros!A:C,3,0),"")</f>
        <v/>
      </c>
      <c r="Q355" s="9" t="str">
        <f ca="1">IFERROR(Tabela3[[#This Row],[Vida útil]]-Tabela3[[#This Row],[Idade]],"")</f>
        <v/>
      </c>
      <c r="R355" s="8" t="str">
        <f ca="1">IFERROR(Tabela3[[#This Row],[Valor]]-(Tabela3[[#This Row],[Valor]]*(Tabela3[[#This Row],[Idade]]*VLOOKUP(Tabela3[[#This Row],[Categoria]],Cadastros!A:B,2,0))),"")</f>
        <v/>
      </c>
    </row>
    <row r="356" spans="4:18" x14ac:dyDescent="0.25">
      <c r="D356" s="5"/>
      <c r="N356" s="6" t="str">
        <f>IFERROR(Tabela3[[#This Row],[Última revisão do bem]]+(VLOOKUP(Tabela3[[#This Row],[Categoria]],Cadastros!A:D,4,0)+365),"")</f>
        <v/>
      </c>
      <c r="O356" s="7" t="str">
        <f ca="1">IF(Tabela3[[#This Row],[Data da compra]]&gt;0,(TODAY()-Tabela3[[#This Row],[Data da compra]])/365,"")</f>
        <v/>
      </c>
      <c r="P356" s="7" t="str">
        <f>IFERROR(VLOOKUP(Tabela3[[#This Row],[Categoria]],Cadastros!A:C,3,0),"")</f>
        <v/>
      </c>
      <c r="Q356" s="9" t="str">
        <f ca="1">IFERROR(Tabela3[[#This Row],[Vida útil]]-Tabela3[[#This Row],[Idade]],"")</f>
        <v/>
      </c>
      <c r="R356" s="8" t="str">
        <f ca="1">IFERROR(Tabela3[[#This Row],[Valor]]-(Tabela3[[#This Row],[Valor]]*(Tabela3[[#This Row],[Idade]]*VLOOKUP(Tabela3[[#This Row],[Categoria]],Cadastros!A:B,2,0))),"")</f>
        <v/>
      </c>
    </row>
    <row r="357" spans="4:18" x14ac:dyDescent="0.25">
      <c r="D357" s="5"/>
      <c r="N357" s="6" t="str">
        <f>IFERROR(Tabela3[[#This Row],[Última revisão do bem]]+(VLOOKUP(Tabela3[[#This Row],[Categoria]],Cadastros!A:D,4,0)+365),"")</f>
        <v/>
      </c>
      <c r="O357" s="7" t="str">
        <f ca="1">IF(Tabela3[[#This Row],[Data da compra]]&gt;0,(TODAY()-Tabela3[[#This Row],[Data da compra]])/365,"")</f>
        <v/>
      </c>
      <c r="P357" s="7" t="str">
        <f>IFERROR(VLOOKUP(Tabela3[[#This Row],[Categoria]],Cadastros!A:C,3,0),"")</f>
        <v/>
      </c>
      <c r="Q357" s="9" t="str">
        <f ca="1">IFERROR(Tabela3[[#This Row],[Vida útil]]-Tabela3[[#This Row],[Idade]],"")</f>
        <v/>
      </c>
      <c r="R357" s="8" t="str">
        <f ca="1">IFERROR(Tabela3[[#This Row],[Valor]]-(Tabela3[[#This Row],[Valor]]*(Tabela3[[#This Row],[Idade]]*VLOOKUP(Tabela3[[#This Row],[Categoria]],Cadastros!A:B,2,0))),"")</f>
        <v/>
      </c>
    </row>
    <row r="358" spans="4:18" x14ac:dyDescent="0.25">
      <c r="D358" s="5"/>
      <c r="N358" s="6" t="str">
        <f>IFERROR(Tabela3[[#This Row],[Última revisão do bem]]+(VLOOKUP(Tabela3[[#This Row],[Categoria]],Cadastros!A:D,4,0)+365),"")</f>
        <v/>
      </c>
      <c r="O358" s="7" t="str">
        <f ca="1">IF(Tabela3[[#This Row],[Data da compra]]&gt;0,(TODAY()-Tabela3[[#This Row],[Data da compra]])/365,"")</f>
        <v/>
      </c>
      <c r="P358" s="7" t="str">
        <f>IFERROR(VLOOKUP(Tabela3[[#This Row],[Categoria]],Cadastros!A:C,3,0),"")</f>
        <v/>
      </c>
      <c r="Q358" s="9" t="str">
        <f ca="1">IFERROR(Tabela3[[#This Row],[Vida útil]]-Tabela3[[#This Row],[Idade]],"")</f>
        <v/>
      </c>
      <c r="R358" s="8" t="str">
        <f ca="1">IFERROR(Tabela3[[#This Row],[Valor]]-(Tabela3[[#This Row],[Valor]]*(Tabela3[[#This Row],[Idade]]*VLOOKUP(Tabela3[[#This Row],[Categoria]],Cadastros!A:B,2,0))),"")</f>
        <v/>
      </c>
    </row>
    <row r="359" spans="4:18" x14ac:dyDescent="0.25">
      <c r="D359" s="5"/>
      <c r="N359" s="6" t="str">
        <f>IFERROR(Tabela3[[#This Row],[Última revisão do bem]]+(VLOOKUP(Tabela3[[#This Row],[Categoria]],Cadastros!A:D,4,0)+365),"")</f>
        <v/>
      </c>
      <c r="O359" s="7" t="str">
        <f ca="1">IF(Tabela3[[#This Row],[Data da compra]]&gt;0,(TODAY()-Tabela3[[#This Row],[Data da compra]])/365,"")</f>
        <v/>
      </c>
      <c r="P359" s="7" t="str">
        <f>IFERROR(VLOOKUP(Tabela3[[#This Row],[Categoria]],Cadastros!A:C,3,0),"")</f>
        <v/>
      </c>
      <c r="Q359" s="9" t="str">
        <f ca="1">IFERROR(Tabela3[[#This Row],[Vida útil]]-Tabela3[[#This Row],[Idade]],"")</f>
        <v/>
      </c>
      <c r="R359" s="8" t="str">
        <f ca="1">IFERROR(Tabela3[[#This Row],[Valor]]-(Tabela3[[#This Row],[Valor]]*(Tabela3[[#This Row],[Idade]]*VLOOKUP(Tabela3[[#This Row],[Categoria]],Cadastros!A:B,2,0))),"")</f>
        <v/>
      </c>
    </row>
    <row r="360" spans="4:18" x14ac:dyDescent="0.25">
      <c r="D360" s="5"/>
      <c r="N360" s="6" t="str">
        <f>IFERROR(Tabela3[[#This Row],[Última revisão do bem]]+(VLOOKUP(Tabela3[[#This Row],[Categoria]],Cadastros!A:D,4,0)+365),"")</f>
        <v/>
      </c>
      <c r="O360" s="7" t="str">
        <f ca="1">IF(Tabela3[[#This Row],[Data da compra]]&gt;0,(TODAY()-Tabela3[[#This Row],[Data da compra]])/365,"")</f>
        <v/>
      </c>
      <c r="P360" s="7" t="str">
        <f>IFERROR(VLOOKUP(Tabela3[[#This Row],[Categoria]],Cadastros!A:C,3,0),"")</f>
        <v/>
      </c>
      <c r="Q360" s="9" t="str">
        <f ca="1">IFERROR(Tabela3[[#This Row],[Vida útil]]-Tabela3[[#This Row],[Idade]],"")</f>
        <v/>
      </c>
      <c r="R360" s="8" t="str">
        <f ca="1">IFERROR(Tabela3[[#This Row],[Valor]]-(Tabela3[[#This Row],[Valor]]*(Tabela3[[#This Row],[Idade]]*VLOOKUP(Tabela3[[#This Row],[Categoria]],Cadastros!A:B,2,0))),"")</f>
        <v/>
      </c>
    </row>
    <row r="361" spans="4:18" x14ac:dyDescent="0.25">
      <c r="D361" s="5"/>
      <c r="N361" s="6" t="str">
        <f>IFERROR(Tabela3[[#This Row],[Última revisão do bem]]+(VLOOKUP(Tabela3[[#This Row],[Categoria]],Cadastros!A:D,4,0)+365),"")</f>
        <v/>
      </c>
      <c r="O361" s="7" t="str">
        <f ca="1">IF(Tabela3[[#This Row],[Data da compra]]&gt;0,(TODAY()-Tabela3[[#This Row],[Data da compra]])/365,"")</f>
        <v/>
      </c>
      <c r="P361" s="7" t="str">
        <f>IFERROR(VLOOKUP(Tabela3[[#This Row],[Categoria]],Cadastros!A:C,3,0),"")</f>
        <v/>
      </c>
      <c r="Q361" s="9" t="str">
        <f ca="1">IFERROR(Tabela3[[#This Row],[Vida útil]]-Tabela3[[#This Row],[Idade]],"")</f>
        <v/>
      </c>
      <c r="R361" s="8" t="str">
        <f ca="1">IFERROR(Tabela3[[#This Row],[Valor]]-(Tabela3[[#This Row],[Valor]]*(Tabela3[[#This Row],[Idade]]*VLOOKUP(Tabela3[[#This Row],[Categoria]],Cadastros!A:B,2,0))),"")</f>
        <v/>
      </c>
    </row>
    <row r="362" spans="4:18" x14ac:dyDescent="0.25">
      <c r="D362" s="5"/>
      <c r="N362" s="6" t="str">
        <f>IFERROR(Tabela3[[#This Row],[Última revisão do bem]]+(VLOOKUP(Tabela3[[#This Row],[Categoria]],Cadastros!A:D,4,0)+365),"")</f>
        <v/>
      </c>
      <c r="O362" s="7" t="str">
        <f ca="1">IF(Tabela3[[#This Row],[Data da compra]]&gt;0,(TODAY()-Tabela3[[#This Row],[Data da compra]])/365,"")</f>
        <v/>
      </c>
      <c r="P362" s="7" t="str">
        <f>IFERROR(VLOOKUP(Tabela3[[#This Row],[Categoria]],Cadastros!A:C,3,0),"")</f>
        <v/>
      </c>
      <c r="Q362" s="9" t="str">
        <f ca="1">IFERROR(Tabela3[[#This Row],[Vida útil]]-Tabela3[[#This Row],[Idade]],"")</f>
        <v/>
      </c>
      <c r="R362" s="8" t="str">
        <f ca="1">IFERROR(Tabela3[[#This Row],[Valor]]-(Tabela3[[#This Row],[Valor]]*(Tabela3[[#This Row],[Idade]]*VLOOKUP(Tabela3[[#This Row],[Categoria]],Cadastros!A:B,2,0))),"")</f>
        <v/>
      </c>
    </row>
    <row r="363" spans="4:18" x14ac:dyDescent="0.25">
      <c r="D363" s="5"/>
      <c r="N363" s="6" t="str">
        <f>IFERROR(Tabela3[[#This Row],[Última revisão do bem]]+(VLOOKUP(Tabela3[[#This Row],[Categoria]],Cadastros!A:D,4,0)+365),"")</f>
        <v/>
      </c>
      <c r="O363" s="7" t="str">
        <f ca="1">IF(Tabela3[[#This Row],[Data da compra]]&gt;0,(TODAY()-Tabela3[[#This Row],[Data da compra]])/365,"")</f>
        <v/>
      </c>
      <c r="P363" s="7" t="str">
        <f>IFERROR(VLOOKUP(Tabela3[[#This Row],[Categoria]],Cadastros!A:C,3,0),"")</f>
        <v/>
      </c>
      <c r="Q363" s="9" t="str">
        <f ca="1">IFERROR(Tabela3[[#This Row],[Vida útil]]-Tabela3[[#This Row],[Idade]],"")</f>
        <v/>
      </c>
      <c r="R363" s="8" t="str">
        <f ca="1">IFERROR(Tabela3[[#This Row],[Valor]]-(Tabela3[[#This Row],[Valor]]*(Tabela3[[#This Row],[Idade]]*VLOOKUP(Tabela3[[#This Row],[Categoria]],Cadastros!A:B,2,0))),"")</f>
        <v/>
      </c>
    </row>
    <row r="364" spans="4:18" x14ac:dyDescent="0.25">
      <c r="D364" s="5"/>
      <c r="N364" s="6" t="str">
        <f>IFERROR(Tabela3[[#This Row],[Última revisão do bem]]+(VLOOKUP(Tabela3[[#This Row],[Categoria]],Cadastros!A:D,4,0)+365),"")</f>
        <v/>
      </c>
      <c r="O364" s="7" t="str">
        <f ca="1">IF(Tabela3[[#This Row],[Data da compra]]&gt;0,(TODAY()-Tabela3[[#This Row],[Data da compra]])/365,"")</f>
        <v/>
      </c>
      <c r="P364" s="7" t="str">
        <f>IFERROR(VLOOKUP(Tabela3[[#This Row],[Categoria]],Cadastros!A:C,3,0),"")</f>
        <v/>
      </c>
      <c r="Q364" s="9" t="str">
        <f ca="1">IFERROR(Tabela3[[#This Row],[Vida útil]]-Tabela3[[#This Row],[Idade]],"")</f>
        <v/>
      </c>
      <c r="R364" s="8" t="str">
        <f ca="1">IFERROR(Tabela3[[#This Row],[Valor]]-(Tabela3[[#This Row],[Valor]]*(Tabela3[[#This Row],[Idade]]*VLOOKUP(Tabela3[[#This Row],[Categoria]],Cadastros!A:B,2,0))),"")</f>
        <v/>
      </c>
    </row>
    <row r="365" spans="4:18" x14ac:dyDescent="0.25">
      <c r="D365" s="5"/>
      <c r="N365" s="6" t="str">
        <f>IFERROR(Tabela3[[#This Row],[Última revisão do bem]]+(VLOOKUP(Tabela3[[#This Row],[Categoria]],Cadastros!A:D,4,0)+365),"")</f>
        <v/>
      </c>
      <c r="O365" s="7" t="str">
        <f ca="1">IF(Tabela3[[#This Row],[Data da compra]]&gt;0,(TODAY()-Tabela3[[#This Row],[Data da compra]])/365,"")</f>
        <v/>
      </c>
      <c r="P365" s="7" t="str">
        <f>IFERROR(VLOOKUP(Tabela3[[#This Row],[Categoria]],Cadastros!A:C,3,0),"")</f>
        <v/>
      </c>
      <c r="Q365" s="9" t="str">
        <f ca="1">IFERROR(Tabela3[[#This Row],[Vida útil]]-Tabela3[[#This Row],[Idade]],"")</f>
        <v/>
      </c>
      <c r="R365" s="8" t="str">
        <f ca="1">IFERROR(Tabela3[[#This Row],[Valor]]-(Tabela3[[#This Row],[Valor]]*(Tabela3[[#This Row],[Idade]]*VLOOKUP(Tabela3[[#This Row],[Categoria]],Cadastros!A:B,2,0))),"")</f>
        <v/>
      </c>
    </row>
    <row r="366" spans="4:18" x14ac:dyDescent="0.25">
      <c r="D366" s="22"/>
      <c r="N366" s="6" t="str">
        <f>IFERROR(Tabela3[[#This Row],[Última revisão do bem]]+(VLOOKUP(Tabela3[[#This Row],[Categoria]],Cadastros!A:D,4,0)+365),"")</f>
        <v/>
      </c>
      <c r="O366" s="7" t="str">
        <f ca="1">IF(Tabela3[[#This Row],[Data da compra]]&gt;0,(TODAY()-Tabela3[[#This Row],[Data da compra]])/365,"")</f>
        <v/>
      </c>
      <c r="P366" s="7" t="str">
        <f>IFERROR(VLOOKUP(Tabela3[[#This Row],[Categoria]],Cadastros!A:C,3,0),"")</f>
        <v/>
      </c>
      <c r="Q366" s="9" t="str">
        <f ca="1">IFERROR(Tabela3[[#This Row],[Vida útil]]-Tabela3[[#This Row],[Idade]],"")</f>
        <v/>
      </c>
      <c r="R366" s="23" t="str">
        <f ca="1">IFERROR(Tabela3[[#This Row],[Valor]]-(Tabela3[[#This Row],[Valor]]*(Tabela3[[#This Row],[Idade]]*VLOOKUP(Tabela3[[#This Row],[Categoria]],Cadastros!A:B,2,0))),"")</f>
        <v/>
      </c>
    </row>
    <row r="367" spans="4:18" x14ac:dyDescent="0.25">
      <c r="D367" s="5"/>
      <c r="N367" s="6" t="str">
        <f>IFERROR(Tabela3[[#This Row],[Última revisão do bem]]+(VLOOKUP(Tabela3[[#This Row],[Categoria]],Cadastros!A:D,4,0)+365),"")</f>
        <v/>
      </c>
      <c r="O367" s="7" t="str">
        <f ca="1">IF(Tabela3[[#This Row],[Data da compra]]&gt;0,(TODAY()-Tabela3[[#This Row],[Data da compra]])/365,"")</f>
        <v/>
      </c>
      <c r="P367" s="7" t="str">
        <f>IFERROR(VLOOKUP(Tabela3[[#This Row],[Categoria]],Cadastros!A:C,3,0),"")</f>
        <v/>
      </c>
      <c r="Q367" s="9" t="str">
        <f ca="1">IFERROR(Tabela3[[#This Row],[Vida útil]]-Tabela3[[#This Row],[Idade]],"")</f>
        <v/>
      </c>
      <c r="R367" s="8" t="str">
        <f ca="1">IFERROR(Tabela3[[#This Row],[Valor]]-(Tabela3[[#This Row],[Valor]]*(Tabela3[[#This Row],[Idade]]*VLOOKUP(Tabela3[[#This Row],[Categoria]],Cadastros!A:B,2,0))),"")</f>
        <v/>
      </c>
    </row>
    <row r="368" spans="4:18" x14ac:dyDescent="0.25">
      <c r="D368" s="5"/>
      <c r="N368" s="6" t="str">
        <f>IFERROR(Tabela3[[#This Row],[Última revisão do bem]]+(VLOOKUP(Tabela3[[#This Row],[Categoria]],Cadastros!A:D,4,0)+365),"")</f>
        <v/>
      </c>
      <c r="O368" s="7" t="str">
        <f ca="1">IF(Tabela3[[#This Row],[Data da compra]]&gt;0,(TODAY()-Tabela3[[#This Row],[Data da compra]])/365,"")</f>
        <v/>
      </c>
      <c r="P368" s="7" t="str">
        <f>IFERROR(VLOOKUP(Tabela3[[#This Row],[Categoria]],Cadastros!A:C,3,0),"")</f>
        <v/>
      </c>
      <c r="Q368" s="9" t="str">
        <f ca="1">IFERROR(Tabela3[[#This Row],[Vida útil]]-Tabela3[[#This Row],[Idade]],"")</f>
        <v/>
      </c>
      <c r="R368" s="8" t="str">
        <f ca="1">IFERROR(Tabela3[[#This Row],[Valor]]-(Tabela3[[#This Row],[Valor]]*(Tabela3[[#This Row],[Idade]]*VLOOKUP(Tabela3[[#This Row],[Categoria]],Cadastros!A:B,2,0))),"")</f>
        <v/>
      </c>
    </row>
    <row r="369" spans="4:18" x14ac:dyDescent="0.25">
      <c r="D369" s="5"/>
      <c r="N369" s="6" t="str">
        <f>IFERROR(Tabela3[[#This Row],[Última revisão do bem]]+(VLOOKUP(Tabela3[[#This Row],[Categoria]],Cadastros!A:D,4,0)+365),"")</f>
        <v/>
      </c>
      <c r="O369" s="7" t="str">
        <f ca="1">IF(Tabela3[[#This Row],[Data da compra]]&gt;0,(TODAY()-Tabela3[[#This Row],[Data da compra]])/365,"")</f>
        <v/>
      </c>
      <c r="P369" s="7" t="str">
        <f>IFERROR(VLOOKUP(Tabela3[[#This Row],[Categoria]],Cadastros!A:C,3,0),"")</f>
        <v/>
      </c>
      <c r="Q369" s="9" t="str">
        <f ca="1">IFERROR(Tabela3[[#This Row],[Vida útil]]-Tabela3[[#This Row],[Idade]],"")</f>
        <v/>
      </c>
      <c r="R369" s="8" t="str">
        <f ca="1">IFERROR(Tabela3[[#This Row],[Valor]]-(Tabela3[[#This Row],[Valor]]*(Tabela3[[#This Row],[Idade]]*VLOOKUP(Tabela3[[#This Row],[Categoria]],Cadastros!A:B,2,0))),"")</f>
        <v/>
      </c>
    </row>
    <row r="370" spans="4:18" x14ac:dyDescent="0.25">
      <c r="D370" s="5"/>
      <c r="N370" s="6" t="str">
        <f>IFERROR(Tabela3[[#This Row],[Última revisão do bem]]+(VLOOKUP(Tabela3[[#This Row],[Categoria]],Cadastros!A:D,4,0)+365),"")</f>
        <v/>
      </c>
      <c r="O370" s="7" t="str">
        <f ca="1">IF(Tabela3[[#This Row],[Data da compra]]&gt;0,(TODAY()-Tabela3[[#This Row],[Data da compra]])/365,"")</f>
        <v/>
      </c>
      <c r="P370" s="7" t="str">
        <f>IFERROR(VLOOKUP(Tabela3[[#This Row],[Categoria]],Cadastros!A:C,3,0),"")</f>
        <v/>
      </c>
      <c r="Q370" s="9" t="str">
        <f ca="1">IFERROR(Tabela3[[#This Row],[Vida útil]]-Tabela3[[#This Row],[Idade]],"")</f>
        <v/>
      </c>
      <c r="R370" s="8" t="str">
        <f ca="1">IFERROR(Tabela3[[#This Row],[Valor]]-(Tabela3[[#This Row],[Valor]]*(Tabela3[[#This Row],[Idade]]*VLOOKUP(Tabela3[[#This Row],[Categoria]],Cadastros!A:B,2,0))),"")</f>
        <v/>
      </c>
    </row>
    <row r="371" spans="4:18" x14ac:dyDescent="0.25">
      <c r="D371" s="5"/>
      <c r="N371" s="6" t="str">
        <f>IFERROR(Tabela3[[#This Row],[Última revisão do bem]]+(VLOOKUP(Tabela3[[#This Row],[Categoria]],Cadastros!A:D,4,0)+365),"")</f>
        <v/>
      </c>
      <c r="O371" s="7" t="str">
        <f ca="1">IF(Tabela3[[#This Row],[Data da compra]]&gt;0,(TODAY()-Tabela3[[#This Row],[Data da compra]])/365,"")</f>
        <v/>
      </c>
      <c r="P371" s="7" t="str">
        <f>IFERROR(VLOOKUP(Tabela3[[#This Row],[Categoria]],Cadastros!A:C,3,0),"")</f>
        <v/>
      </c>
      <c r="Q371" s="9" t="str">
        <f ca="1">IFERROR(Tabela3[[#This Row],[Vida útil]]-Tabela3[[#This Row],[Idade]],"")</f>
        <v/>
      </c>
      <c r="R371" s="8" t="str">
        <f ca="1">IFERROR(Tabela3[[#This Row],[Valor]]-(Tabela3[[#This Row],[Valor]]*(Tabela3[[#This Row],[Idade]]*VLOOKUP(Tabela3[[#This Row],[Categoria]],Cadastros!A:B,2,0))),"")</f>
        <v/>
      </c>
    </row>
    <row r="372" spans="4:18" x14ac:dyDescent="0.25">
      <c r="D372" s="5"/>
      <c r="N372" s="6" t="str">
        <f>IFERROR(Tabela3[[#This Row],[Última revisão do bem]]+(VLOOKUP(Tabela3[[#This Row],[Categoria]],Cadastros!A:D,4,0)+365),"")</f>
        <v/>
      </c>
      <c r="O372" s="7" t="str">
        <f ca="1">IF(Tabela3[[#This Row],[Data da compra]]&gt;0,(TODAY()-Tabela3[[#This Row],[Data da compra]])/365,"")</f>
        <v/>
      </c>
      <c r="P372" s="7" t="str">
        <f>IFERROR(VLOOKUP(Tabela3[[#This Row],[Categoria]],Cadastros!A:C,3,0),"")</f>
        <v/>
      </c>
      <c r="Q372" s="9" t="str">
        <f ca="1">IFERROR(Tabela3[[#This Row],[Vida útil]]-Tabela3[[#This Row],[Idade]],"")</f>
        <v/>
      </c>
      <c r="R372" s="8" t="str">
        <f ca="1">IFERROR(Tabela3[[#This Row],[Valor]]-(Tabela3[[#This Row],[Valor]]*(Tabela3[[#This Row],[Idade]]*VLOOKUP(Tabela3[[#This Row],[Categoria]],Cadastros!A:B,2,0))),"")</f>
        <v/>
      </c>
    </row>
    <row r="373" spans="4:18" x14ac:dyDescent="0.25">
      <c r="D373" s="5"/>
      <c r="N373" s="6" t="str">
        <f>IFERROR(Tabela3[[#This Row],[Última revisão do bem]]+(VLOOKUP(Tabela3[[#This Row],[Categoria]],Cadastros!A:D,4,0)+365),"")</f>
        <v/>
      </c>
      <c r="O373" s="7" t="str">
        <f ca="1">IF(Tabela3[[#This Row],[Data da compra]]&gt;0,(TODAY()-Tabela3[[#This Row],[Data da compra]])/365,"")</f>
        <v/>
      </c>
      <c r="P373" s="7" t="str">
        <f>IFERROR(VLOOKUP(Tabela3[[#This Row],[Categoria]],Cadastros!A:C,3,0),"")</f>
        <v/>
      </c>
      <c r="Q373" s="9" t="str">
        <f ca="1">IFERROR(Tabela3[[#This Row],[Vida útil]]-Tabela3[[#This Row],[Idade]],"")</f>
        <v/>
      </c>
      <c r="R373" s="8" t="str">
        <f ca="1">IFERROR(Tabela3[[#This Row],[Valor]]-(Tabela3[[#This Row],[Valor]]*(Tabela3[[#This Row],[Idade]]*VLOOKUP(Tabela3[[#This Row],[Categoria]],Cadastros!A:B,2,0))),"")</f>
        <v/>
      </c>
    </row>
    <row r="374" spans="4:18" x14ac:dyDescent="0.25">
      <c r="D374" s="5"/>
      <c r="N374" s="6" t="str">
        <f>IFERROR(Tabela3[[#This Row],[Última revisão do bem]]+(VLOOKUP(Tabela3[[#This Row],[Categoria]],Cadastros!A:D,4,0)+365),"")</f>
        <v/>
      </c>
      <c r="O374" s="7" t="str">
        <f ca="1">IF(Tabela3[[#This Row],[Data da compra]]&gt;0,(TODAY()-Tabela3[[#This Row],[Data da compra]])/365,"")</f>
        <v/>
      </c>
      <c r="P374" s="7" t="str">
        <f>IFERROR(VLOOKUP(Tabela3[[#This Row],[Categoria]],Cadastros!A:C,3,0),"")</f>
        <v/>
      </c>
      <c r="Q374" s="9" t="str">
        <f ca="1">IFERROR(Tabela3[[#This Row],[Vida útil]]-Tabela3[[#This Row],[Idade]],"")</f>
        <v/>
      </c>
      <c r="R374" s="8" t="str">
        <f ca="1">IFERROR(Tabela3[[#This Row],[Valor]]-(Tabela3[[#This Row],[Valor]]*(Tabela3[[#This Row],[Idade]]*VLOOKUP(Tabela3[[#This Row],[Categoria]],Cadastros!A:B,2,0))),"")</f>
        <v/>
      </c>
    </row>
    <row r="375" spans="4:18" x14ac:dyDescent="0.25">
      <c r="D375" s="5"/>
      <c r="N375" s="6" t="str">
        <f>IFERROR(Tabela3[[#This Row],[Última revisão do bem]]+(VLOOKUP(Tabela3[[#This Row],[Categoria]],Cadastros!A:D,4,0)+365),"")</f>
        <v/>
      </c>
      <c r="O375" s="7" t="str">
        <f ca="1">IF(Tabela3[[#This Row],[Data da compra]]&gt;0,(TODAY()-Tabela3[[#This Row],[Data da compra]])/365,"")</f>
        <v/>
      </c>
      <c r="P375" s="7" t="str">
        <f>IFERROR(VLOOKUP(Tabela3[[#This Row],[Categoria]],Cadastros!A:C,3,0),"")</f>
        <v/>
      </c>
      <c r="Q375" s="9" t="str">
        <f ca="1">IFERROR(Tabela3[[#This Row],[Vida útil]]-Tabela3[[#This Row],[Idade]],"")</f>
        <v/>
      </c>
      <c r="R375" s="8" t="str">
        <f ca="1">IFERROR(Tabela3[[#This Row],[Valor]]-(Tabela3[[#This Row],[Valor]]*(Tabela3[[#This Row],[Idade]]*VLOOKUP(Tabela3[[#This Row],[Categoria]],Cadastros!A:B,2,0))),"")</f>
        <v/>
      </c>
    </row>
    <row r="376" spans="4:18" x14ac:dyDescent="0.25">
      <c r="D376" s="5"/>
      <c r="N376" s="6" t="str">
        <f>IFERROR(Tabela3[[#This Row],[Última revisão do bem]]+(VLOOKUP(Tabela3[[#This Row],[Categoria]],Cadastros!A:D,4,0)+365),"")</f>
        <v/>
      </c>
      <c r="O376" s="7" t="str">
        <f ca="1">IF(Tabela3[[#This Row],[Data da compra]]&gt;0,(TODAY()-Tabela3[[#This Row],[Data da compra]])/365,"")</f>
        <v/>
      </c>
      <c r="P376" s="7" t="str">
        <f>IFERROR(VLOOKUP(Tabela3[[#This Row],[Categoria]],Cadastros!A:C,3,0),"")</f>
        <v/>
      </c>
      <c r="Q376" s="9" t="str">
        <f ca="1">IFERROR(Tabela3[[#This Row],[Vida útil]]-Tabela3[[#This Row],[Idade]],"")</f>
        <v/>
      </c>
      <c r="R376" s="8" t="str">
        <f ca="1">IFERROR(Tabela3[[#This Row],[Valor]]-(Tabela3[[#This Row],[Valor]]*(Tabela3[[#This Row],[Idade]]*VLOOKUP(Tabela3[[#This Row],[Categoria]],Cadastros!A:B,2,0))),"")</f>
        <v/>
      </c>
    </row>
    <row r="377" spans="4:18" x14ac:dyDescent="0.25">
      <c r="D377" s="5"/>
      <c r="N377" s="6" t="str">
        <f>IFERROR(Tabela3[[#This Row],[Última revisão do bem]]+(VLOOKUP(Tabela3[[#This Row],[Categoria]],Cadastros!A:D,4,0)+365),"")</f>
        <v/>
      </c>
      <c r="O377" s="7" t="str">
        <f ca="1">IF(Tabela3[[#This Row],[Data da compra]]&gt;0,(TODAY()-Tabela3[[#This Row],[Data da compra]])/365,"")</f>
        <v/>
      </c>
      <c r="P377" s="7" t="str">
        <f>IFERROR(VLOOKUP(Tabela3[[#This Row],[Categoria]],Cadastros!A:C,3,0),"")</f>
        <v/>
      </c>
      <c r="Q377" s="9" t="str">
        <f ca="1">IFERROR(Tabela3[[#This Row],[Vida útil]]-Tabela3[[#This Row],[Idade]],"")</f>
        <v/>
      </c>
      <c r="R377" s="8" t="str">
        <f ca="1">IFERROR(Tabela3[[#This Row],[Valor]]-(Tabela3[[#This Row],[Valor]]*(Tabela3[[#This Row],[Idade]]*VLOOKUP(Tabela3[[#This Row],[Categoria]],Cadastros!A:B,2,0))),"")</f>
        <v/>
      </c>
    </row>
    <row r="378" spans="4:18" x14ac:dyDescent="0.25">
      <c r="D378" s="5"/>
      <c r="N378" s="6" t="str">
        <f>IFERROR(Tabela3[[#This Row],[Última revisão do bem]]+(VLOOKUP(Tabela3[[#This Row],[Categoria]],Cadastros!A:D,4,0)+365),"")</f>
        <v/>
      </c>
      <c r="O378" s="7" t="str">
        <f ca="1">IF(Tabela3[[#This Row],[Data da compra]]&gt;0,(TODAY()-Tabela3[[#This Row],[Data da compra]])/365,"")</f>
        <v/>
      </c>
      <c r="P378" s="7" t="str">
        <f>IFERROR(VLOOKUP(Tabela3[[#This Row],[Categoria]],Cadastros!A:C,3,0),"")</f>
        <v/>
      </c>
      <c r="Q378" s="9" t="str">
        <f ca="1">IFERROR(Tabela3[[#This Row],[Vida útil]]-Tabela3[[#This Row],[Idade]],"")</f>
        <v/>
      </c>
      <c r="R378" s="8" t="str">
        <f ca="1">IFERROR(Tabela3[[#This Row],[Valor]]-(Tabela3[[#This Row],[Valor]]*(Tabela3[[#This Row],[Idade]]*VLOOKUP(Tabela3[[#This Row],[Categoria]],Cadastros!A:B,2,0))),"")</f>
        <v/>
      </c>
    </row>
    <row r="379" spans="4:18" x14ac:dyDescent="0.25">
      <c r="D379" s="5"/>
      <c r="N379" s="6" t="str">
        <f>IFERROR(Tabela3[[#This Row],[Última revisão do bem]]+(VLOOKUP(Tabela3[[#This Row],[Categoria]],Cadastros!A:D,4,0)+365),"")</f>
        <v/>
      </c>
      <c r="O379" s="7" t="str">
        <f ca="1">IF(Tabela3[[#This Row],[Data da compra]]&gt;0,(TODAY()-Tabela3[[#This Row],[Data da compra]])/365,"")</f>
        <v/>
      </c>
      <c r="P379" s="7" t="str">
        <f>IFERROR(VLOOKUP(Tabela3[[#This Row],[Categoria]],Cadastros!A:C,3,0),"")</f>
        <v/>
      </c>
      <c r="Q379" s="9" t="str">
        <f ca="1">IFERROR(Tabela3[[#This Row],[Vida útil]]-Tabela3[[#This Row],[Idade]],"")</f>
        <v/>
      </c>
      <c r="R379" s="8" t="str">
        <f ca="1">IFERROR(Tabela3[[#This Row],[Valor]]-(Tabela3[[#This Row],[Valor]]*(Tabela3[[#This Row],[Idade]]*VLOOKUP(Tabela3[[#This Row],[Categoria]],Cadastros!A:B,2,0))),"")</f>
        <v/>
      </c>
    </row>
    <row r="380" spans="4:18" x14ac:dyDescent="0.25">
      <c r="D380" s="5"/>
      <c r="N380" s="6" t="str">
        <f>IFERROR(Tabela3[[#This Row],[Última revisão do bem]]+(VLOOKUP(Tabela3[[#This Row],[Categoria]],Cadastros!A:D,4,0)+365),"")</f>
        <v/>
      </c>
      <c r="O380" s="7" t="str">
        <f ca="1">IF(Tabela3[[#This Row],[Data da compra]]&gt;0,(TODAY()-Tabela3[[#This Row],[Data da compra]])/365,"")</f>
        <v/>
      </c>
      <c r="P380" s="7" t="str">
        <f>IFERROR(VLOOKUP(Tabela3[[#This Row],[Categoria]],Cadastros!A:C,3,0),"")</f>
        <v/>
      </c>
      <c r="Q380" s="9" t="str">
        <f ca="1">IFERROR(Tabela3[[#This Row],[Vida útil]]-Tabela3[[#This Row],[Idade]],"")</f>
        <v/>
      </c>
      <c r="R380" s="8" t="str">
        <f ca="1">IFERROR(Tabela3[[#This Row],[Valor]]-(Tabela3[[#This Row],[Valor]]*(Tabela3[[#This Row],[Idade]]*VLOOKUP(Tabela3[[#This Row],[Categoria]],Cadastros!A:B,2,0))),"")</f>
        <v/>
      </c>
    </row>
    <row r="381" spans="4:18" x14ac:dyDescent="0.25">
      <c r="D381" s="5"/>
      <c r="N381" s="6" t="str">
        <f>IFERROR(Tabela3[[#This Row],[Última revisão do bem]]+(VLOOKUP(Tabela3[[#This Row],[Categoria]],Cadastros!A:D,4,0)+365),"")</f>
        <v/>
      </c>
      <c r="O381" s="7" t="str">
        <f ca="1">IF(Tabela3[[#This Row],[Data da compra]]&gt;0,(TODAY()-Tabela3[[#This Row],[Data da compra]])/365,"")</f>
        <v/>
      </c>
      <c r="P381" s="7" t="str">
        <f>IFERROR(VLOOKUP(Tabela3[[#This Row],[Categoria]],Cadastros!A:C,3,0),"")</f>
        <v/>
      </c>
      <c r="Q381" s="9" t="str">
        <f ca="1">IFERROR(Tabela3[[#This Row],[Vida útil]]-Tabela3[[#This Row],[Idade]],"")</f>
        <v/>
      </c>
      <c r="R381" s="8" t="str">
        <f ca="1">IFERROR(Tabela3[[#This Row],[Valor]]-(Tabela3[[#This Row],[Valor]]*(Tabela3[[#This Row],[Idade]]*VLOOKUP(Tabela3[[#This Row],[Categoria]],Cadastros!A:B,2,0))),"")</f>
        <v/>
      </c>
    </row>
    <row r="382" spans="4:18" x14ac:dyDescent="0.25">
      <c r="D382" s="5"/>
      <c r="N382" s="6" t="str">
        <f>IFERROR(Tabela3[[#This Row],[Última revisão do bem]]+(VLOOKUP(Tabela3[[#This Row],[Categoria]],Cadastros!A:D,4,0)+365),"")</f>
        <v/>
      </c>
      <c r="O382" s="7" t="str">
        <f ca="1">IF(Tabela3[[#This Row],[Data da compra]]&gt;0,(TODAY()-Tabela3[[#This Row],[Data da compra]])/365,"")</f>
        <v/>
      </c>
      <c r="P382" s="7" t="str">
        <f>IFERROR(VLOOKUP(Tabela3[[#This Row],[Categoria]],Cadastros!A:C,3,0),"")</f>
        <v/>
      </c>
      <c r="Q382" s="9" t="str">
        <f ca="1">IFERROR(Tabela3[[#This Row],[Vida útil]]-Tabela3[[#This Row],[Idade]],"")</f>
        <v/>
      </c>
      <c r="R382" s="8" t="str">
        <f ca="1">IFERROR(Tabela3[[#This Row],[Valor]]-(Tabela3[[#This Row],[Valor]]*(Tabela3[[#This Row],[Idade]]*VLOOKUP(Tabela3[[#This Row],[Categoria]],Cadastros!A:B,2,0))),"")</f>
        <v/>
      </c>
    </row>
    <row r="383" spans="4:18" x14ac:dyDescent="0.25">
      <c r="D383" s="5"/>
      <c r="N383" s="6" t="str">
        <f>IFERROR(Tabela3[[#This Row],[Última revisão do bem]]+(VLOOKUP(Tabela3[[#This Row],[Categoria]],Cadastros!A:D,4,0)+365),"")</f>
        <v/>
      </c>
      <c r="O383" s="7" t="str">
        <f ca="1">IF(Tabela3[[#This Row],[Data da compra]]&gt;0,(TODAY()-Tabela3[[#This Row],[Data da compra]])/365,"")</f>
        <v/>
      </c>
      <c r="P383" s="7" t="str">
        <f>IFERROR(VLOOKUP(Tabela3[[#This Row],[Categoria]],Cadastros!A:C,3,0),"")</f>
        <v/>
      </c>
      <c r="Q383" s="9" t="str">
        <f ca="1">IFERROR(Tabela3[[#This Row],[Vida útil]]-Tabela3[[#This Row],[Idade]],"")</f>
        <v/>
      </c>
      <c r="R383" s="8" t="str">
        <f ca="1">IFERROR(Tabela3[[#This Row],[Valor]]-(Tabela3[[#This Row],[Valor]]*(Tabela3[[#This Row],[Idade]]*VLOOKUP(Tabela3[[#This Row],[Categoria]],Cadastros!A:B,2,0))),"")</f>
        <v/>
      </c>
    </row>
    <row r="384" spans="4:18" x14ac:dyDescent="0.25">
      <c r="D384" s="22"/>
      <c r="N384" s="6" t="str">
        <f>IFERROR(Tabela3[[#This Row],[Última revisão do bem]]+(VLOOKUP(Tabela3[[#This Row],[Categoria]],Cadastros!A:D,4,0)+365),"")</f>
        <v/>
      </c>
      <c r="O384" s="7" t="str">
        <f ca="1">IF(Tabela3[[#This Row],[Data da compra]]&gt;0,(TODAY()-Tabela3[[#This Row],[Data da compra]])/365,"")</f>
        <v/>
      </c>
      <c r="P384" s="7" t="str">
        <f>IFERROR(VLOOKUP(Tabela3[[#This Row],[Categoria]],Cadastros!A:C,3,0),"")</f>
        <v/>
      </c>
      <c r="Q384" s="9" t="str">
        <f ca="1">IFERROR(Tabela3[[#This Row],[Vida útil]]-Tabela3[[#This Row],[Idade]],"")</f>
        <v/>
      </c>
      <c r="R384" s="23" t="str">
        <f ca="1">IFERROR(Tabela3[[#This Row],[Valor]]-(Tabela3[[#This Row],[Valor]]*(Tabela3[[#This Row],[Idade]]*VLOOKUP(Tabela3[[#This Row],[Categoria]],Cadastros!A:B,2,0))),"")</f>
        <v/>
      </c>
    </row>
    <row r="385" spans="4:18" x14ac:dyDescent="0.25">
      <c r="D385" s="5"/>
      <c r="N385" s="6" t="str">
        <f>IFERROR(Tabela3[[#This Row],[Última revisão do bem]]+(VLOOKUP(Tabela3[[#This Row],[Categoria]],Cadastros!A:D,4,0)+365),"")</f>
        <v/>
      </c>
      <c r="O385" s="7" t="str">
        <f ca="1">IF(Tabela3[[#This Row],[Data da compra]]&gt;0,(TODAY()-Tabela3[[#This Row],[Data da compra]])/365,"")</f>
        <v/>
      </c>
      <c r="P385" s="7" t="str">
        <f>IFERROR(VLOOKUP(Tabela3[[#This Row],[Categoria]],Cadastros!A:C,3,0),"")</f>
        <v/>
      </c>
      <c r="Q385" s="9" t="str">
        <f ca="1">IFERROR(Tabela3[[#This Row],[Vida útil]]-Tabela3[[#This Row],[Idade]],"")</f>
        <v/>
      </c>
      <c r="R385" s="8" t="str">
        <f ca="1">IFERROR(Tabela3[[#This Row],[Valor]]-(Tabela3[[#This Row],[Valor]]*(Tabela3[[#This Row],[Idade]]*VLOOKUP(Tabela3[[#This Row],[Categoria]],Cadastros!A:B,2,0))),"")</f>
        <v/>
      </c>
    </row>
    <row r="386" spans="4:18" x14ac:dyDescent="0.25">
      <c r="D386" s="5"/>
      <c r="N386" s="6" t="str">
        <f>IFERROR(Tabela3[[#This Row],[Última revisão do bem]]+(VLOOKUP(Tabela3[[#This Row],[Categoria]],Cadastros!A:D,4,0)+365),"")</f>
        <v/>
      </c>
      <c r="O386" s="7" t="str">
        <f ca="1">IF(Tabela3[[#This Row],[Data da compra]]&gt;0,(TODAY()-Tabela3[[#This Row],[Data da compra]])/365,"")</f>
        <v/>
      </c>
      <c r="P386" s="7" t="str">
        <f>IFERROR(VLOOKUP(Tabela3[[#This Row],[Categoria]],Cadastros!A:C,3,0),"")</f>
        <v/>
      </c>
      <c r="Q386" s="9" t="str">
        <f ca="1">IFERROR(Tabela3[[#This Row],[Vida útil]]-Tabela3[[#This Row],[Idade]],"")</f>
        <v/>
      </c>
      <c r="R386" s="8" t="str">
        <f ca="1">IFERROR(Tabela3[[#This Row],[Valor]]-(Tabela3[[#This Row],[Valor]]*(Tabela3[[#This Row],[Idade]]*VLOOKUP(Tabela3[[#This Row],[Categoria]],Cadastros!A:B,2,0))),"")</f>
        <v/>
      </c>
    </row>
    <row r="387" spans="4:18" x14ac:dyDescent="0.25">
      <c r="D387" s="5"/>
      <c r="N387" s="6" t="str">
        <f>IFERROR(Tabela3[[#This Row],[Última revisão do bem]]+(VLOOKUP(Tabela3[[#This Row],[Categoria]],Cadastros!A:D,4,0)+365),"")</f>
        <v/>
      </c>
      <c r="O387" s="7" t="str">
        <f ca="1">IF(Tabela3[[#This Row],[Data da compra]]&gt;0,(TODAY()-Tabela3[[#This Row],[Data da compra]])/365,"")</f>
        <v/>
      </c>
      <c r="P387" s="7" t="str">
        <f>IFERROR(VLOOKUP(Tabela3[[#This Row],[Categoria]],Cadastros!A:C,3,0),"")</f>
        <v/>
      </c>
      <c r="Q387" s="9" t="str">
        <f ca="1">IFERROR(Tabela3[[#This Row],[Vida útil]]-Tabela3[[#This Row],[Idade]],"")</f>
        <v/>
      </c>
      <c r="R387" s="8" t="str">
        <f ca="1">IFERROR(Tabela3[[#This Row],[Valor]]-(Tabela3[[#This Row],[Valor]]*(Tabela3[[#This Row],[Idade]]*VLOOKUP(Tabela3[[#This Row],[Categoria]],Cadastros!A:B,2,0))),"")</f>
        <v/>
      </c>
    </row>
    <row r="388" spans="4:18" x14ac:dyDescent="0.25">
      <c r="D388" s="5"/>
      <c r="N388" s="6" t="str">
        <f>IFERROR(Tabela3[[#This Row],[Última revisão do bem]]+(VLOOKUP(Tabela3[[#This Row],[Categoria]],Cadastros!A:D,4,0)+365),"")</f>
        <v/>
      </c>
      <c r="O388" s="7" t="str">
        <f ca="1">IF(Tabela3[[#This Row],[Data da compra]]&gt;0,(TODAY()-Tabela3[[#This Row],[Data da compra]])/365,"")</f>
        <v/>
      </c>
      <c r="P388" s="7" t="str">
        <f>IFERROR(VLOOKUP(Tabela3[[#This Row],[Categoria]],Cadastros!A:C,3,0),"")</f>
        <v/>
      </c>
      <c r="Q388" s="9" t="str">
        <f ca="1">IFERROR(Tabela3[[#This Row],[Vida útil]]-Tabela3[[#This Row],[Idade]],"")</f>
        <v/>
      </c>
      <c r="R388" s="8" t="str">
        <f ca="1">IFERROR(Tabela3[[#This Row],[Valor]]-(Tabela3[[#This Row],[Valor]]*(Tabela3[[#This Row],[Idade]]*VLOOKUP(Tabela3[[#This Row],[Categoria]],Cadastros!A:B,2,0))),"")</f>
        <v/>
      </c>
    </row>
    <row r="389" spans="4:18" x14ac:dyDescent="0.25">
      <c r="D389" s="5"/>
      <c r="N389" s="6" t="str">
        <f>IFERROR(Tabela3[[#This Row],[Última revisão do bem]]+(VLOOKUP(Tabela3[[#This Row],[Categoria]],Cadastros!A:D,4,0)+365),"")</f>
        <v/>
      </c>
      <c r="O389" s="7" t="str">
        <f ca="1">IF(Tabela3[[#This Row],[Data da compra]]&gt;0,(TODAY()-Tabela3[[#This Row],[Data da compra]])/365,"")</f>
        <v/>
      </c>
      <c r="P389" s="7" t="str">
        <f>IFERROR(VLOOKUP(Tabela3[[#This Row],[Categoria]],Cadastros!A:C,3,0),"")</f>
        <v/>
      </c>
      <c r="Q389" s="9" t="str">
        <f ca="1">IFERROR(Tabela3[[#This Row],[Vida útil]]-Tabela3[[#This Row],[Idade]],"")</f>
        <v/>
      </c>
      <c r="R389" s="8" t="str">
        <f ca="1">IFERROR(Tabela3[[#This Row],[Valor]]-(Tabela3[[#This Row],[Valor]]*(Tabela3[[#This Row],[Idade]]*VLOOKUP(Tabela3[[#This Row],[Categoria]],Cadastros!A:B,2,0))),"")</f>
        <v/>
      </c>
    </row>
    <row r="390" spans="4:18" x14ac:dyDescent="0.25">
      <c r="D390" s="5"/>
      <c r="N390" s="6" t="str">
        <f>IFERROR(Tabela3[[#This Row],[Última revisão do bem]]+(VLOOKUP(Tabela3[[#This Row],[Categoria]],Cadastros!A:D,4,0)+365),"")</f>
        <v/>
      </c>
      <c r="O390" s="7" t="str">
        <f ca="1">IF(Tabela3[[#This Row],[Data da compra]]&gt;0,(TODAY()-Tabela3[[#This Row],[Data da compra]])/365,"")</f>
        <v/>
      </c>
      <c r="P390" s="7" t="str">
        <f>IFERROR(VLOOKUP(Tabela3[[#This Row],[Categoria]],Cadastros!A:C,3,0),"")</f>
        <v/>
      </c>
      <c r="Q390" s="9" t="str">
        <f ca="1">IFERROR(Tabela3[[#This Row],[Vida útil]]-Tabela3[[#This Row],[Idade]],"")</f>
        <v/>
      </c>
      <c r="R390" s="8" t="str">
        <f ca="1">IFERROR(Tabela3[[#This Row],[Valor]]-(Tabela3[[#This Row],[Valor]]*(Tabela3[[#This Row],[Idade]]*VLOOKUP(Tabela3[[#This Row],[Categoria]],Cadastros!A:B,2,0))),"")</f>
        <v/>
      </c>
    </row>
    <row r="391" spans="4:18" x14ac:dyDescent="0.25">
      <c r="D391" s="5"/>
      <c r="N391" s="6" t="str">
        <f>IFERROR(Tabela3[[#This Row],[Última revisão do bem]]+(VLOOKUP(Tabela3[[#This Row],[Categoria]],Cadastros!A:D,4,0)+365),"")</f>
        <v/>
      </c>
      <c r="O391" s="7" t="str">
        <f ca="1">IF(Tabela3[[#This Row],[Data da compra]]&gt;0,(TODAY()-Tabela3[[#This Row],[Data da compra]])/365,"")</f>
        <v/>
      </c>
      <c r="P391" s="7" t="str">
        <f>IFERROR(VLOOKUP(Tabela3[[#This Row],[Categoria]],Cadastros!A:C,3,0),"")</f>
        <v/>
      </c>
      <c r="Q391" s="9" t="str">
        <f ca="1">IFERROR(Tabela3[[#This Row],[Vida útil]]-Tabela3[[#This Row],[Idade]],"")</f>
        <v/>
      </c>
      <c r="R391" s="8" t="str">
        <f ca="1">IFERROR(Tabela3[[#This Row],[Valor]]-(Tabela3[[#This Row],[Valor]]*(Tabela3[[#This Row],[Idade]]*VLOOKUP(Tabela3[[#This Row],[Categoria]],Cadastros!A:B,2,0))),"")</f>
        <v/>
      </c>
    </row>
    <row r="392" spans="4:18" x14ac:dyDescent="0.25">
      <c r="D392" s="5"/>
      <c r="N392" s="6" t="str">
        <f>IFERROR(Tabela3[[#This Row],[Última revisão do bem]]+(VLOOKUP(Tabela3[[#This Row],[Categoria]],Cadastros!A:D,4,0)+365),"")</f>
        <v/>
      </c>
      <c r="O392" s="7" t="str">
        <f ca="1">IF(Tabela3[[#This Row],[Data da compra]]&gt;0,(TODAY()-Tabela3[[#This Row],[Data da compra]])/365,"")</f>
        <v/>
      </c>
      <c r="P392" s="7" t="str">
        <f>IFERROR(VLOOKUP(Tabela3[[#This Row],[Categoria]],Cadastros!A:C,3,0),"")</f>
        <v/>
      </c>
      <c r="Q392" s="9" t="str">
        <f ca="1">IFERROR(Tabela3[[#This Row],[Vida útil]]-Tabela3[[#This Row],[Idade]],"")</f>
        <v/>
      </c>
      <c r="R392" s="8" t="str">
        <f ca="1">IFERROR(Tabela3[[#This Row],[Valor]]-(Tabela3[[#This Row],[Valor]]*(Tabela3[[#This Row],[Idade]]*VLOOKUP(Tabela3[[#This Row],[Categoria]],Cadastros!A:B,2,0))),"")</f>
        <v/>
      </c>
    </row>
    <row r="393" spans="4:18" x14ac:dyDescent="0.25">
      <c r="D393" s="5"/>
      <c r="N393" s="6" t="str">
        <f>IFERROR(Tabela3[[#This Row],[Última revisão do bem]]+(VLOOKUP(Tabela3[[#This Row],[Categoria]],Cadastros!A:D,4,0)+365),"")</f>
        <v/>
      </c>
      <c r="O393" s="7" t="str">
        <f ca="1">IF(Tabela3[[#This Row],[Data da compra]]&gt;0,(TODAY()-Tabela3[[#This Row],[Data da compra]])/365,"")</f>
        <v/>
      </c>
      <c r="P393" s="7" t="str">
        <f>IFERROR(VLOOKUP(Tabela3[[#This Row],[Categoria]],Cadastros!A:C,3,0),"")</f>
        <v/>
      </c>
      <c r="Q393" s="9" t="str">
        <f ca="1">IFERROR(Tabela3[[#This Row],[Vida útil]]-Tabela3[[#This Row],[Idade]],"")</f>
        <v/>
      </c>
      <c r="R393" s="8" t="str">
        <f ca="1">IFERROR(Tabela3[[#This Row],[Valor]]-(Tabela3[[#This Row],[Valor]]*(Tabela3[[#This Row],[Idade]]*VLOOKUP(Tabela3[[#This Row],[Categoria]],Cadastros!A:B,2,0))),"")</f>
        <v/>
      </c>
    </row>
    <row r="394" spans="4:18" x14ac:dyDescent="0.25">
      <c r="D394" s="5"/>
      <c r="N394" s="6" t="str">
        <f>IFERROR(Tabela3[[#This Row],[Última revisão do bem]]+(VLOOKUP(Tabela3[[#This Row],[Categoria]],Cadastros!A:D,4,0)+365),"")</f>
        <v/>
      </c>
      <c r="O394" s="7" t="str">
        <f ca="1">IF(Tabela3[[#This Row],[Data da compra]]&gt;0,(TODAY()-Tabela3[[#This Row],[Data da compra]])/365,"")</f>
        <v/>
      </c>
      <c r="P394" s="7" t="str">
        <f>IFERROR(VLOOKUP(Tabela3[[#This Row],[Categoria]],Cadastros!A:C,3,0),"")</f>
        <v/>
      </c>
      <c r="Q394" s="9" t="str">
        <f ca="1">IFERROR(Tabela3[[#This Row],[Vida útil]]-Tabela3[[#This Row],[Idade]],"")</f>
        <v/>
      </c>
      <c r="R394" s="8" t="str">
        <f ca="1">IFERROR(Tabela3[[#This Row],[Valor]]-(Tabela3[[#This Row],[Valor]]*(Tabela3[[#This Row],[Idade]]*VLOOKUP(Tabela3[[#This Row],[Categoria]],Cadastros!A:B,2,0))),"")</f>
        <v/>
      </c>
    </row>
    <row r="395" spans="4:18" x14ac:dyDescent="0.25">
      <c r="D395" s="5"/>
      <c r="N395" s="6" t="str">
        <f>IFERROR(Tabela3[[#This Row],[Última revisão do bem]]+(VLOOKUP(Tabela3[[#This Row],[Categoria]],Cadastros!A:D,4,0)+365),"")</f>
        <v/>
      </c>
      <c r="O395" s="7" t="str">
        <f ca="1">IF(Tabela3[[#This Row],[Data da compra]]&gt;0,(TODAY()-Tabela3[[#This Row],[Data da compra]])/365,"")</f>
        <v/>
      </c>
      <c r="P395" s="7" t="str">
        <f>IFERROR(VLOOKUP(Tabela3[[#This Row],[Categoria]],Cadastros!A:C,3,0),"")</f>
        <v/>
      </c>
      <c r="Q395" s="9" t="str">
        <f ca="1">IFERROR(Tabela3[[#This Row],[Vida útil]]-Tabela3[[#This Row],[Idade]],"")</f>
        <v/>
      </c>
      <c r="R395" s="8" t="str">
        <f ca="1">IFERROR(Tabela3[[#This Row],[Valor]]-(Tabela3[[#This Row],[Valor]]*(Tabela3[[#This Row],[Idade]]*VLOOKUP(Tabela3[[#This Row],[Categoria]],Cadastros!A:B,2,0))),"")</f>
        <v/>
      </c>
    </row>
    <row r="396" spans="4:18" x14ac:dyDescent="0.25">
      <c r="D396" s="5"/>
      <c r="N396" s="6" t="str">
        <f>IFERROR(Tabela3[[#This Row],[Última revisão do bem]]+(VLOOKUP(Tabela3[[#This Row],[Categoria]],Cadastros!A:D,4,0)+365),"")</f>
        <v/>
      </c>
      <c r="O396" s="7" t="str">
        <f ca="1">IF(Tabela3[[#This Row],[Data da compra]]&gt;0,(TODAY()-Tabela3[[#This Row],[Data da compra]])/365,"")</f>
        <v/>
      </c>
      <c r="P396" s="7" t="str">
        <f>IFERROR(VLOOKUP(Tabela3[[#This Row],[Categoria]],Cadastros!A:C,3,0),"")</f>
        <v/>
      </c>
      <c r="Q396" s="9" t="str">
        <f ca="1">IFERROR(Tabela3[[#This Row],[Vida útil]]-Tabela3[[#This Row],[Idade]],"")</f>
        <v/>
      </c>
      <c r="R396" s="8" t="str">
        <f ca="1">IFERROR(Tabela3[[#This Row],[Valor]]-(Tabela3[[#This Row],[Valor]]*(Tabela3[[#This Row],[Idade]]*VLOOKUP(Tabela3[[#This Row],[Categoria]],Cadastros!A:B,2,0))),"")</f>
        <v/>
      </c>
    </row>
    <row r="397" spans="4:18" x14ac:dyDescent="0.25">
      <c r="D397" s="5"/>
      <c r="N397" s="6" t="str">
        <f>IFERROR(Tabela3[[#This Row],[Última revisão do bem]]+(VLOOKUP(Tabela3[[#This Row],[Categoria]],Cadastros!A:D,4,0)+365),"")</f>
        <v/>
      </c>
      <c r="O397" s="7" t="str">
        <f ca="1">IF(Tabela3[[#This Row],[Data da compra]]&gt;0,(TODAY()-Tabela3[[#This Row],[Data da compra]])/365,"")</f>
        <v/>
      </c>
      <c r="P397" s="7" t="str">
        <f>IFERROR(VLOOKUP(Tabela3[[#This Row],[Categoria]],Cadastros!A:C,3,0),"")</f>
        <v/>
      </c>
      <c r="Q397" s="9" t="str">
        <f ca="1">IFERROR(Tabela3[[#This Row],[Vida útil]]-Tabela3[[#This Row],[Idade]],"")</f>
        <v/>
      </c>
      <c r="R397" s="8" t="str">
        <f ca="1">IFERROR(Tabela3[[#This Row],[Valor]]-(Tabela3[[#This Row],[Valor]]*(Tabela3[[#This Row],[Idade]]*VLOOKUP(Tabela3[[#This Row],[Categoria]],Cadastros!A:B,2,0))),"")</f>
        <v/>
      </c>
    </row>
    <row r="398" spans="4:18" x14ac:dyDescent="0.25">
      <c r="D398" s="5"/>
      <c r="N398" s="6" t="str">
        <f>IFERROR(Tabela3[[#This Row],[Última revisão do bem]]+(VLOOKUP(Tabela3[[#This Row],[Categoria]],Cadastros!A:D,4,0)+365),"")</f>
        <v/>
      </c>
      <c r="O398" s="7" t="str">
        <f ca="1">IF(Tabela3[[#This Row],[Data da compra]]&gt;0,(TODAY()-Tabela3[[#This Row],[Data da compra]])/365,"")</f>
        <v/>
      </c>
      <c r="P398" s="7" t="str">
        <f>IFERROR(VLOOKUP(Tabela3[[#This Row],[Categoria]],Cadastros!A:C,3,0),"")</f>
        <v/>
      </c>
      <c r="Q398" s="9" t="str">
        <f ca="1">IFERROR(Tabela3[[#This Row],[Vida útil]]-Tabela3[[#This Row],[Idade]],"")</f>
        <v/>
      </c>
      <c r="R398" s="8" t="str">
        <f ca="1">IFERROR(Tabela3[[#This Row],[Valor]]-(Tabela3[[#This Row],[Valor]]*(Tabela3[[#This Row],[Idade]]*VLOOKUP(Tabela3[[#This Row],[Categoria]],Cadastros!A:B,2,0))),"")</f>
        <v/>
      </c>
    </row>
    <row r="399" spans="4:18" x14ac:dyDescent="0.25">
      <c r="D399" s="5"/>
      <c r="N399" s="6" t="str">
        <f>IFERROR(Tabela3[[#This Row],[Última revisão do bem]]+(VLOOKUP(Tabela3[[#This Row],[Categoria]],Cadastros!A:D,4,0)+365),"")</f>
        <v/>
      </c>
      <c r="O399" s="7" t="str">
        <f ca="1">IF(Tabela3[[#This Row],[Data da compra]]&gt;0,(TODAY()-Tabela3[[#This Row],[Data da compra]])/365,"")</f>
        <v/>
      </c>
      <c r="P399" s="7" t="str">
        <f>IFERROR(VLOOKUP(Tabela3[[#This Row],[Categoria]],Cadastros!A:C,3,0),"")</f>
        <v/>
      </c>
      <c r="Q399" s="9" t="str">
        <f ca="1">IFERROR(Tabela3[[#This Row],[Vida útil]]-Tabela3[[#This Row],[Idade]],"")</f>
        <v/>
      </c>
      <c r="R399" s="8" t="str">
        <f ca="1">IFERROR(Tabela3[[#This Row],[Valor]]-(Tabela3[[#This Row],[Valor]]*(Tabela3[[#This Row],[Idade]]*VLOOKUP(Tabela3[[#This Row],[Categoria]],Cadastros!A:B,2,0))),"")</f>
        <v/>
      </c>
    </row>
    <row r="400" spans="4:18" x14ac:dyDescent="0.25">
      <c r="D400" s="5"/>
      <c r="N400" s="6" t="str">
        <f>IFERROR(Tabela3[[#This Row],[Última revisão do bem]]+(VLOOKUP(Tabela3[[#This Row],[Categoria]],Cadastros!A:D,4,0)+365),"")</f>
        <v/>
      </c>
      <c r="O400" s="7" t="str">
        <f ca="1">IF(Tabela3[[#This Row],[Data da compra]]&gt;0,(TODAY()-Tabela3[[#This Row],[Data da compra]])/365,"")</f>
        <v/>
      </c>
      <c r="P400" s="7" t="str">
        <f>IFERROR(VLOOKUP(Tabela3[[#This Row],[Categoria]],Cadastros!A:C,3,0),"")</f>
        <v/>
      </c>
      <c r="Q400" s="9" t="str">
        <f ca="1">IFERROR(Tabela3[[#This Row],[Vida útil]]-Tabela3[[#This Row],[Idade]],"")</f>
        <v/>
      </c>
      <c r="R400" s="8" t="str">
        <f ca="1">IFERROR(Tabela3[[#This Row],[Valor]]-(Tabela3[[#This Row],[Valor]]*(Tabela3[[#This Row],[Idade]]*VLOOKUP(Tabela3[[#This Row],[Categoria]],Cadastros!A:B,2,0))),"")</f>
        <v/>
      </c>
    </row>
    <row r="401" spans="4:18" x14ac:dyDescent="0.25">
      <c r="D401" s="5"/>
      <c r="N401" s="6" t="str">
        <f>IFERROR(Tabela3[[#This Row],[Última revisão do bem]]+(VLOOKUP(Tabela3[[#This Row],[Categoria]],Cadastros!A:D,4,0)+365),"")</f>
        <v/>
      </c>
      <c r="O401" s="7" t="str">
        <f ca="1">IF(Tabela3[[#This Row],[Data da compra]]&gt;0,(TODAY()-Tabela3[[#This Row],[Data da compra]])/365,"")</f>
        <v/>
      </c>
      <c r="P401" s="7" t="str">
        <f>IFERROR(VLOOKUP(Tabela3[[#This Row],[Categoria]],Cadastros!A:C,3,0),"")</f>
        <v/>
      </c>
      <c r="Q401" s="9" t="str">
        <f ca="1">IFERROR(Tabela3[[#This Row],[Vida útil]]-Tabela3[[#This Row],[Idade]],"")</f>
        <v/>
      </c>
      <c r="R401" s="8" t="str">
        <f ca="1">IFERROR(Tabela3[[#This Row],[Valor]]-(Tabela3[[#This Row],[Valor]]*(Tabela3[[#This Row],[Idade]]*VLOOKUP(Tabela3[[#This Row],[Categoria]],Cadastros!A:B,2,0))),"")</f>
        <v/>
      </c>
    </row>
    <row r="402" spans="4:18" x14ac:dyDescent="0.25">
      <c r="D402" s="22"/>
      <c r="N402" s="6" t="str">
        <f>IFERROR(Tabela3[[#This Row],[Última revisão do bem]]+(VLOOKUP(Tabela3[[#This Row],[Categoria]],Cadastros!A:D,4,0)+365),"")</f>
        <v/>
      </c>
      <c r="O402" s="7" t="str">
        <f ca="1">IF(Tabela3[[#This Row],[Data da compra]]&gt;0,(TODAY()-Tabela3[[#This Row],[Data da compra]])/365,"")</f>
        <v/>
      </c>
      <c r="P402" s="7" t="str">
        <f>IFERROR(VLOOKUP(Tabela3[[#This Row],[Categoria]],Cadastros!A:C,3,0),"")</f>
        <v/>
      </c>
      <c r="Q402" s="9" t="str">
        <f ca="1">IFERROR(Tabela3[[#This Row],[Vida útil]]-Tabela3[[#This Row],[Idade]],"")</f>
        <v/>
      </c>
      <c r="R402" s="23" t="str">
        <f ca="1">IFERROR(Tabela3[[#This Row],[Valor]]-(Tabela3[[#This Row],[Valor]]*(Tabela3[[#This Row],[Idade]]*VLOOKUP(Tabela3[[#This Row],[Categoria]],Cadastros!A:B,2,0))),"")</f>
        <v/>
      </c>
    </row>
    <row r="403" spans="4:18" x14ac:dyDescent="0.25">
      <c r="D403" s="5"/>
      <c r="N403" s="6" t="str">
        <f>IFERROR(Tabela3[[#This Row],[Última revisão do bem]]+(VLOOKUP(Tabela3[[#This Row],[Categoria]],Cadastros!A:D,4,0)+365),"")</f>
        <v/>
      </c>
      <c r="O403" s="7" t="str">
        <f ca="1">IF(Tabela3[[#This Row],[Data da compra]]&gt;0,(TODAY()-Tabela3[[#This Row],[Data da compra]])/365,"")</f>
        <v/>
      </c>
      <c r="P403" s="7" t="str">
        <f>IFERROR(VLOOKUP(Tabela3[[#This Row],[Categoria]],Cadastros!A:C,3,0),"")</f>
        <v/>
      </c>
      <c r="Q403" s="9" t="str">
        <f ca="1">IFERROR(Tabela3[[#This Row],[Vida útil]]-Tabela3[[#This Row],[Idade]],"")</f>
        <v/>
      </c>
      <c r="R403" s="8" t="str">
        <f ca="1">IFERROR(Tabela3[[#This Row],[Valor]]-(Tabela3[[#This Row],[Valor]]*(Tabela3[[#This Row],[Idade]]*VLOOKUP(Tabela3[[#This Row],[Categoria]],Cadastros!A:B,2,0))),"")</f>
        <v/>
      </c>
    </row>
    <row r="404" spans="4:18" x14ac:dyDescent="0.25">
      <c r="D404" s="5"/>
      <c r="N404" s="6" t="str">
        <f>IFERROR(Tabela3[[#This Row],[Última revisão do bem]]+(VLOOKUP(Tabela3[[#This Row],[Categoria]],Cadastros!A:D,4,0)+365),"")</f>
        <v/>
      </c>
      <c r="O404" s="7" t="str">
        <f ca="1">IF(Tabela3[[#This Row],[Data da compra]]&gt;0,(TODAY()-Tabela3[[#This Row],[Data da compra]])/365,"")</f>
        <v/>
      </c>
      <c r="P404" s="7" t="str">
        <f>IFERROR(VLOOKUP(Tabela3[[#This Row],[Categoria]],Cadastros!A:C,3,0),"")</f>
        <v/>
      </c>
      <c r="Q404" s="9" t="str">
        <f ca="1">IFERROR(Tabela3[[#This Row],[Vida útil]]-Tabela3[[#This Row],[Idade]],"")</f>
        <v/>
      </c>
      <c r="R404" s="8" t="str">
        <f ca="1">IFERROR(Tabela3[[#This Row],[Valor]]-(Tabela3[[#This Row],[Valor]]*(Tabela3[[#This Row],[Idade]]*VLOOKUP(Tabela3[[#This Row],[Categoria]],Cadastros!A:B,2,0))),"")</f>
        <v/>
      </c>
    </row>
    <row r="405" spans="4:18" x14ac:dyDescent="0.25">
      <c r="D405" s="5"/>
      <c r="N405" s="6" t="str">
        <f>IFERROR(Tabela3[[#This Row],[Última revisão do bem]]+(VLOOKUP(Tabela3[[#This Row],[Categoria]],Cadastros!A:D,4,0)+365),"")</f>
        <v/>
      </c>
      <c r="O405" s="7" t="str">
        <f ca="1">IF(Tabela3[[#This Row],[Data da compra]]&gt;0,(TODAY()-Tabela3[[#This Row],[Data da compra]])/365,"")</f>
        <v/>
      </c>
      <c r="P405" s="7" t="str">
        <f>IFERROR(VLOOKUP(Tabela3[[#This Row],[Categoria]],Cadastros!A:C,3,0),"")</f>
        <v/>
      </c>
      <c r="Q405" s="9" t="str">
        <f ca="1">IFERROR(Tabela3[[#This Row],[Vida útil]]-Tabela3[[#This Row],[Idade]],"")</f>
        <v/>
      </c>
      <c r="R405" s="8" t="str">
        <f ca="1">IFERROR(Tabela3[[#This Row],[Valor]]-(Tabela3[[#This Row],[Valor]]*(Tabela3[[#This Row],[Idade]]*VLOOKUP(Tabela3[[#This Row],[Categoria]],Cadastros!A:B,2,0))),"")</f>
        <v/>
      </c>
    </row>
    <row r="406" spans="4:18" x14ac:dyDescent="0.25">
      <c r="D406" s="5"/>
      <c r="N406" s="6" t="str">
        <f>IFERROR(Tabela3[[#This Row],[Última revisão do bem]]+(VLOOKUP(Tabela3[[#This Row],[Categoria]],Cadastros!A:D,4,0)+365),"")</f>
        <v/>
      </c>
      <c r="O406" s="7" t="str">
        <f ca="1">IF(Tabela3[[#This Row],[Data da compra]]&gt;0,(TODAY()-Tabela3[[#This Row],[Data da compra]])/365,"")</f>
        <v/>
      </c>
      <c r="P406" s="7" t="str">
        <f>IFERROR(VLOOKUP(Tabela3[[#This Row],[Categoria]],Cadastros!A:C,3,0),"")</f>
        <v/>
      </c>
      <c r="Q406" s="9" t="str">
        <f ca="1">IFERROR(Tabela3[[#This Row],[Vida útil]]-Tabela3[[#This Row],[Idade]],"")</f>
        <v/>
      </c>
      <c r="R406" s="8" t="str">
        <f ca="1">IFERROR(Tabela3[[#This Row],[Valor]]-(Tabela3[[#This Row],[Valor]]*(Tabela3[[#This Row],[Idade]]*VLOOKUP(Tabela3[[#This Row],[Categoria]],Cadastros!A:B,2,0))),"")</f>
        <v/>
      </c>
    </row>
    <row r="407" spans="4:18" x14ac:dyDescent="0.25">
      <c r="D407" s="5"/>
      <c r="N407" s="6" t="str">
        <f>IFERROR(Tabela3[[#This Row],[Última revisão do bem]]+(VLOOKUP(Tabela3[[#This Row],[Categoria]],Cadastros!A:D,4,0)+365),"")</f>
        <v/>
      </c>
      <c r="O407" s="7" t="str">
        <f ca="1">IF(Tabela3[[#This Row],[Data da compra]]&gt;0,(TODAY()-Tabela3[[#This Row],[Data da compra]])/365,"")</f>
        <v/>
      </c>
      <c r="P407" s="7" t="str">
        <f>IFERROR(VLOOKUP(Tabela3[[#This Row],[Categoria]],Cadastros!A:C,3,0),"")</f>
        <v/>
      </c>
      <c r="Q407" s="9" t="str">
        <f ca="1">IFERROR(Tabela3[[#This Row],[Vida útil]]-Tabela3[[#This Row],[Idade]],"")</f>
        <v/>
      </c>
      <c r="R407" s="8" t="str">
        <f ca="1">IFERROR(Tabela3[[#This Row],[Valor]]-(Tabela3[[#This Row],[Valor]]*(Tabela3[[#This Row],[Idade]]*VLOOKUP(Tabela3[[#This Row],[Categoria]],Cadastros!A:B,2,0))),"")</f>
        <v/>
      </c>
    </row>
    <row r="408" spans="4:18" x14ac:dyDescent="0.25">
      <c r="D408" s="5"/>
      <c r="N408" s="6" t="str">
        <f>IFERROR(Tabela3[[#This Row],[Última revisão do bem]]+(VLOOKUP(Tabela3[[#This Row],[Categoria]],Cadastros!A:D,4,0)+365),"")</f>
        <v/>
      </c>
      <c r="O408" s="7" t="str">
        <f ca="1">IF(Tabela3[[#This Row],[Data da compra]]&gt;0,(TODAY()-Tabela3[[#This Row],[Data da compra]])/365,"")</f>
        <v/>
      </c>
      <c r="P408" s="7" t="str">
        <f>IFERROR(VLOOKUP(Tabela3[[#This Row],[Categoria]],Cadastros!A:C,3,0),"")</f>
        <v/>
      </c>
      <c r="Q408" s="9" t="str">
        <f ca="1">IFERROR(Tabela3[[#This Row],[Vida útil]]-Tabela3[[#This Row],[Idade]],"")</f>
        <v/>
      </c>
      <c r="R408" s="8" t="str">
        <f ca="1">IFERROR(Tabela3[[#This Row],[Valor]]-(Tabela3[[#This Row],[Valor]]*(Tabela3[[#This Row],[Idade]]*VLOOKUP(Tabela3[[#This Row],[Categoria]],Cadastros!A:B,2,0))),"")</f>
        <v/>
      </c>
    </row>
    <row r="409" spans="4:18" x14ac:dyDescent="0.25">
      <c r="D409" s="5"/>
      <c r="N409" s="6" t="str">
        <f>IFERROR(Tabela3[[#This Row],[Última revisão do bem]]+(VLOOKUP(Tabela3[[#This Row],[Categoria]],Cadastros!A:D,4,0)+365),"")</f>
        <v/>
      </c>
      <c r="O409" s="7" t="str">
        <f ca="1">IF(Tabela3[[#This Row],[Data da compra]]&gt;0,(TODAY()-Tabela3[[#This Row],[Data da compra]])/365,"")</f>
        <v/>
      </c>
      <c r="P409" s="7" t="str">
        <f>IFERROR(VLOOKUP(Tabela3[[#This Row],[Categoria]],Cadastros!A:C,3,0),"")</f>
        <v/>
      </c>
      <c r="Q409" s="9" t="str">
        <f ca="1">IFERROR(Tabela3[[#This Row],[Vida útil]]-Tabela3[[#This Row],[Idade]],"")</f>
        <v/>
      </c>
      <c r="R409" s="8" t="str">
        <f ca="1">IFERROR(Tabela3[[#This Row],[Valor]]-(Tabela3[[#This Row],[Valor]]*(Tabela3[[#This Row],[Idade]]*VLOOKUP(Tabela3[[#This Row],[Categoria]],Cadastros!A:B,2,0))),"")</f>
        <v/>
      </c>
    </row>
    <row r="410" spans="4:18" x14ac:dyDescent="0.25">
      <c r="D410" s="5"/>
      <c r="N410" s="6" t="str">
        <f>IFERROR(Tabela3[[#This Row],[Última revisão do bem]]+(VLOOKUP(Tabela3[[#This Row],[Categoria]],Cadastros!A:D,4,0)+365),"")</f>
        <v/>
      </c>
      <c r="O410" s="7" t="str">
        <f ca="1">IF(Tabela3[[#This Row],[Data da compra]]&gt;0,(TODAY()-Tabela3[[#This Row],[Data da compra]])/365,"")</f>
        <v/>
      </c>
      <c r="P410" s="7" t="str">
        <f>IFERROR(VLOOKUP(Tabela3[[#This Row],[Categoria]],Cadastros!A:C,3,0),"")</f>
        <v/>
      </c>
      <c r="Q410" s="9" t="str">
        <f ca="1">IFERROR(Tabela3[[#This Row],[Vida útil]]-Tabela3[[#This Row],[Idade]],"")</f>
        <v/>
      </c>
      <c r="R410" s="8" t="str">
        <f ca="1">IFERROR(Tabela3[[#This Row],[Valor]]-(Tabela3[[#This Row],[Valor]]*(Tabela3[[#This Row],[Idade]]*VLOOKUP(Tabela3[[#This Row],[Categoria]],Cadastros!A:B,2,0))),"")</f>
        <v/>
      </c>
    </row>
    <row r="411" spans="4:18" x14ac:dyDescent="0.25">
      <c r="D411" s="5"/>
      <c r="N411" s="6" t="str">
        <f>IFERROR(Tabela3[[#This Row],[Última revisão do bem]]+(VLOOKUP(Tabela3[[#This Row],[Categoria]],Cadastros!A:D,4,0)+365),"")</f>
        <v/>
      </c>
      <c r="O411" s="7" t="str">
        <f ca="1">IF(Tabela3[[#This Row],[Data da compra]]&gt;0,(TODAY()-Tabela3[[#This Row],[Data da compra]])/365,"")</f>
        <v/>
      </c>
      <c r="P411" s="7" t="str">
        <f>IFERROR(VLOOKUP(Tabela3[[#This Row],[Categoria]],Cadastros!A:C,3,0),"")</f>
        <v/>
      </c>
      <c r="Q411" s="9" t="str">
        <f ca="1">IFERROR(Tabela3[[#This Row],[Vida útil]]-Tabela3[[#This Row],[Idade]],"")</f>
        <v/>
      </c>
      <c r="R411" s="8" t="str">
        <f ca="1">IFERROR(Tabela3[[#This Row],[Valor]]-(Tabela3[[#This Row],[Valor]]*(Tabela3[[#This Row],[Idade]]*VLOOKUP(Tabela3[[#This Row],[Categoria]],Cadastros!A:B,2,0))),"")</f>
        <v/>
      </c>
    </row>
    <row r="412" spans="4:18" x14ac:dyDescent="0.25">
      <c r="D412" s="5"/>
      <c r="N412" s="6" t="str">
        <f>IFERROR(Tabela3[[#This Row],[Última revisão do bem]]+(VLOOKUP(Tabela3[[#This Row],[Categoria]],Cadastros!A:D,4,0)+365),"")</f>
        <v/>
      </c>
      <c r="O412" s="7" t="str">
        <f ca="1">IF(Tabela3[[#This Row],[Data da compra]]&gt;0,(TODAY()-Tabela3[[#This Row],[Data da compra]])/365,"")</f>
        <v/>
      </c>
      <c r="P412" s="7" t="str">
        <f>IFERROR(VLOOKUP(Tabela3[[#This Row],[Categoria]],Cadastros!A:C,3,0),"")</f>
        <v/>
      </c>
      <c r="Q412" s="9" t="str">
        <f ca="1">IFERROR(Tabela3[[#This Row],[Vida útil]]-Tabela3[[#This Row],[Idade]],"")</f>
        <v/>
      </c>
      <c r="R412" s="8" t="str">
        <f ca="1">IFERROR(Tabela3[[#This Row],[Valor]]-(Tabela3[[#This Row],[Valor]]*(Tabela3[[#This Row],[Idade]]*VLOOKUP(Tabela3[[#This Row],[Categoria]],Cadastros!A:B,2,0))),"")</f>
        <v/>
      </c>
    </row>
    <row r="413" spans="4:18" x14ac:dyDescent="0.25">
      <c r="D413" s="5"/>
      <c r="N413" s="6" t="str">
        <f>IFERROR(Tabela3[[#This Row],[Última revisão do bem]]+(VLOOKUP(Tabela3[[#This Row],[Categoria]],Cadastros!A:D,4,0)+365),"")</f>
        <v/>
      </c>
      <c r="O413" s="7" t="str">
        <f ca="1">IF(Tabela3[[#This Row],[Data da compra]]&gt;0,(TODAY()-Tabela3[[#This Row],[Data da compra]])/365,"")</f>
        <v/>
      </c>
      <c r="P413" s="7" t="str">
        <f>IFERROR(VLOOKUP(Tabela3[[#This Row],[Categoria]],Cadastros!A:C,3,0),"")</f>
        <v/>
      </c>
      <c r="Q413" s="9" t="str">
        <f ca="1">IFERROR(Tabela3[[#This Row],[Vida útil]]-Tabela3[[#This Row],[Idade]],"")</f>
        <v/>
      </c>
      <c r="R413" s="8" t="str">
        <f ca="1">IFERROR(Tabela3[[#This Row],[Valor]]-(Tabela3[[#This Row],[Valor]]*(Tabela3[[#This Row],[Idade]]*VLOOKUP(Tabela3[[#This Row],[Categoria]],Cadastros!A:B,2,0))),"")</f>
        <v/>
      </c>
    </row>
    <row r="414" spans="4:18" x14ac:dyDescent="0.25">
      <c r="D414" s="5"/>
      <c r="N414" s="6" t="str">
        <f>IFERROR(Tabela3[[#This Row],[Última revisão do bem]]+(VLOOKUP(Tabela3[[#This Row],[Categoria]],Cadastros!A:D,4,0)+365),"")</f>
        <v/>
      </c>
      <c r="O414" s="7" t="str">
        <f ca="1">IF(Tabela3[[#This Row],[Data da compra]]&gt;0,(TODAY()-Tabela3[[#This Row],[Data da compra]])/365,"")</f>
        <v/>
      </c>
      <c r="P414" s="7" t="str">
        <f>IFERROR(VLOOKUP(Tabela3[[#This Row],[Categoria]],Cadastros!A:C,3,0),"")</f>
        <v/>
      </c>
      <c r="Q414" s="9" t="str">
        <f ca="1">IFERROR(Tabela3[[#This Row],[Vida útil]]-Tabela3[[#This Row],[Idade]],"")</f>
        <v/>
      </c>
      <c r="R414" s="8" t="str">
        <f ca="1">IFERROR(Tabela3[[#This Row],[Valor]]-(Tabela3[[#This Row],[Valor]]*(Tabela3[[#This Row],[Idade]]*VLOOKUP(Tabela3[[#This Row],[Categoria]],Cadastros!A:B,2,0))),"")</f>
        <v/>
      </c>
    </row>
    <row r="415" spans="4:18" x14ac:dyDescent="0.25">
      <c r="D415" s="5"/>
      <c r="N415" s="6" t="str">
        <f>IFERROR(Tabela3[[#This Row],[Última revisão do bem]]+(VLOOKUP(Tabela3[[#This Row],[Categoria]],Cadastros!A:D,4,0)+365),"")</f>
        <v/>
      </c>
      <c r="O415" s="7" t="str">
        <f ca="1">IF(Tabela3[[#This Row],[Data da compra]]&gt;0,(TODAY()-Tabela3[[#This Row],[Data da compra]])/365,"")</f>
        <v/>
      </c>
      <c r="P415" s="7" t="str">
        <f>IFERROR(VLOOKUP(Tabela3[[#This Row],[Categoria]],Cadastros!A:C,3,0),"")</f>
        <v/>
      </c>
      <c r="Q415" s="9" t="str">
        <f ca="1">IFERROR(Tabela3[[#This Row],[Vida útil]]-Tabela3[[#This Row],[Idade]],"")</f>
        <v/>
      </c>
      <c r="R415" s="8" t="str">
        <f ca="1">IFERROR(Tabela3[[#This Row],[Valor]]-(Tabela3[[#This Row],[Valor]]*(Tabela3[[#This Row],[Idade]]*VLOOKUP(Tabela3[[#This Row],[Categoria]],Cadastros!A:B,2,0))),"")</f>
        <v/>
      </c>
    </row>
    <row r="416" spans="4:18" x14ac:dyDescent="0.25">
      <c r="D416" s="5"/>
      <c r="N416" s="6" t="str">
        <f>IFERROR(Tabela3[[#This Row],[Última revisão do bem]]+(VLOOKUP(Tabela3[[#This Row],[Categoria]],Cadastros!A:D,4,0)+365),"")</f>
        <v/>
      </c>
      <c r="O416" s="7" t="str">
        <f ca="1">IF(Tabela3[[#This Row],[Data da compra]]&gt;0,(TODAY()-Tabela3[[#This Row],[Data da compra]])/365,"")</f>
        <v/>
      </c>
      <c r="P416" s="7" t="str">
        <f>IFERROR(VLOOKUP(Tabela3[[#This Row],[Categoria]],Cadastros!A:C,3,0),"")</f>
        <v/>
      </c>
      <c r="Q416" s="9" t="str">
        <f ca="1">IFERROR(Tabela3[[#This Row],[Vida útil]]-Tabela3[[#This Row],[Idade]],"")</f>
        <v/>
      </c>
      <c r="R416" s="8" t="str">
        <f ca="1">IFERROR(Tabela3[[#This Row],[Valor]]-(Tabela3[[#This Row],[Valor]]*(Tabela3[[#This Row],[Idade]]*VLOOKUP(Tabela3[[#This Row],[Categoria]],Cadastros!A:B,2,0))),"")</f>
        <v/>
      </c>
    </row>
    <row r="417" spans="4:18" x14ac:dyDescent="0.25">
      <c r="D417" s="5"/>
      <c r="N417" s="6" t="str">
        <f>IFERROR(Tabela3[[#This Row],[Última revisão do bem]]+(VLOOKUP(Tabela3[[#This Row],[Categoria]],Cadastros!A:D,4,0)+365),"")</f>
        <v/>
      </c>
      <c r="O417" s="7" t="str">
        <f ca="1">IF(Tabela3[[#This Row],[Data da compra]]&gt;0,(TODAY()-Tabela3[[#This Row],[Data da compra]])/365,"")</f>
        <v/>
      </c>
      <c r="P417" s="7" t="str">
        <f>IFERROR(VLOOKUP(Tabela3[[#This Row],[Categoria]],Cadastros!A:C,3,0),"")</f>
        <v/>
      </c>
      <c r="Q417" s="9" t="str">
        <f ca="1">IFERROR(Tabela3[[#This Row],[Vida útil]]-Tabela3[[#This Row],[Idade]],"")</f>
        <v/>
      </c>
      <c r="R417" s="8" t="str">
        <f ca="1">IFERROR(Tabela3[[#This Row],[Valor]]-(Tabela3[[#This Row],[Valor]]*(Tabela3[[#This Row],[Idade]]*VLOOKUP(Tabela3[[#This Row],[Categoria]],Cadastros!A:B,2,0))),"")</f>
        <v/>
      </c>
    </row>
    <row r="418" spans="4:18" x14ac:dyDescent="0.25">
      <c r="D418" s="5"/>
      <c r="N418" s="6" t="str">
        <f>IFERROR(Tabela3[[#This Row],[Última revisão do bem]]+(VLOOKUP(Tabela3[[#This Row],[Categoria]],Cadastros!A:D,4,0)+365),"")</f>
        <v/>
      </c>
      <c r="O418" s="7" t="str">
        <f ca="1">IF(Tabela3[[#This Row],[Data da compra]]&gt;0,(TODAY()-Tabela3[[#This Row],[Data da compra]])/365,"")</f>
        <v/>
      </c>
      <c r="P418" s="7" t="str">
        <f>IFERROR(VLOOKUP(Tabela3[[#This Row],[Categoria]],Cadastros!A:C,3,0),"")</f>
        <v/>
      </c>
      <c r="Q418" s="9" t="str">
        <f ca="1">IFERROR(Tabela3[[#This Row],[Vida útil]]-Tabela3[[#This Row],[Idade]],"")</f>
        <v/>
      </c>
      <c r="R418" s="8" t="str">
        <f ca="1">IFERROR(Tabela3[[#This Row],[Valor]]-(Tabela3[[#This Row],[Valor]]*(Tabela3[[#This Row],[Idade]]*VLOOKUP(Tabela3[[#This Row],[Categoria]],Cadastros!A:B,2,0))),"")</f>
        <v/>
      </c>
    </row>
    <row r="419" spans="4:18" x14ac:dyDescent="0.25">
      <c r="D419" s="5"/>
      <c r="N419" s="6" t="str">
        <f>IFERROR(Tabela3[[#This Row],[Última revisão do bem]]+(VLOOKUP(Tabela3[[#This Row],[Categoria]],Cadastros!A:D,4,0)+365),"")</f>
        <v/>
      </c>
      <c r="O419" s="7" t="str">
        <f ca="1">IF(Tabela3[[#This Row],[Data da compra]]&gt;0,(TODAY()-Tabela3[[#This Row],[Data da compra]])/365,"")</f>
        <v/>
      </c>
      <c r="P419" s="7" t="str">
        <f>IFERROR(VLOOKUP(Tabela3[[#This Row],[Categoria]],Cadastros!A:C,3,0),"")</f>
        <v/>
      </c>
      <c r="Q419" s="9" t="str">
        <f ca="1">IFERROR(Tabela3[[#This Row],[Vida útil]]-Tabela3[[#This Row],[Idade]],"")</f>
        <v/>
      </c>
      <c r="R419" s="8" t="str">
        <f ca="1">IFERROR(Tabela3[[#This Row],[Valor]]-(Tabela3[[#This Row],[Valor]]*(Tabela3[[#This Row],[Idade]]*VLOOKUP(Tabela3[[#This Row],[Categoria]],Cadastros!A:B,2,0))),"")</f>
        <v/>
      </c>
    </row>
    <row r="420" spans="4:18" x14ac:dyDescent="0.25">
      <c r="D420" s="22"/>
      <c r="N420" s="6" t="str">
        <f>IFERROR(Tabela3[[#This Row],[Última revisão do bem]]+(VLOOKUP(Tabela3[[#This Row],[Categoria]],Cadastros!A:D,4,0)+365),"")</f>
        <v/>
      </c>
      <c r="O420" s="7" t="str">
        <f ca="1">IF(Tabela3[[#This Row],[Data da compra]]&gt;0,(TODAY()-Tabela3[[#This Row],[Data da compra]])/365,"")</f>
        <v/>
      </c>
      <c r="P420" s="7" t="str">
        <f>IFERROR(VLOOKUP(Tabela3[[#This Row],[Categoria]],Cadastros!A:C,3,0),"")</f>
        <v/>
      </c>
      <c r="Q420" s="9" t="str">
        <f ca="1">IFERROR(Tabela3[[#This Row],[Vida útil]]-Tabela3[[#This Row],[Idade]],"")</f>
        <v/>
      </c>
      <c r="R420" s="23" t="str">
        <f ca="1">IFERROR(Tabela3[[#This Row],[Valor]]-(Tabela3[[#This Row],[Valor]]*(Tabela3[[#This Row],[Idade]]*VLOOKUP(Tabela3[[#This Row],[Categoria]],Cadastros!A:B,2,0))),"")</f>
        <v/>
      </c>
    </row>
    <row r="421" spans="4:18" x14ac:dyDescent="0.25">
      <c r="D421" s="5"/>
      <c r="N421" s="6" t="str">
        <f>IFERROR(Tabela3[[#This Row],[Última revisão do bem]]+(VLOOKUP(Tabela3[[#This Row],[Categoria]],Cadastros!A:D,4,0)+365),"")</f>
        <v/>
      </c>
      <c r="O421" s="7" t="str">
        <f ca="1">IF(Tabela3[[#This Row],[Data da compra]]&gt;0,(TODAY()-Tabela3[[#This Row],[Data da compra]])/365,"")</f>
        <v/>
      </c>
      <c r="P421" s="7" t="str">
        <f>IFERROR(VLOOKUP(Tabela3[[#This Row],[Categoria]],Cadastros!A:C,3,0),"")</f>
        <v/>
      </c>
      <c r="Q421" s="9" t="str">
        <f ca="1">IFERROR(Tabela3[[#This Row],[Vida útil]]-Tabela3[[#This Row],[Idade]],"")</f>
        <v/>
      </c>
      <c r="R421" s="8" t="str">
        <f ca="1">IFERROR(Tabela3[[#This Row],[Valor]]-(Tabela3[[#This Row],[Valor]]*(Tabela3[[#This Row],[Idade]]*VLOOKUP(Tabela3[[#This Row],[Categoria]],Cadastros!A:B,2,0))),"")</f>
        <v/>
      </c>
    </row>
    <row r="422" spans="4:18" x14ac:dyDescent="0.25">
      <c r="D422" s="5"/>
      <c r="N422" s="6" t="str">
        <f>IFERROR(Tabela3[[#This Row],[Última revisão do bem]]+(VLOOKUP(Tabela3[[#This Row],[Categoria]],Cadastros!A:D,4,0)+365),"")</f>
        <v/>
      </c>
      <c r="O422" s="7" t="str">
        <f ca="1">IF(Tabela3[[#This Row],[Data da compra]]&gt;0,(TODAY()-Tabela3[[#This Row],[Data da compra]])/365,"")</f>
        <v/>
      </c>
      <c r="P422" s="7" t="str">
        <f>IFERROR(VLOOKUP(Tabela3[[#This Row],[Categoria]],Cadastros!A:C,3,0),"")</f>
        <v/>
      </c>
      <c r="Q422" s="9" t="str">
        <f ca="1">IFERROR(Tabela3[[#This Row],[Vida útil]]-Tabela3[[#This Row],[Idade]],"")</f>
        <v/>
      </c>
      <c r="R422" s="8" t="str">
        <f ca="1">IFERROR(Tabela3[[#This Row],[Valor]]-(Tabela3[[#This Row],[Valor]]*(Tabela3[[#This Row],[Idade]]*VLOOKUP(Tabela3[[#This Row],[Categoria]],Cadastros!A:B,2,0))),"")</f>
        <v/>
      </c>
    </row>
    <row r="423" spans="4:18" x14ac:dyDescent="0.25">
      <c r="D423" s="5"/>
      <c r="N423" s="6" t="str">
        <f>IFERROR(Tabela3[[#This Row],[Última revisão do bem]]+(VLOOKUP(Tabela3[[#This Row],[Categoria]],Cadastros!A:D,4,0)+365),"")</f>
        <v/>
      </c>
      <c r="O423" s="7" t="str">
        <f ca="1">IF(Tabela3[[#This Row],[Data da compra]]&gt;0,(TODAY()-Tabela3[[#This Row],[Data da compra]])/365,"")</f>
        <v/>
      </c>
      <c r="P423" s="7" t="str">
        <f>IFERROR(VLOOKUP(Tabela3[[#This Row],[Categoria]],Cadastros!A:C,3,0),"")</f>
        <v/>
      </c>
      <c r="Q423" s="9" t="str">
        <f ca="1">IFERROR(Tabela3[[#This Row],[Vida útil]]-Tabela3[[#This Row],[Idade]],"")</f>
        <v/>
      </c>
      <c r="R423" s="8" t="str">
        <f ca="1">IFERROR(Tabela3[[#This Row],[Valor]]-(Tabela3[[#This Row],[Valor]]*(Tabela3[[#This Row],[Idade]]*VLOOKUP(Tabela3[[#This Row],[Categoria]],Cadastros!A:B,2,0))),"")</f>
        <v/>
      </c>
    </row>
    <row r="424" spans="4:18" x14ac:dyDescent="0.25">
      <c r="D424" s="5"/>
      <c r="N424" s="6" t="str">
        <f>IFERROR(Tabela3[[#This Row],[Última revisão do bem]]+(VLOOKUP(Tabela3[[#This Row],[Categoria]],Cadastros!A:D,4,0)+365),"")</f>
        <v/>
      </c>
      <c r="O424" s="7" t="str">
        <f ca="1">IF(Tabela3[[#This Row],[Data da compra]]&gt;0,(TODAY()-Tabela3[[#This Row],[Data da compra]])/365,"")</f>
        <v/>
      </c>
      <c r="P424" s="7" t="str">
        <f>IFERROR(VLOOKUP(Tabela3[[#This Row],[Categoria]],Cadastros!A:C,3,0),"")</f>
        <v/>
      </c>
      <c r="Q424" s="9" t="str">
        <f ca="1">IFERROR(Tabela3[[#This Row],[Vida útil]]-Tabela3[[#This Row],[Idade]],"")</f>
        <v/>
      </c>
      <c r="R424" s="8" t="str">
        <f ca="1">IFERROR(Tabela3[[#This Row],[Valor]]-(Tabela3[[#This Row],[Valor]]*(Tabela3[[#This Row],[Idade]]*VLOOKUP(Tabela3[[#This Row],[Categoria]],Cadastros!A:B,2,0))),"")</f>
        <v/>
      </c>
    </row>
    <row r="425" spans="4:18" x14ac:dyDescent="0.25">
      <c r="D425" s="5"/>
      <c r="N425" s="6" t="str">
        <f>IFERROR(Tabela3[[#This Row],[Última revisão do bem]]+(VLOOKUP(Tabela3[[#This Row],[Categoria]],Cadastros!A:D,4,0)+365),"")</f>
        <v/>
      </c>
      <c r="O425" s="7" t="str">
        <f ca="1">IF(Tabela3[[#This Row],[Data da compra]]&gt;0,(TODAY()-Tabela3[[#This Row],[Data da compra]])/365,"")</f>
        <v/>
      </c>
      <c r="P425" s="7" t="str">
        <f>IFERROR(VLOOKUP(Tabela3[[#This Row],[Categoria]],Cadastros!A:C,3,0),"")</f>
        <v/>
      </c>
      <c r="Q425" s="9" t="str">
        <f ca="1">IFERROR(Tabela3[[#This Row],[Vida útil]]-Tabela3[[#This Row],[Idade]],"")</f>
        <v/>
      </c>
      <c r="R425" s="8" t="str">
        <f ca="1">IFERROR(Tabela3[[#This Row],[Valor]]-(Tabela3[[#This Row],[Valor]]*(Tabela3[[#This Row],[Idade]]*VLOOKUP(Tabela3[[#This Row],[Categoria]],Cadastros!A:B,2,0))),"")</f>
        <v/>
      </c>
    </row>
    <row r="426" spans="4:18" x14ac:dyDescent="0.25">
      <c r="D426" s="5"/>
      <c r="N426" s="6" t="str">
        <f>IFERROR(Tabela3[[#This Row],[Última revisão do bem]]+(VLOOKUP(Tabela3[[#This Row],[Categoria]],Cadastros!A:D,4,0)+365),"")</f>
        <v/>
      </c>
      <c r="O426" s="7" t="str">
        <f ca="1">IF(Tabela3[[#This Row],[Data da compra]]&gt;0,(TODAY()-Tabela3[[#This Row],[Data da compra]])/365,"")</f>
        <v/>
      </c>
      <c r="P426" s="7" t="str">
        <f>IFERROR(VLOOKUP(Tabela3[[#This Row],[Categoria]],Cadastros!A:C,3,0),"")</f>
        <v/>
      </c>
      <c r="Q426" s="9" t="str">
        <f ca="1">IFERROR(Tabela3[[#This Row],[Vida útil]]-Tabela3[[#This Row],[Idade]],"")</f>
        <v/>
      </c>
      <c r="R426" s="8" t="str">
        <f ca="1">IFERROR(Tabela3[[#This Row],[Valor]]-(Tabela3[[#This Row],[Valor]]*(Tabela3[[#This Row],[Idade]]*VLOOKUP(Tabela3[[#This Row],[Categoria]],Cadastros!A:B,2,0))),"")</f>
        <v/>
      </c>
    </row>
    <row r="427" spans="4:18" x14ac:dyDescent="0.25">
      <c r="D427" s="5"/>
      <c r="N427" s="6" t="str">
        <f>IFERROR(Tabela3[[#This Row],[Última revisão do bem]]+(VLOOKUP(Tabela3[[#This Row],[Categoria]],Cadastros!A:D,4,0)+365),"")</f>
        <v/>
      </c>
      <c r="O427" s="7" t="str">
        <f ca="1">IF(Tabela3[[#This Row],[Data da compra]]&gt;0,(TODAY()-Tabela3[[#This Row],[Data da compra]])/365,"")</f>
        <v/>
      </c>
      <c r="P427" s="7" t="str">
        <f>IFERROR(VLOOKUP(Tabela3[[#This Row],[Categoria]],Cadastros!A:C,3,0),"")</f>
        <v/>
      </c>
      <c r="Q427" s="9" t="str">
        <f ca="1">IFERROR(Tabela3[[#This Row],[Vida útil]]-Tabela3[[#This Row],[Idade]],"")</f>
        <v/>
      </c>
      <c r="R427" s="8" t="str">
        <f ca="1">IFERROR(Tabela3[[#This Row],[Valor]]-(Tabela3[[#This Row],[Valor]]*(Tabela3[[#This Row],[Idade]]*VLOOKUP(Tabela3[[#This Row],[Categoria]],Cadastros!A:B,2,0))),"")</f>
        <v/>
      </c>
    </row>
    <row r="428" spans="4:18" x14ac:dyDescent="0.25">
      <c r="D428" s="5"/>
      <c r="N428" s="6" t="str">
        <f>IFERROR(Tabela3[[#This Row],[Última revisão do bem]]+(VLOOKUP(Tabela3[[#This Row],[Categoria]],Cadastros!A:D,4,0)+365),"")</f>
        <v/>
      </c>
      <c r="O428" s="7" t="str">
        <f ca="1">IF(Tabela3[[#This Row],[Data da compra]]&gt;0,(TODAY()-Tabela3[[#This Row],[Data da compra]])/365,"")</f>
        <v/>
      </c>
      <c r="P428" s="7" t="str">
        <f>IFERROR(VLOOKUP(Tabela3[[#This Row],[Categoria]],Cadastros!A:C,3,0),"")</f>
        <v/>
      </c>
      <c r="Q428" s="9" t="str">
        <f ca="1">IFERROR(Tabela3[[#This Row],[Vida útil]]-Tabela3[[#This Row],[Idade]],"")</f>
        <v/>
      </c>
      <c r="R428" s="8" t="str">
        <f ca="1">IFERROR(Tabela3[[#This Row],[Valor]]-(Tabela3[[#This Row],[Valor]]*(Tabela3[[#This Row],[Idade]]*VLOOKUP(Tabela3[[#This Row],[Categoria]],Cadastros!A:B,2,0))),"")</f>
        <v/>
      </c>
    </row>
    <row r="429" spans="4:18" x14ac:dyDescent="0.25">
      <c r="D429" s="5"/>
      <c r="N429" s="6" t="str">
        <f>IFERROR(Tabela3[[#This Row],[Última revisão do bem]]+(VLOOKUP(Tabela3[[#This Row],[Categoria]],Cadastros!A:D,4,0)+365),"")</f>
        <v/>
      </c>
      <c r="O429" s="7" t="str">
        <f ca="1">IF(Tabela3[[#This Row],[Data da compra]]&gt;0,(TODAY()-Tabela3[[#This Row],[Data da compra]])/365,"")</f>
        <v/>
      </c>
      <c r="P429" s="7" t="str">
        <f>IFERROR(VLOOKUP(Tabela3[[#This Row],[Categoria]],Cadastros!A:C,3,0),"")</f>
        <v/>
      </c>
      <c r="Q429" s="9" t="str">
        <f ca="1">IFERROR(Tabela3[[#This Row],[Vida útil]]-Tabela3[[#This Row],[Idade]],"")</f>
        <v/>
      </c>
      <c r="R429" s="8" t="str">
        <f ca="1">IFERROR(Tabela3[[#This Row],[Valor]]-(Tabela3[[#This Row],[Valor]]*(Tabela3[[#This Row],[Idade]]*VLOOKUP(Tabela3[[#This Row],[Categoria]],Cadastros!A:B,2,0))),"")</f>
        <v/>
      </c>
    </row>
    <row r="430" spans="4:18" x14ac:dyDescent="0.25">
      <c r="D430" s="5"/>
      <c r="N430" s="6" t="str">
        <f>IFERROR(Tabela3[[#This Row],[Última revisão do bem]]+(VLOOKUP(Tabela3[[#This Row],[Categoria]],Cadastros!A:D,4,0)+365),"")</f>
        <v/>
      </c>
      <c r="O430" s="7" t="str">
        <f ca="1">IF(Tabela3[[#This Row],[Data da compra]]&gt;0,(TODAY()-Tabela3[[#This Row],[Data da compra]])/365,"")</f>
        <v/>
      </c>
      <c r="P430" s="7" t="str">
        <f>IFERROR(VLOOKUP(Tabela3[[#This Row],[Categoria]],Cadastros!A:C,3,0),"")</f>
        <v/>
      </c>
      <c r="Q430" s="9" t="str">
        <f ca="1">IFERROR(Tabela3[[#This Row],[Vida útil]]-Tabela3[[#This Row],[Idade]],"")</f>
        <v/>
      </c>
      <c r="R430" s="8" t="str">
        <f ca="1">IFERROR(Tabela3[[#This Row],[Valor]]-(Tabela3[[#This Row],[Valor]]*(Tabela3[[#This Row],[Idade]]*VLOOKUP(Tabela3[[#This Row],[Categoria]],Cadastros!A:B,2,0))),"")</f>
        <v/>
      </c>
    </row>
    <row r="431" spans="4:18" x14ac:dyDescent="0.25">
      <c r="D431" s="5"/>
      <c r="N431" s="6" t="str">
        <f>IFERROR(Tabela3[[#This Row],[Última revisão do bem]]+(VLOOKUP(Tabela3[[#This Row],[Categoria]],Cadastros!A:D,4,0)+365),"")</f>
        <v/>
      </c>
      <c r="O431" s="7" t="str">
        <f ca="1">IF(Tabela3[[#This Row],[Data da compra]]&gt;0,(TODAY()-Tabela3[[#This Row],[Data da compra]])/365,"")</f>
        <v/>
      </c>
      <c r="P431" s="7" t="str">
        <f>IFERROR(VLOOKUP(Tabela3[[#This Row],[Categoria]],Cadastros!A:C,3,0),"")</f>
        <v/>
      </c>
      <c r="Q431" s="9" t="str">
        <f ca="1">IFERROR(Tabela3[[#This Row],[Vida útil]]-Tabela3[[#This Row],[Idade]],"")</f>
        <v/>
      </c>
      <c r="R431" s="8" t="str">
        <f ca="1">IFERROR(Tabela3[[#This Row],[Valor]]-(Tabela3[[#This Row],[Valor]]*(Tabela3[[#This Row],[Idade]]*VLOOKUP(Tabela3[[#This Row],[Categoria]],Cadastros!A:B,2,0))),"")</f>
        <v/>
      </c>
    </row>
    <row r="432" spans="4:18" x14ac:dyDescent="0.25">
      <c r="D432" s="5"/>
      <c r="N432" s="6" t="str">
        <f>IFERROR(Tabela3[[#This Row],[Última revisão do bem]]+(VLOOKUP(Tabela3[[#This Row],[Categoria]],Cadastros!A:D,4,0)+365),"")</f>
        <v/>
      </c>
      <c r="O432" s="7" t="str">
        <f ca="1">IF(Tabela3[[#This Row],[Data da compra]]&gt;0,(TODAY()-Tabela3[[#This Row],[Data da compra]])/365,"")</f>
        <v/>
      </c>
      <c r="P432" s="7" t="str">
        <f>IFERROR(VLOOKUP(Tabela3[[#This Row],[Categoria]],Cadastros!A:C,3,0),"")</f>
        <v/>
      </c>
      <c r="Q432" s="9" t="str">
        <f ca="1">IFERROR(Tabela3[[#This Row],[Vida útil]]-Tabela3[[#This Row],[Idade]],"")</f>
        <v/>
      </c>
      <c r="R432" s="8" t="str">
        <f ca="1">IFERROR(Tabela3[[#This Row],[Valor]]-(Tabela3[[#This Row],[Valor]]*(Tabela3[[#This Row],[Idade]]*VLOOKUP(Tabela3[[#This Row],[Categoria]],Cadastros!A:B,2,0))),"")</f>
        <v/>
      </c>
    </row>
    <row r="433" spans="4:18" x14ac:dyDescent="0.25">
      <c r="D433" s="5"/>
      <c r="N433" s="6" t="str">
        <f>IFERROR(Tabela3[[#This Row],[Última revisão do bem]]+(VLOOKUP(Tabela3[[#This Row],[Categoria]],Cadastros!A:D,4,0)+365),"")</f>
        <v/>
      </c>
      <c r="O433" s="7" t="str">
        <f ca="1">IF(Tabela3[[#This Row],[Data da compra]]&gt;0,(TODAY()-Tabela3[[#This Row],[Data da compra]])/365,"")</f>
        <v/>
      </c>
      <c r="P433" s="7" t="str">
        <f>IFERROR(VLOOKUP(Tabela3[[#This Row],[Categoria]],Cadastros!A:C,3,0),"")</f>
        <v/>
      </c>
      <c r="Q433" s="9" t="str">
        <f ca="1">IFERROR(Tabela3[[#This Row],[Vida útil]]-Tabela3[[#This Row],[Idade]],"")</f>
        <v/>
      </c>
      <c r="R433" s="8" t="str">
        <f ca="1">IFERROR(Tabela3[[#This Row],[Valor]]-(Tabela3[[#This Row],[Valor]]*(Tabela3[[#This Row],[Idade]]*VLOOKUP(Tabela3[[#This Row],[Categoria]],Cadastros!A:B,2,0))),"")</f>
        <v/>
      </c>
    </row>
    <row r="434" spans="4:18" x14ac:dyDescent="0.25">
      <c r="D434" s="5"/>
      <c r="N434" s="6" t="str">
        <f>IFERROR(Tabela3[[#This Row],[Última revisão do bem]]+(VLOOKUP(Tabela3[[#This Row],[Categoria]],Cadastros!A:D,4,0)+365),"")</f>
        <v/>
      </c>
      <c r="O434" s="7" t="str">
        <f ca="1">IF(Tabela3[[#This Row],[Data da compra]]&gt;0,(TODAY()-Tabela3[[#This Row],[Data da compra]])/365,"")</f>
        <v/>
      </c>
      <c r="P434" s="7" t="str">
        <f>IFERROR(VLOOKUP(Tabela3[[#This Row],[Categoria]],Cadastros!A:C,3,0),"")</f>
        <v/>
      </c>
      <c r="Q434" s="9" t="str">
        <f ca="1">IFERROR(Tabela3[[#This Row],[Vida útil]]-Tabela3[[#This Row],[Idade]],"")</f>
        <v/>
      </c>
      <c r="R434" s="8" t="str">
        <f ca="1">IFERROR(Tabela3[[#This Row],[Valor]]-(Tabela3[[#This Row],[Valor]]*(Tabela3[[#This Row],[Idade]]*VLOOKUP(Tabela3[[#This Row],[Categoria]],Cadastros!A:B,2,0))),"")</f>
        <v/>
      </c>
    </row>
    <row r="435" spans="4:18" x14ac:dyDescent="0.25">
      <c r="D435" s="5"/>
      <c r="N435" s="6" t="str">
        <f>IFERROR(Tabela3[[#This Row],[Última revisão do bem]]+(VLOOKUP(Tabela3[[#This Row],[Categoria]],Cadastros!A:D,4,0)+365),"")</f>
        <v/>
      </c>
      <c r="O435" s="7" t="str">
        <f ca="1">IF(Tabela3[[#This Row],[Data da compra]]&gt;0,(TODAY()-Tabela3[[#This Row],[Data da compra]])/365,"")</f>
        <v/>
      </c>
      <c r="P435" s="7" t="str">
        <f>IFERROR(VLOOKUP(Tabela3[[#This Row],[Categoria]],Cadastros!A:C,3,0),"")</f>
        <v/>
      </c>
      <c r="Q435" s="9" t="str">
        <f ca="1">IFERROR(Tabela3[[#This Row],[Vida útil]]-Tabela3[[#This Row],[Idade]],"")</f>
        <v/>
      </c>
      <c r="R435" s="8" t="str">
        <f ca="1">IFERROR(Tabela3[[#This Row],[Valor]]-(Tabela3[[#This Row],[Valor]]*(Tabela3[[#This Row],[Idade]]*VLOOKUP(Tabela3[[#This Row],[Categoria]],Cadastros!A:B,2,0))),"")</f>
        <v/>
      </c>
    </row>
    <row r="436" spans="4:18" x14ac:dyDescent="0.25">
      <c r="D436" s="5"/>
      <c r="N436" s="6" t="str">
        <f>IFERROR(Tabela3[[#This Row],[Última revisão do bem]]+(VLOOKUP(Tabela3[[#This Row],[Categoria]],Cadastros!A:D,4,0)+365),"")</f>
        <v/>
      </c>
      <c r="O436" s="7" t="str">
        <f ca="1">IF(Tabela3[[#This Row],[Data da compra]]&gt;0,(TODAY()-Tabela3[[#This Row],[Data da compra]])/365,"")</f>
        <v/>
      </c>
      <c r="P436" s="7" t="str">
        <f>IFERROR(VLOOKUP(Tabela3[[#This Row],[Categoria]],Cadastros!A:C,3,0),"")</f>
        <v/>
      </c>
      <c r="Q436" s="9" t="str">
        <f ca="1">IFERROR(Tabela3[[#This Row],[Vida útil]]-Tabela3[[#This Row],[Idade]],"")</f>
        <v/>
      </c>
      <c r="R436" s="8" t="str">
        <f ca="1">IFERROR(Tabela3[[#This Row],[Valor]]-(Tabela3[[#This Row],[Valor]]*(Tabela3[[#This Row],[Idade]]*VLOOKUP(Tabela3[[#This Row],[Categoria]],Cadastros!A:B,2,0))),"")</f>
        <v/>
      </c>
    </row>
    <row r="437" spans="4:18" x14ac:dyDescent="0.25">
      <c r="D437" s="5"/>
      <c r="N437" s="6" t="str">
        <f>IFERROR(Tabela3[[#This Row],[Última revisão do bem]]+(VLOOKUP(Tabela3[[#This Row],[Categoria]],Cadastros!A:D,4,0)+365),"")</f>
        <v/>
      </c>
      <c r="O437" s="7" t="str">
        <f ca="1">IF(Tabela3[[#This Row],[Data da compra]]&gt;0,(TODAY()-Tabela3[[#This Row],[Data da compra]])/365,"")</f>
        <v/>
      </c>
      <c r="P437" s="7" t="str">
        <f>IFERROR(VLOOKUP(Tabela3[[#This Row],[Categoria]],Cadastros!A:C,3,0),"")</f>
        <v/>
      </c>
      <c r="Q437" s="9" t="str">
        <f ca="1">IFERROR(Tabela3[[#This Row],[Vida útil]]-Tabela3[[#This Row],[Idade]],"")</f>
        <v/>
      </c>
      <c r="R437" s="8" t="str">
        <f ca="1">IFERROR(Tabela3[[#This Row],[Valor]]-(Tabela3[[#This Row],[Valor]]*(Tabela3[[#This Row],[Idade]]*VLOOKUP(Tabela3[[#This Row],[Categoria]],Cadastros!A:B,2,0))),"")</f>
        <v/>
      </c>
    </row>
    <row r="438" spans="4:18" x14ac:dyDescent="0.25">
      <c r="D438" s="5"/>
      <c r="N438" s="6" t="str">
        <f>IFERROR(Tabela3[[#This Row],[Última revisão do bem]]+(VLOOKUP(Tabela3[[#This Row],[Categoria]],Cadastros!A:D,4,0)+365),"")</f>
        <v/>
      </c>
      <c r="O438" s="7" t="str">
        <f ca="1">IF(Tabela3[[#This Row],[Data da compra]]&gt;0,(TODAY()-Tabela3[[#This Row],[Data da compra]])/365,"")</f>
        <v/>
      </c>
      <c r="P438" s="7" t="str">
        <f>IFERROR(VLOOKUP(Tabela3[[#This Row],[Categoria]],Cadastros!A:C,3,0),"")</f>
        <v/>
      </c>
      <c r="Q438" s="9" t="str">
        <f ca="1">IFERROR(Tabela3[[#This Row],[Vida útil]]-Tabela3[[#This Row],[Idade]],"")</f>
        <v/>
      </c>
      <c r="R438" s="8" t="str">
        <f ca="1">IFERROR(Tabela3[[#This Row],[Valor]]-(Tabela3[[#This Row],[Valor]]*(Tabela3[[#This Row],[Idade]]*VLOOKUP(Tabela3[[#This Row],[Categoria]],Cadastros!A:B,2,0))),"")</f>
        <v/>
      </c>
    </row>
    <row r="439" spans="4:18" x14ac:dyDescent="0.25">
      <c r="D439" s="5"/>
      <c r="N439" s="6" t="str">
        <f>IFERROR(Tabela3[[#This Row],[Última revisão do bem]]+(VLOOKUP(Tabela3[[#This Row],[Categoria]],Cadastros!A:D,4,0)+365),"")</f>
        <v/>
      </c>
      <c r="O439" s="7" t="str">
        <f ca="1">IF(Tabela3[[#This Row],[Data da compra]]&gt;0,(TODAY()-Tabela3[[#This Row],[Data da compra]])/365,"")</f>
        <v/>
      </c>
      <c r="P439" s="7" t="str">
        <f>IFERROR(VLOOKUP(Tabela3[[#This Row],[Categoria]],Cadastros!A:C,3,0),"")</f>
        <v/>
      </c>
      <c r="Q439" s="9" t="str">
        <f ca="1">IFERROR(Tabela3[[#This Row],[Vida útil]]-Tabela3[[#This Row],[Idade]],"")</f>
        <v/>
      </c>
      <c r="R439" s="8" t="str">
        <f ca="1">IFERROR(Tabela3[[#This Row],[Valor]]-(Tabela3[[#This Row],[Valor]]*(Tabela3[[#This Row],[Idade]]*VLOOKUP(Tabela3[[#This Row],[Categoria]],Cadastros!A:B,2,0))),"")</f>
        <v/>
      </c>
    </row>
    <row r="440" spans="4:18" x14ac:dyDescent="0.25">
      <c r="D440" s="5"/>
      <c r="N440" s="6" t="str">
        <f>IFERROR(Tabela3[[#This Row],[Última revisão do bem]]+(VLOOKUP(Tabela3[[#This Row],[Categoria]],Cadastros!A:D,4,0)+365),"")</f>
        <v/>
      </c>
      <c r="O440" s="7" t="str">
        <f ca="1">IF(Tabela3[[#This Row],[Data da compra]]&gt;0,(TODAY()-Tabela3[[#This Row],[Data da compra]])/365,"")</f>
        <v/>
      </c>
      <c r="P440" s="7" t="str">
        <f>IFERROR(VLOOKUP(Tabela3[[#This Row],[Categoria]],Cadastros!A:C,3,0),"")</f>
        <v/>
      </c>
      <c r="Q440" s="9" t="str">
        <f ca="1">IFERROR(Tabela3[[#This Row],[Vida útil]]-Tabela3[[#This Row],[Idade]],"")</f>
        <v/>
      </c>
      <c r="R440" s="8" t="str">
        <f ca="1">IFERROR(Tabela3[[#This Row],[Valor]]-(Tabela3[[#This Row],[Valor]]*(Tabela3[[#This Row],[Idade]]*VLOOKUP(Tabela3[[#This Row],[Categoria]],Cadastros!A:B,2,0))),"")</f>
        <v/>
      </c>
    </row>
    <row r="441" spans="4:18" x14ac:dyDescent="0.25">
      <c r="D441" s="5"/>
      <c r="N441" s="6" t="str">
        <f>IFERROR(Tabela3[[#This Row],[Última revisão do bem]]+(VLOOKUP(Tabela3[[#This Row],[Categoria]],Cadastros!A:D,4,0)+365),"")</f>
        <v/>
      </c>
      <c r="O441" s="7" t="str">
        <f ca="1">IF(Tabela3[[#This Row],[Data da compra]]&gt;0,(TODAY()-Tabela3[[#This Row],[Data da compra]])/365,"")</f>
        <v/>
      </c>
      <c r="P441" s="7" t="str">
        <f>IFERROR(VLOOKUP(Tabela3[[#This Row],[Categoria]],Cadastros!A:C,3,0),"")</f>
        <v/>
      </c>
      <c r="Q441" s="9" t="str">
        <f ca="1">IFERROR(Tabela3[[#This Row],[Vida útil]]-Tabela3[[#This Row],[Idade]],"")</f>
        <v/>
      </c>
      <c r="R441" s="8" t="str">
        <f ca="1">IFERROR(Tabela3[[#This Row],[Valor]]-(Tabela3[[#This Row],[Valor]]*(Tabela3[[#This Row],[Idade]]*VLOOKUP(Tabela3[[#This Row],[Categoria]],Cadastros!A:B,2,0))),"")</f>
        <v/>
      </c>
    </row>
    <row r="442" spans="4:18" x14ac:dyDescent="0.25">
      <c r="D442" s="5"/>
      <c r="N442" s="6" t="str">
        <f>IFERROR(Tabela3[[#This Row],[Última revisão do bem]]+(VLOOKUP(Tabela3[[#This Row],[Categoria]],Cadastros!A:D,4,0)+365),"")</f>
        <v/>
      </c>
      <c r="O442" s="7" t="str">
        <f ca="1">IF(Tabela3[[#This Row],[Data da compra]]&gt;0,(TODAY()-Tabela3[[#This Row],[Data da compra]])/365,"")</f>
        <v/>
      </c>
      <c r="P442" s="7" t="str">
        <f>IFERROR(VLOOKUP(Tabela3[[#This Row],[Categoria]],Cadastros!A:C,3,0),"")</f>
        <v/>
      </c>
      <c r="Q442" s="9" t="str">
        <f ca="1">IFERROR(Tabela3[[#This Row],[Vida útil]]-Tabela3[[#This Row],[Idade]],"")</f>
        <v/>
      </c>
      <c r="R442" s="8" t="str">
        <f ca="1">IFERROR(Tabela3[[#This Row],[Valor]]-(Tabela3[[#This Row],[Valor]]*(Tabela3[[#This Row],[Idade]]*VLOOKUP(Tabela3[[#This Row],[Categoria]],Cadastros!A:B,2,0))),"")</f>
        <v/>
      </c>
    </row>
    <row r="443" spans="4:18" x14ac:dyDescent="0.25">
      <c r="D443" s="5"/>
      <c r="N443" s="6" t="str">
        <f>IFERROR(Tabela3[[#This Row],[Última revisão do bem]]+(VLOOKUP(Tabela3[[#This Row],[Categoria]],Cadastros!A:D,4,0)+365),"")</f>
        <v/>
      </c>
      <c r="O443" s="7" t="str">
        <f ca="1">IF(Tabela3[[#This Row],[Data da compra]]&gt;0,(TODAY()-Tabela3[[#This Row],[Data da compra]])/365,"")</f>
        <v/>
      </c>
      <c r="P443" s="7" t="str">
        <f>IFERROR(VLOOKUP(Tabela3[[#This Row],[Categoria]],Cadastros!A:C,3,0),"")</f>
        <v/>
      </c>
      <c r="Q443" s="9" t="str">
        <f ca="1">IFERROR(Tabela3[[#This Row],[Vida útil]]-Tabela3[[#This Row],[Idade]],"")</f>
        <v/>
      </c>
      <c r="R443" s="8" t="str">
        <f ca="1">IFERROR(Tabela3[[#This Row],[Valor]]-(Tabela3[[#This Row],[Valor]]*(Tabela3[[#This Row],[Idade]]*VLOOKUP(Tabela3[[#This Row],[Categoria]],Cadastros!A:B,2,0))),"")</f>
        <v/>
      </c>
    </row>
    <row r="444" spans="4:18" x14ac:dyDescent="0.25">
      <c r="D444" s="5"/>
      <c r="N444" s="6" t="str">
        <f>IFERROR(Tabela3[[#This Row],[Última revisão do bem]]+(VLOOKUP(Tabela3[[#This Row],[Categoria]],Cadastros!A:D,4,0)+365),"")</f>
        <v/>
      </c>
      <c r="O444" s="7" t="str">
        <f ca="1">IF(Tabela3[[#This Row],[Data da compra]]&gt;0,(TODAY()-Tabela3[[#This Row],[Data da compra]])/365,"")</f>
        <v/>
      </c>
      <c r="P444" s="7" t="str">
        <f>IFERROR(VLOOKUP(Tabela3[[#This Row],[Categoria]],Cadastros!A:C,3,0),"")</f>
        <v/>
      </c>
      <c r="Q444" s="9" t="str">
        <f ca="1">IFERROR(Tabela3[[#This Row],[Vida útil]]-Tabela3[[#This Row],[Idade]],"")</f>
        <v/>
      </c>
      <c r="R444" s="8" t="str">
        <f ca="1">IFERROR(Tabela3[[#This Row],[Valor]]-(Tabela3[[#This Row],[Valor]]*(Tabela3[[#This Row],[Idade]]*VLOOKUP(Tabela3[[#This Row],[Categoria]],Cadastros!A:B,2,0))),"")</f>
        <v/>
      </c>
    </row>
    <row r="445" spans="4:18" x14ac:dyDescent="0.25">
      <c r="D445" s="5"/>
      <c r="N445" s="6" t="str">
        <f>IFERROR(Tabela3[[#This Row],[Última revisão do bem]]+(VLOOKUP(Tabela3[[#This Row],[Categoria]],Cadastros!A:D,4,0)+365),"")</f>
        <v/>
      </c>
      <c r="O445" s="7" t="str">
        <f ca="1">IF(Tabela3[[#This Row],[Data da compra]]&gt;0,(TODAY()-Tabela3[[#This Row],[Data da compra]])/365,"")</f>
        <v/>
      </c>
      <c r="P445" s="7" t="str">
        <f>IFERROR(VLOOKUP(Tabela3[[#This Row],[Categoria]],Cadastros!A:C,3,0),"")</f>
        <v/>
      </c>
      <c r="Q445" s="9" t="str">
        <f ca="1">IFERROR(Tabela3[[#This Row],[Vida útil]]-Tabela3[[#This Row],[Idade]],"")</f>
        <v/>
      </c>
      <c r="R445" s="8" t="str">
        <f ca="1">IFERROR(Tabela3[[#This Row],[Valor]]-(Tabela3[[#This Row],[Valor]]*(Tabela3[[#This Row],[Idade]]*VLOOKUP(Tabela3[[#This Row],[Categoria]],Cadastros!A:B,2,0))),"")</f>
        <v/>
      </c>
    </row>
    <row r="446" spans="4:18" x14ac:dyDescent="0.25">
      <c r="D446" s="5"/>
      <c r="N446" s="6" t="str">
        <f>IFERROR(Tabela3[[#This Row],[Última revisão do bem]]+(VLOOKUP(Tabela3[[#This Row],[Categoria]],Cadastros!A:D,4,0)+365),"")</f>
        <v/>
      </c>
      <c r="O446" s="7" t="str">
        <f ca="1">IF(Tabela3[[#This Row],[Data da compra]]&gt;0,(TODAY()-Tabela3[[#This Row],[Data da compra]])/365,"")</f>
        <v/>
      </c>
      <c r="P446" s="7" t="str">
        <f>IFERROR(VLOOKUP(Tabela3[[#This Row],[Categoria]],Cadastros!A:C,3,0),"")</f>
        <v/>
      </c>
      <c r="Q446" s="9" t="str">
        <f ca="1">IFERROR(Tabela3[[#This Row],[Vida útil]]-Tabela3[[#This Row],[Idade]],"")</f>
        <v/>
      </c>
      <c r="R446" s="8" t="str">
        <f ca="1">IFERROR(Tabela3[[#This Row],[Valor]]-(Tabela3[[#This Row],[Valor]]*(Tabela3[[#This Row],[Idade]]*VLOOKUP(Tabela3[[#This Row],[Categoria]],Cadastros!A:B,2,0))),"")</f>
        <v/>
      </c>
    </row>
    <row r="447" spans="4:18" x14ac:dyDescent="0.25">
      <c r="D447" s="5"/>
      <c r="N447" s="6" t="str">
        <f>IFERROR(Tabela3[[#This Row],[Última revisão do bem]]+(VLOOKUP(Tabela3[[#This Row],[Categoria]],Cadastros!A:D,4,0)+365),"")</f>
        <v/>
      </c>
      <c r="O447" s="7" t="str">
        <f ca="1">IF(Tabela3[[#This Row],[Data da compra]]&gt;0,(TODAY()-Tabela3[[#This Row],[Data da compra]])/365,"")</f>
        <v/>
      </c>
      <c r="P447" s="7" t="str">
        <f>IFERROR(VLOOKUP(Tabela3[[#This Row],[Categoria]],Cadastros!A:C,3,0),"")</f>
        <v/>
      </c>
      <c r="Q447" s="9" t="str">
        <f ca="1">IFERROR(Tabela3[[#This Row],[Vida útil]]-Tabela3[[#This Row],[Idade]],"")</f>
        <v/>
      </c>
      <c r="R447" s="8" t="str">
        <f ca="1">IFERROR(Tabela3[[#This Row],[Valor]]-(Tabela3[[#This Row],[Valor]]*(Tabela3[[#This Row],[Idade]]*VLOOKUP(Tabela3[[#This Row],[Categoria]],Cadastros!A:B,2,0))),"")</f>
        <v/>
      </c>
    </row>
    <row r="448" spans="4:18" x14ac:dyDescent="0.25">
      <c r="D448" s="5"/>
      <c r="N448" s="6" t="str">
        <f>IFERROR(Tabela3[[#This Row],[Última revisão do bem]]+(VLOOKUP(Tabela3[[#This Row],[Categoria]],Cadastros!A:D,4,0)+365),"")</f>
        <v/>
      </c>
      <c r="O448" s="7" t="str">
        <f ca="1">IF(Tabela3[[#This Row],[Data da compra]]&gt;0,(TODAY()-Tabela3[[#This Row],[Data da compra]])/365,"")</f>
        <v/>
      </c>
      <c r="P448" s="7" t="str">
        <f>IFERROR(VLOOKUP(Tabela3[[#This Row],[Categoria]],Cadastros!A:C,3,0),"")</f>
        <v/>
      </c>
      <c r="Q448" s="9" t="str">
        <f ca="1">IFERROR(Tabela3[[#This Row],[Vida útil]]-Tabela3[[#This Row],[Idade]],"")</f>
        <v/>
      </c>
      <c r="R448" s="8" t="str">
        <f ca="1">IFERROR(Tabela3[[#This Row],[Valor]]-(Tabela3[[#This Row],[Valor]]*(Tabela3[[#This Row],[Idade]]*VLOOKUP(Tabela3[[#This Row],[Categoria]],Cadastros!A:B,2,0))),"")</f>
        <v/>
      </c>
    </row>
    <row r="449" spans="4:18" x14ac:dyDescent="0.25">
      <c r="D449" s="5"/>
      <c r="N449" s="6" t="str">
        <f>IFERROR(Tabela3[[#This Row],[Última revisão do bem]]+(VLOOKUP(Tabela3[[#This Row],[Categoria]],Cadastros!A:D,4,0)+365),"")</f>
        <v/>
      </c>
      <c r="O449" s="7" t="str">
        <f ca="1">IF(Tabela3[[#This Row],[Data da compra]]&gt;0,(TODAY()-Tabela3[[#This Row],[Data da compra]])/365,"")</f>
        <v/>
      </c>
      <c r="P449" s="7" t="str">
        <f>IFERROR(VLOOKUP(Tabela3[[#This Row],[Categoria]],Cadastros!A:C,3,0),"")</f>
        <v/>
      </c>
      <c r="Q449" s="9" t="str">
        <f ca="1">IFERROR(Tabela3[[#This Row],[Vida útil]]-Tabela3[[#This Row],[Idade]],"")</f>
        <v/>
      </c>
      <c r="R449" s="8" t="str">
        <f ca="1">IFERROR(Tabela3[[#This Row],[Valor]]-(Tabela3[[#This Row],[Valor]]*(Tabela3[[#This Row],[Idade]]*VLOOKUP(Tabela3[[#This Row],[Categoria]],Cadastros!A:B,2,0))),"")</f>
        <v/>
      </c>
    </row>
    <row r="450" spans="4:18" x14ac:dyDescent="0.25">
      <c r="D450" s="5"/>
      <c r="N450" s="6" t="str">
        <f>IFERROR(Tabela3[[#This Row],[Última revisão do bem]]+(VLOOKUP(Tabela3[[#This Row],[Categoria]],Cadastros!A:D,4,0)+365),"")</f>
        <v/>
      </c>
      <c r="O450" s="7" t="str">
        <f ca="1">IF(Tabela3[[#This Row],[Data da compra]]&gt;0,(TODAY()-Tabela3[[#This Row],[Data da compra]])/365,"")</f>
        <v/>
      </c>
      <c r="P450" s="7" t="str">
        <f>IFERROR(VLOOKUP(Tabela3[[#This Row],[Categoria]],Cadastros!A:C,3,0),"")</f>
        <v/>
      </c>
      <c r="Q450" s="9" t="str">
        <f ca="1">IFERROR(Tabela3[[#This Row],[Vida útil]]-Tabela3[[#This Row],[Idade]],"")</f>
        <v/>
      </c>
      <c r="R450" s="8" t="str">
        <f ca="1">IFERROR(Tabela3[[#This Row],[Valor]]-(Tabela3[[#This Row],[Valor]]*(Tabela3[[#This Row],[Idade]]*VLOOKUP(Tabela3[[#This Row],[Categoria]],Cadastros!A:B,2,0))),"")</f>
        <v/>
      </c>
    </row>
    <row r="451" spans="4:18" x14ac:dyDescent="0.25">
      <c r="D451" s="5"/>
      <c r="N451" s="6" t="str">
        <f>IFERROR(Tabela3[[#This Row],[Última revisão do bem]]+(VLOOKUP(Tabela3[[#This Row],[Categoria]],Cadastros!A:D,4,0)+365),"")</f>
        <v/>
      </c>
      <c r="O451" s="7" t="str">
        <f ca="1">IF(Tabela3[[#This Row],[Data da compra]]&gt;0,(TODAY()-Tabela3[[#This Row],[Data da compra]])/365,"")</f>
        <v/>
      </c>
      <c r="P451" s="7" t="str">
        <f>IFERROR(VLOOKUP(Tabela3[[#This Row],[Categoria]],Cadastros!A:C,3,0),"")</f>
        <v/>
      </c>
      <c r="Q451" s="9" t="str">
        <f ca="1">IFERROR(Tabela3[[#This Row],[Vida útil]]-Tabela3[[#This Row],[Idade]],"")</f>
        <v/>
      </c>
      <c r="R451" s="8" t="str">
        <f ca="1">IFERROR(Tabela3[[#This Row],[Valor]]-(Tabela3[[#This Row],[Valor]]*(Tabela3[[#This Row],[Idade]]*VLOOKUP(Tabela3[[#This Row],[Categoria]],Cadastros!A:B,2,0))),"")</f>
        <v/>
      </c>
    </row>
    <row r="452" spans="4:18" x14ac:dyDescent="0.25">
      <c r="D452" s="5"/>
      <c r="N452" s="6" t="str">
        <f>IFERROR(Tabela3[[#This Row],[Última revisão do bem]]+(VLOOKUP(Tabela3[[#This Row],[Categoria]],Cadastros!A:D,4,0)+365),"")</f>
        <v/>
      </c>
      <c r="O452" s="7" t="str">
        <f ca="1">IF(Tabela3[[#This Row],[Data da compra]]&gt;0,(TODAY()-Tabela3[[#This Row],[Data da compra]])/365,"")</f>
        <v/>
      </c>
      <c r="P452" s="7" t="str">
        <f>IFERROR(VLOOKUP(Tabela3[[#This Row],[Categoria]],Cadastros!A:C,3,0),"")</f>
        <v/>
      </c>
      <c r="Q452" s="9" t="str">
        <f ca="1">IFERROR(Tabela3[[#This Row],[Vida útil]]-Tabela3[[#This Row],[Idade]],"")</f>
        <v/>
      </c>
      <c r="R452" s="8" t="str">
        <f ca="1">IFERROR(Tabela3[[#This Row],[Valor]]-(Tabela3[[#This Row],[Valor]]*(Tabela3[[#This Row],[Idade]]*VLOOKUP(Tabela3[[#This Row],[Categoria]],Cadastros!A:B,2,0))),"")</f>
        <v/>
      </c>
    </row>
    <row r="453" spans="4:18" x14ac:dyDescent="0.25">
      <c r="D453" s="5"/>
      <c r="N453" s="6" t="str">
        <f>IFERROR(Tabela3[[#This Row],[Última revisão do bem]]+(VLOOKUP(Tabela3[[#This Row],[Categoria]],Cadastros!A:D,4,0)+365),"")</f>
        <v/>
      </c>
      <c r="O453" s="7" t="str">
        <f ca="1">IF(Tabela3[[#This Row],[Data da compra]]&gt;0,(TODAY()-Tabela3[[#This Row],[Data da compra]])/365,"")</f>
        <v/>
      </c>
      <c r="P453" s="7" t="str">
        <f>IFERROR(VLOOKUP(Tabela3[[#This Row],[Categoria]],Cadastros!A:C,3,0),"")</f>
        <v/>
      </c>
      <c r="Q453" s="9" t="str">
        <f ca="1">IFERROR(Tabela3[[#This Row],[Vida útil]]-Tabela3[[#This Row],[Idade]],"")</f>
        <v/>
      </c>
      <c r="R453" s="8" t="str">
        <f ca="1">IFERROR(Tabela3[[#This Row],[Valor]]-(Tabela3[[#This Row],[Valor]]*(Tabela3[[#This Row],[Idade]]*VLOOKUP(Tabela3[[#This Row],[Categoria]],Cadastros!A:B,2,0))),"")</f>
        <v/>
      </c>
    </row>
    <row r="454" spans="4:18" x14ac:dyDescent="0.25">
      <c r="D454" s="5"/>
      <c r="N454" s="6" t="str">
        <f>IFERROR(Tabela3[[#This Row],[Última revisão do bem]]+(VLOOKUP(Tabela3[[#This Row],[Categoria]],Cadastros!A:D,4,0)+365),"")</f>
        <v/>
      </c>
      <c r="O454" s="7" t="str">
        <f ca="1">IF(Tabela3[[#This Row],[Data da compra]]&gt;0,(TODAY()-Tabela3[[#This Row],[Data da compra]])/365,"")</f>
        <v/>
      </c>
      <c r="P454" s="7" t="str">
        <f>IFERROR(VLOOKUP(Tabela3[[#This Row],[Categoria]],Cadastros!A:C,3,0),"")</f>
        <v/>
      </c>
      <c r="Q454" s="9" t="str">
        <f ca="1">IFERROR(Tabela3[[#This Row],[Vida útil]]-Tabela3[[#This Row],[Idade]],"")</f>
        <v/>
      </c>
      <c r="R454" s="8" t="str">
        <f ca="1">IFERROR(Tabela3[[#This Row],[Valor]]-(Tabela3[[#This Row],[Valor]]*(Tabela3[[#This Row],[Idade]]*VLOOKUP(Tabela3[[#This Row],[Categoria]],Cadastros!A:B,2,0))),"")</f>
        <v/>
      </c>
    </row>
    <row r="455" spans="4:18" x14ac:dyDescent="0.25">
      <c r="D455" s="5"/>
      <c r="N455" s="6" t="str">
        <f>IFERROR(Tabela3[[#This Row],[Última revisão do bem]]+(VLOOKUP(Tabela3[[#This Row],[Categoria]],Cadastros!A:D,4,0)+365),"")</f>
        <v/>
      </c>
      <c r="O455" s="7" t="str">
        <f ca="1">IF(Tabela3[[#This Row],[Data da compra]]&gt;0,(TODAY()-Tabela3[[#This Row],[Data da compra]])/365,"")</f>
        <v/>
      </c>
      <c r="P455" s="7" t="str">
        <f>IFERROR(VLOOKUP(Tabela3[[#This Row],[Categoria]],Cadastros!A:C,3,0),"")</f>
        <v/>
      </c>
      <c r="Q455" s="9" t="str">
        <f ca="1">IFERROR(Tabela3[[#This Row],[Vida útil]]-Tabela3[[#This Row],[Idade]],"")</f>
        <v/>
      </c>
      <c r="R455" s="8" t="str">
        <f ca="1">IFERROR(Tabela3[[#This Row],[Valor]]-(Tabela3[[#This Row],[Valor]]*(Tabela3[[#This Row],[Idade]]*VLOOKUP(Tabela3[[#This Row],[Categoria]],Cadastros!A:B,2,0))),"")</f>
        <v/>
      </c>
    </row>
    <row r="456" spans="4:18" x14ac:dyDescent="0.25">
      <c r="D456" s="5"/>
      <c r="N456" s="6" t="str">
        <f>IFERROR(Tabela3[[#This Row],[Última revisão do bem]]+(VLOOKUP(Tabela3[[#This Row],[Categoria]],Cadastros!A:D,4,0)+365),"")</f>
        <v/>
      </c>
      <c r="O456" s="7" t="str">
        <f ca="1">IF(Tabela3[[#This Row],[Data da compra]]&gt;0,(TODAY()-Tabela3[[#This Row],[Data da compra]])/365,"")</f>
        <v/>
      </c>
      <c r="P456" s="7" t="str">
        <f>IFERROR(VLOOKUP(Tabela3[[#This Row],[Categoria]],Cadastros!A:C,3,0),"")</f>
        <v/>
      </c>
      <c r="Q456" s="9" t="str">
        <f ca="1">IFERROR(Tabela3[[#This Row],[Vida útil]]-Tabela3[[#This Row],[Idade]],"")</f>
        <v/>
      </c>
      <c r="R456" s="8" t="str">
        <f ca="1">IFERROR(Tabela3[[#This Row],[Valor]]-(Tabela3[[#This Row],[Valor]]*(Tabela3[[#This Row],[Idade]]*VLOOKUP(Tabela3[[#This Row],[Categoria]],Cadastros!A:B,2,0))),"")</f>
        <v/>
      </c>
    </row>
    <row r="457" spans="4:18" x14ac:dyDescent="0.25">
      <c r="D457" s="5"/>
      <c r="N457" s="6" t="str">
        <f>IFERROR(Tabela3[[#This Row],[Última revisão do bem]]+(VLOOKUP(Tabela3[[#This Row],[Categoria]],Cadastros!A:D,4,0)+365),"")</f>
        <v/>
      </c>
      <c r="O457" s="7" t="str">
        <f ca="1">IF(Tabela3[[#This Row],[Data da compra]]&gt;0,(TODAY()-Tabela3[[#This Row],[Data da compra]])/365,"")</f>
        <v/>
      </c>
      <c r="P457" s="7" t="str">
        <f>IFERROR(VLOOKUP(Tabela3[[#This Row],[Categoria]],Cadastros!A:C,3,0),"")</f>
        <v/>
      </c>
      <c r="Q457" s="9" t="str">
        <f ca="1">IFERROR(Tabela3[[#This Row],[Vida útil]]-Tabela3[[#This Row],[Idade]],"")</f>
        <v/>
      </c>
      <c r="R457" s="8" t="str">
        <f ca="1">IFERROR(Tabela3[[#This Row],[Valor]]-(Tabela3[[#This Row],[Valor]]*(Tabela3[[#This Row],[Idade]]*VLOOKUP(Tabela3[[#This Row],[Categoria]],Cadastros!A:B,2,0))),"")</f>
        <v/>
      </c>
    </row>
    <row r="458" spans="4:18" x14ac:dyDescent="0.25">
      <c r="D458" s="5"/>
      <c r="N458" s="6" t="str">
        <f>IFERROR(Tabela3[[#This Row],[Última revisão do bem]]+(VLOOKUP(Tabela3[[#This Row],[Categoria]],Cadastros!A:D,4,0)+365),"")</f>
        <v/>
      </c>
      <c r="O458" s="7" t="str">
        <f ca="1">IF(Tabela3[[#This Row],[Data da compra]]&gt;0,(TODAY()-Tabela3[[#This Row],[Data da compra]])/365,"")</f>
        <v/>
      </c>
      <c r="P458" s="7" t="str">
        <f>IFERROR(VLOOKUP(Tabela3[[#This Row],[Categoria]],Cadastros!A:C,3,0),"")</f>
        <v/>
      </c>
      <c r="Q458" s="9" t="str">
        <f ca="1">IFERROR(Tabela3[[#This Row],[Vida útil]]-Tabela3[[#This Row],[Idade]],"")</f>
        <v/>
      </c>
      <c r="R458" s="8" t="str">
        <f ca="1">IFERROR(Tabela3[[#This Row],[Valor]]-(Tabela3[[#This Row],[Valor]]*(Tabela3[[#This Row],[Idade]]*VLOOKUP(Tabela3[[#This Row],[Categoria]],Cadastros!A:B,2,0))),"")</f>
        <v/>
      </c>
    </row>
    <row r="459" spans="4:18" x14ac:dyDescent="0.25">
      <c r="D459" s="5"/>
      <c r="N459" s="6" t="str">
        <f>IFERROR(Tabela3[[#This Row],[Última revisão do bem]]+(VLOOKUP(Tabela3[[#This Row],[Categoria]],Cadastros!A:D,4,0)+365),"")</f>
        <v/>
      </c>
      <c r="O459" s="7" t="str">
        <f ca="1">IF(Tabela3[[#This Row],[Data da compra]]&gt;0,(TODAY()-Tabela3[[#This Row],[Data da compra]])/365,"")</f>
        <v/>
      </c>
      <c r="P459" s="7" t="str">
        <f>IFERROR(VLOOKUP(Tabela3[[#This Row],[Categoria]],Cadastros!A:C,3,0),"")</f>
        <v/>
      </c>
      <c r="Q459" s="9" t="str">
        <f ca="1">IFERROR(Tabela3[[#This Row],[Vida útil]]-Tabela3[[#This Row],[Idade]],"")</f>
        <v/>
      </c>
      <c r="R459" s="8" t="str">
        <f ca="1">IFERROR(Tabela3[[#This Row],[Valor]]-(Tabela3[[#This Row],[Valor]]*(Tabela3[[#This Row],[Idade]]*VLOOKUP(Tabela3[[#This Row],[Categoria]],Cadastros!A:B,2,0))),"")</f>
        <v/>
      </c>
    </row>
    <row r="460" spans="4:18" x14ac:dyDescent="0.25">
      <c r="D460" s="5"/>
      <c r="N460" s="6" t="str">
        <f>IFERROR(Tabela3[[#This Row],[Última revisão do bem]]+(VLOOKUP(Tabela3[[#This Row],[Categoria]],Cadastros!A:D,4,0)+365),"")</f>
        <v/>
      </c>
      <c r="O460" s="7" t="str">
        <f ca="1">IF(Tabela3[[#This Row],[Data da compra]]&gt;0,(TODAY()-Tabela3[[#This Row],[Data da compra]])/365,"")</f>
        <v/>
      </c>
      <c r="P460" s="7" t="str">
        <f>IFERROR(VLOOKUP(Tabela3[[#This Row],[Categoria]],Cadastros!A:C,3,0),"")</f>
        <v/>
      </c>
      <c r="Q460" s="9" t="str">
        <f ca="1">IFERROR(Tabela3[[#This Row],[Vida útil]]-Tabela3[[#This Row],[Idade]],"")</f>
        <v/>
      </c>
      <c r="R460" s="8" t="str">
        <f ca="1">IFERROR(Tabela3[[#This Row],[Valor]]-(Tabela3[[#This Row],[Valor]]*(Tabela3[[#This Row],[Idade]]*VLOOKUP(Tabela3[[#This Row],[Categoria]],Cadastros!A:B,2,0))),"")</f>
        <v/>
      </c>
    </row>
    <row r="461" spans="4:18" x14ac:dyDescent="0.25">
      <c r="D461" s="5"/>
      <c r="N461" s="6" t="str">
        <f>IFERROR(Tabela3[[#This Row],[Última revisão do bem]]+(VLOOKUP(Tabela3[[#This Row],[Categoria]],Cadastros!A:D,4,0)+365),"")</f>
        <v/>
      </c>
      <c r="O461" s="7" t="str">
        <f ca="1">IF(Tabela3[[#This Row],[Data da compra]]&gt;0,(TODAY()-Tabela3[[#This Row],[Data da compra]])/365,"")</f>
        <v/>
      </c>
      <c r="P461" s="7" t="str">
        <f>IFERROR(VLOOKUP(Tabela3[[#This Row],[Categoria]],Cadastros!A:C,3,0),"")</f>
        <v/>
      </c>
      <c r="Q461" s="9" t="str">
        <f ca="1">IFERROR(Tabela3[[#This Row],[Vida útil]]-Tabela3[[#This Row],[Idade]],"")</f>
        <v/>
      </c>
      <c r="R461" s="8" t="str">
        <f ca="1">IFERROR(Tabela3[[#This Row],[Valor]]-(Tabela3[[#This Row],[Valor]]*(Tabela3[[#This Row],[Idade]]*VLOOKUP(Tabela3[[#This Row],[Categoria]],Cadastros!A:B,2,0))),"")</f>
        <v/>
      </c>
    </row>
    <row r="462" spans="4:18" x14ac:dyDescent="0.25">
      <c r="D462" s="5"/>
      <c r="N462" s="6" t="str">
        <f>IFERROR(Tabela3[[#This Row],[Última revisão do bem]]+(VLOOKUP(Tabela3[[#This Row],[Categoria]],Cadastros!A:D,4,0)+365),"")</f>
        <v/>
      </c>
      <c r="O462" s="7" t="str">
        <f ca="1">IF(Tabela3[[#This Row],[Data da compra]]&gt;0,(TODAY()-Tabela3[[#This Row],[Data da compra]])/365,"")</f>
        <v/>
      </c>
      <c r="P462" s="7" t="str">
        <f>IFERROR(VLOOKUP(Tabela3[[#This Row],[Categoria]],Cadastros!A:C,3,0),"")</f>
        <v/>
      </c>
      <c r="Q462" s="9" t="str">
        <f ca="1">IFERROR(Tabela3[[#This Row],[Vida útil]]-Tabela3[[#This Row],[Idade]],"")</f>
        <v/>
      </c>
      <c r="R462" s="8" t="str">
        <f ca="1">IFERROR(Tabela3[[#This Row],[Valor]]-(Tabela3[[#This Row],[Valor]]*(Tabela3[[#This Row],[Idade]]*VLOOKUP(Tabela3[[#This Row],[Categoria]],Cadastros!A:B,2,0))),"")</f>
        <v/>
      </c>
    </row>
    <row r="463" spans="4:18" x14ac:dyDescent="0.25">
      <c r="D463" s="5"/>
      <c r="N463" s="6" t="str">
        <f>IFERROR(Tabela3[[#This Row],[Última revisão do bem]]+(VLOOKUP(Tabela3[[#This Row],[Categoria]],Cadastros!A:D,4,0)+365),"")</f>
        <v/>
      </c>
      <c r="O463" s="7" t="str">
        <f ca="1">IF(Tabela3[[#This Row],[Data da compra]]&gt;0,(TODAY()-Tabela3[[#This Row],[Data da compra]])/365,"")</f>
        <v/>
      </c>
      <c r="P463" s="7" t="str">
        <f>IFERROR(VLOOKUP(Tabela3[[#This Row],[Categoria]],Cadastros!A:C,3,0),"")</f>
        <v/>
      </c>
      <c r="Q463" s="9" t="str">
        <f ca="1">IFERROR(Tabela3[[#This Row],[Vida útil]]-Tabela3[[#This Row],[Idade]],"")</f>
        <v/>
      </c>
      <c r="R463" s="8" t="str">
        <f ca="1">IFERROR(Tabela3[[#This Row],[Valor]]-(Tabela3[[#This Row],[Valor]]*(Tabela3[[#This Row],[Idade]]*VLOOKUP(Tabela3[[#This Row],[Categoria]],Cadastros!A:B,2,0))),"")</f>
        <v/>
      </c>
    </row>
    <row r="464" spans="4:18" x14ac:dyDescent="0.25">
      <c r="D464" s="5"/>
      <c r="N464" s="6" t="str">
        <f>IFERROR(Tabela3[[#This Row],[Última revisão do bem]]+(VLOOKUP(Tabela3[[#This Row],[Categoria]],Cadastros!A:D,4,0)+365),"")</f>
        <v/>
      </c>
      <c r="O464" s="7" t="str">
        <f ca="1">IF(Tabela3[[#This Row],[Data da compra]]&gt;0,(TODAY()-Tabela3[[#This Row],[Data da compra]])/365,"")</f>
        <v/>
      </c>
      <c r="P464" s="7" t="str">
        <f>IFERROR(VLOOKUP(Tabela3[[#This Row],[Categoria]],Cadastros!A:C,3,0),"")</f>
        <v/>
      </c>
      <c r="Q464" s="9" t="str">
        <f ca="1">IFERROR(Tabela3[[#This Row],[Vida útil]]-Tabela3[[#This Row],[Idade]],"")</f>
        <v/>
      </c>
      <c r="R464" s="8" t="str">
        <f ca="1">IFERROR(Tabela3[[#This Row],[Valor]]-(Tabela3[[#This Row],[Valor]]*(Tabela3[[#This Row],[Idade]]*VLOOKUP(Tabela3[[#This Row],[Categoria]],Cadastros!A:B,2,0))),"")</f>
        <v/>
      </c>
    </row>
    <row r="465" spans="4:18" x14ac:dyDescent="0.25">
      <c r="D465" s="5"/>
      <c r="N465" s="6" t="str">
        <f>IFERROR(Tabela3[[#This Row],[Última revisão do bem]]+(VLOOKUP(Tabela3[[#This Row],[Categoria]],Cadastros!A:D,4,0)+365),"")</f>
        <v/>
      </c>
      <c r="O465" s="7" t="str">
        <f ca="1">IF(Tabela3[[#This Row],[Data da compra]]&gt;0,(TODAY()-Tabela3[[#This Row],[Data da compra]])/365,"")</f>
        <v/>
      </c>
      <c r="P465" s="7" t="str">
        <f>IFERROR(VLOOKUP(Tabela3[[#This Row],[Categoria]],Cadastros!A:C,3,0),"")</f>
        <v/>
      </c>
      <c r="Q465" s="9" t="str">
        <f ca="1">IFERROR(Tabela3[[#This Row],[Vida útil]]-Tabela3[[#This Row],[Idade]],"")</f>
        <v/>
      </c>
      <c r="R465" s="8" t="str">
        <f ca="1">IFERROR(Tabela3[[#This Row],[Valor]]-(Tabela3[[#This Row],[Valor]]*(Tabela3[[#This Row],[Idade]]*VLOOKUP(Tabela3[[#This Row],[Categoria]],Cadastros!A:B,2,0))),"")</f>
        <v/>
      </c>
    </row>
    <row r="466" spans="4:18" x14ac:dyDescent="0.25">
      <c r="D466" s="5"/>
      <c r="N466" s="6" t="str">
        <f>IFERROR(Tabela3[[#This Row],[Última revisão do bem]]+(VLOOKUP(Tabela3[[#This Row],[Categoria]],Cadastros!A:D,4,0)+365),"")</f>
        <v/>
      </c>
      <c r="O466" s="7" t="str">
        <f ca="1">IF(Tabela3[[#This Row],[Data da compra]]&gt;0,(TODAY()-Tabela3[[#This Row],[Data da compra]])/365,"")</f>
        <v/>
      </c>
      <c r="P466" s="7" t="str">
        <f>IFERROR(VLOOKUP(Tabela3[[#This Row],[Categoria]],Cadastros!A:C,3,0),"")</f>
        <v/>
      </c>
      <c r="Q466" s="9" t="str">
        <f ca="1">IFERROR(Tabela3[[#This Row],[Vida útil]]-Tabela3[[#This Row],[Idade]],"")</f>
        <v/>
      </c>
      <c r="R466" s="8" t="str">
        <f ca="1">IFERROR(Tabela3[[#This Row],[Valor]]-(Tabela3[[#This Row],[Valor]]*(Tabela3[[#This Row],[Idade]]*VLOOKUP(Tabela3[[#This Row],[Categoria]],Cadastros!A:B,2,0))),"")</f>
        <v/>
      </c>
    </row>
    <row r="467" spans="4:18" x14ac:dyDescent="0.25">
      <c r="D467" s="5"/>
      <c r="N467" s="6" t="str">
        <f>IFERROR(Tabela3[[#This Row],[Última revisão do bem]]+(VLOOKUP(Tabela3[[#This Row],[Categoria]],Cadastros!A:D,4,0)+365),"")</f>
        <v/>
      </c>
      <c r="O467" s="7" t="str">
        <f ca="1">IF(Tabela3[[#This Row],[Data da compra]]&gt;0,(TODAY()-Tabela3[[#This Row],[Data da compra]])/365,"")</f>
        <v/>
      </c>
      <c r="P467" s="7" t="str">
        <f>IFERROR(VLOOKUP(Tabela3[[#This Row],[Categoria]],Cadastros!A:C,3,0),"")</f>
        <v/>
      </c>
      <c r="Q467" s="9" t="str">
        <f ca="1">IFERROR(Tabela3[[#This Row],[Vida útil]]-Tabela3[[#This Row],[Idade]],"")</f>
        <v/>
      </c>
      <c r="R467" s="8" t="str">
        <f ca="1">IFERROR(Tabela3[[#This Row],[Valor]]-(Tabela3[[#This Row],[Valor]]*(Tabela3[[#This Row],[Idade]]*VLOOKUP(Tabela3[[#This Row],[Categoria]],Cadastros!A:B,2,0))),"")</f>
        <v/>
      </c>
    </row>
    <row r="468" spans="4:18" x14ac:dyDescent="0.25">
      <c r="D468" s="5"/>
      <c r="N468" s="6" t="str">
        <f>IFERROR(Tabela3[[#This Row],[Última revisão do bem]]+(VLOOKUP(Tabela3[[#This Row],[Categoria]],Cadastros!A:D,4,0)+365),"")</f>
        <v/>
      </c>
      <c r="O468" s="7" t="str">
        <f ca="1">IF(Tabela3[[#This Row],[Data da compra]]&gt;0,(TODAY()-Tabela3[[#This Row],[Data da compra]])/365,"")</f>
        <v/>
      </c>
      <c r="P468" s="7" t="str">
        <f>IFERROR(VLOOKUP(Tabela3[[#This Row],[Categoria]],Cadastros!A:C,3,0),"")</f>
        <v/>
      </c>
      <c r="Q468" s="9" t="str">
        <f ca="1">IFERROR(Tabela3[[#This Row],[Vida útil]]-Tabela3[[#This Row],[Idade]],"")</f>
        <v/>
      </c>
      <c r="R468" s="8" t="str">
        <f ca="1">IFERROR(Tabela3[[#This Row],[Valor]]-(Tabela3[[#This Row],[Valor]]*(Tabela3[[#This Row],[Idade]]*VLOOKUP(Tabela3[[#This Row],[Categoria]],Cadastros!A:B,2,0))),"")</f>
        <v/>
      </c>
    </row>
    <row r="469" spans="4:18" x14ac:dyDescent="0.25">
      <c r="D469" s="5"/>
      <c r="N469" s="6" t="str">
        <f>IFERROR(Tabela3[[#This Row],[Última revisão do bem]]+(VLOOKUP(Tabela3[[#This Row],[Categoria]],Cadastros!A:D,4,0)+365),"")</f>
        <v/>
      </c>
      <c r="O469" s="7" t="str">
        <f ca="1">IF(Tabela3[[#This Row],[Data da compra]]&gt;0,(TODAY()-Tabela3[[#This Row],[Data da compra]])/365,"")</f>
        <v/>
      </c>
      <c r="P469" s="7" t="str">
        <f>IFERROR(VLOOKUP(Tabela3[[#This Row],[Categoria]],Cadastros!A:C,3,0),"")</f>
        <v/>
      </c>
      <c r="Q469" s="9" t="str">
        <f ca="1">IFERROR(Tabela3[[#This Row],[Vida útil]]-Tabela3[[#This Row],[Idade]],"")</f>
        <v/>
      </c>
      <c r="R469" s="8" t="str">
        <f ca="1">IFERROR(Tabela3[[#This Row],[Valor]]-(Tabela3[[#This Row],[Valor]]*(Tabela3[[#This Row],[Idade]]*VLOOKUP(Tabela3[[#This Row],[Categoria]],Cadastros!A:B,2,0))),"")</f>
        <v/>
      </c>
    </row>
    <row r="470" spans="4:18" x14ac:dyDescent="0.25">
      <c r="D470" s="5"/>
      <c r="N470" s="6" t="str">
        <f>IFERROR(Tabela3[[#This Row],[Última revisão do bem]]+(VLOOKUP(Tabela3[[#This Row],[Categoria]],Cadastros!A:D,4,0)+365),"")</f>
        <v/>
      </c>
      <c r="O470" s="7" t="str">
        <f ca="1">IF(Tabela3[[#This Row],[Data da compra]]&gt;0,(TODAY()-Tabela3[[#This Row],[Data da compra]])/365,"")</f>
        <v/>
      </c>
      <c r="P470" s="7" t="str">
        <f>IFERROR(VLOOKUP(Tabela3[[#This Row],[Categoria]],Cadastros!A:C,3,0),"")</f>
        <v/>
      </c>
      <c r="Q470" s="9" t="str">
        <f ca="1">IFERROR(Tabela3[[#This Row],[Vida útil]]-Tabela3[[#This Row],[Idade]],"")</f>
        <v/>
      </c>
      <c r="R470" s="8" t="str">
        <f ca="1">IFERROR(Tabela3[[#This Row],[Valor]]-(Tabela3[[#This Row],[Valor]]*(Tabela3[[#This Row],[Idade]]*VLOOKUP(Tabela3[[#This Row],[Categoria]],Cadastros!A:B,2,0))),"")</f>
        <v/>
      </c>
    </row>
    <row r="471" spans="4:18" x14ac:dyDescent="0.25">
      <c r="D471" s="5"/>
      <c r="N471" s="6" t="str">
        <f>IFERROR(Tabela3[[#This Row],[Última revisão do bem]]+(VLOOKUP(Tabela3[[#This Row],[Categoria]],Cadastros!A:D,4,0)+365),"")</f>
        <v/>
      </c>
      <c r="O471" s="7" t="str">
        <f ca="1">IF(Tabela3[[#This Row],[Data da compra]]&gt;0,(TODAY()-Tabela3[[#This Row],[Data da compra]])/365,"")</f>
        <v/>
      </c>
      <c r="P471" s="7" t="str">
        <f>IFERROR(VLOOKUP(Tabela3[[#This Row],[Categoria]],Cadastros!A:C,3,0),"")</f>
        <v/>
      </c>
      <c r="Q471" s="9" t="str">
        <f ca="1">IFERROR(Tabela3[[#This Row],[Vida útil]]-Tabela3[[#This Row],[Idade]],"")</f>
        <v/>
      </c>
      <c r="R471" s="8" t="str">
        <f ca="1">IFERROR(Tabela3[[#This Row],[Valor]]-(Tabela3[[#This Row],[Valor]]*(Tabela3[[#This Row],[Idade]]*VLOOKUP(Tabela3[[#This Row],[Categoria]],Cadastros!A:B,2,0))),"")</f>
        <v/>
      </c>
    </row>
    <row r="472" spans="4:18" x14ac:dyDescent="0.25">
      <c r="D472" s="5"/>
      <c r="N472" s="6" t="str">
        <f>IFERROR(Tabela3[[#This Row],[Última revisão do bem]]+(VLOOKUP(Tabela3[[#This Row],[Categoria]],Cadastros!A:D,4,0)+365),"")</f>
        <v/>
      </c>
      <c r="O472" s="7" t="str">
        <f ca="1">IF(Tabela3[[#This Row],[Data da compra]]&gt;0,(TODAY()-Tabela3[[#This Row],[Data da compra]])/365,"")</f>
        <v/>
      </c>
      <c r="P472" s="7" t="str">
        <f>IFERROR(VLOOKUP(Tabela3[[#This Row],[Categoria]],Cadastros!A:C,3,0),"")</f>
        <v/>
      </c>
      <c r="Q472" s="9" t="str">
        <f ca="1">IFERROR(Tabela3[[#This Row],[Vida útil]]-Tabela3[[#This Row],[Idade]],"")</f>
        <v/>
      </c>
      <c r="R472" s="8" t="str">
        <f ca="1">IFERROR(Tabela3[[#This Row],[Valor]]-(Tabela3[[#This Row],[Valor]]*(Tabela3[[#This Row],[Idade]]*VLOOKUP(Tabela3[[#This Row],[Categoria]],Cadastros!A:B,2,0))),"")</f>
        <v/>
      </c>
    </row>
    <row r="473" spans="4:18" x14ac:dyDescent="0.25">
      <c r="D473" s="5"/>
      <c r="N473" s="6" t="str">
        <f>IFERROR(Tabela3[[#This Row],[Última revisão do bem]]+(VLOOKUP(Tabela3[[#This Row],[Categoria]],Cadastros!A:D,4,0)+365),"")</f>
        <v/>
      </c>
      <c r="O473" s="7" t="str">
        <f ca="1">IF(Tabela3[[#This Row],[Data da compra]]&gt;0,(TODAY()-Tabela3[[#This Row],[Data da compra]])/365,"")</f>
        <v/>
      </c>
      <c r="P473" s="7" t="str">
        <f>IFERROR(VLOOKUP(Tabela3[[#This Row],[Categoria]],Cadastros!A:C,3,0),"")</f>
        <v/>
      </c>
      <c r="Q473" s="9" t="str">
        <f ca="1">IFERROR(Tabela3[[#This Row],[Vida útil]]-Tabela3[[#This Row],[Idade]],"")</f>
        <v/>
      </c>
      <c r="R473" s="8" t="str">
        <f ca="1">IFERROR(Tabela3[[#This Row],[Valor]]-(Tabela3[[#This Row],[Valor]]*(Tabela3[[#This Row],[Idade]]*VLOOKUP(Tabela3[[#This Row],[Categoria]],Cadastros!A:B,2,0))),"")</f>
        <v/>
      </c>
    </row>
    <row r="474" spans="4:18" x14ac:dyDescent="0.25">
      <c r="D474" s="22"/>
      <c r="N474" s="6" t="str">
        <f>IFERROR(Tabela3[[#This Row],[Última revisão do bem]]+(VLOOKUP(Tabela3[[#This Row],[Categoria]],Cadastros!A:D,4,0)+365),"")</f>
        <v/>
      </c>
      <c r="O474" s="7" t="str">
        <f ca="1">IF(Tabela3[[#This Row],[Data da compra]]&gt;0,(TODAY()-Tabela3[[#This Row],[Data da compra]])/365,"")</f>
        <v/>
      </c>
      <c r="P474" s="7" t="str">
        <f>IFERROR(VLOOKUP(Tabela3[[#This Row],[Categoria]],Cadastros!A:C,3,0),"")</f>
        <v/>
      </c>
      <c r="Q474" s="9" t="str">
        <f ca="1">IFERROR(Tabela3[[#This Row],[Vida útil]]-Tabela3[[#This Row],[Idade]],"")</f>
        <v/>
      </c>
      <c r="R474" s="23" t="str">
        <f ca="1">IFERROR(Tabela3[[#This Row],[Valor]]-(Tabela3[[#This Row],[Valor]]*(Tabela3[[#This Row],[Idade]]*VLOOKUP(Tabela3[[#This Row],[Categoria]],Cadastros!A:B,2,0))),"")</f>
        <v/>
      </c>
    </row>
    <row r="475" spans="4:18" x14ac:dyDescent="0.25">
      <c r="D475" s="5"/>
      <c r="N475" s="6" t="str">
        <f>IFERROR(Tabela3[[#This Row],[Última revisão do bem]]+(VLOOKUP(Tabela3[[#This Row],[Categoria]],Cadastros!A:D,4,0)+365),"")</f>
        <v/>
      </c>
      <c r="O475" s="7" t="str">
        <f ca="1">IF(Tabela3[[#This Row],[Data da compra]]&gt;0,(TODAY()-Tabela3[[#This Row],[Data da compra]])/365,"")</f>
        <v/>
      </c>
      <c r="P475" s="7" t="str">
        <f>IFERROR(VLOOKUP(Tabela3[[#This Row],[Categoria]],Cadastros!A:C,3,0),"")</f>
        <v/>
      </c>
      <c r="Q475" s="9" t="str">
        <f ca="1">IFERROR(Tabela3[[#This Row],[Vida útil]]-Tabela3[[#This Row],[Idade]],"")</f>
        <v/>
      </c>
      <c r="R475" s="8" t="str">
        <f ca="1">IFERROR(Tabela3[[#This Row],[Valor]]-(Tabela3[[#This Row],[Valor]]*(Tabela3[[#This Row],[Idade]]*VLOOKUP(Tabela3[[#This Row],[Categoria]],Cadastros!A:B,2,0))),"")</f>
        <v/>
      </c>
    </row>
    <row r="476" spans="4:18" x14ac:dyDescent="0.25">
      <c r="D476" s="5"/>
      <c r="N476" s="6" t="str">
        <f>IFERROR(Tabela3[[#This Row],[Última revisão do bem]]+(VLOOKUP(Tabela3[[#This Row],[Categoria]],Cadastros!A:D,4,0)+365),"")</f>
        <v/>
      </c>
      <c r="O476" s="7" t="str">
        <f ca="1">IF(Tabela3[[#This Row],[Data da compra]]&gt;0,(TODAY()-Tabela3[[#This Row],[Data da compra]])/365,"")</f>
        <v/>
      </c>
      <c r="P476" s="7" t="str">
        <f>IFERROR(VLOOKUP(Tabela3[[#This Row],[Categoria]],Cadastros!A:C,3,0),"")</f>
        <v/>
      </c>
      <c r="Q476" s="9" t="str">
        <f ca="1">IFERROR(Tabela3[[#This Row],[Vida útil]]-Tabela3[[#This Row],[Idade]],"")</f>
        <v/>
      </c>
      <c r="R476" s="8" t="str">
        <f ca="1">IFERROR(Tabela3[[#This Row],[Valor]]-(Tabela3[[#This Row],[Valor]]*(Tabela3[[#This Row],[Idade]]*VLOOKUP(Tabela3[[#This Row],[Categoria]],Cadastros!A:B,2,0))),"")</f>
        <v/>
      </c>
    </row>
    <row r="477" spans="4:18" x14ac:dyDescent="0.25">
      <c r="D477" s="5"/>
      <c r="N477" s="6" t="str">
        <f>IFERROR(Tabela3[[#This Row],[Última revisão do bem]]+(VLOOKUP(Tabela3[[#This Row],[Categoria]],Cadastros!A:D,4,0)+365),"")</f>
        <v/>
      </c>
      <c r="O477" s="7" t="str">
        <f ca="1">IF(Tabela3[[#This Row],[Data da compra]]&gt;0,(TODAY()-Tabela3[[#This Row],[Data da compra]])/365,"")</f>
        <v/>
      </c>
      <c r="P477" s="7" t="str">
        <f>IFERROR(VLOOKUP(Tabela3[[#This Row],[Categoria]],Cadastros!A:C,3,0),"")</f>
        <v/>
      </c>
      <c r="Q477" s="9" t="str">
        <f ca="1">IFERROR(Tabela3[[#This Row],[Vida útil]]-Tabela3[[#This Row],[Idade]],"")</f>
        <v/>
      </c>
      <c r="R477" s="8" t="str">
        <f ca="1">IFERROR(Tabela3[[#This Row],[Valor]]-(Tabela3[[#This Row],[Valor]]*(Tabela3[[#This Row],[Idade]]*VLOOKUP(Tabela3[[#This Row],[Categoria]],Cadastros!A:B,2,0))),"")</f>
        <v/>
      </c>
    </row>
    <row r="478" spans="4:18" x14ac:dyDescent="0.25">
      <c r="D478" s="5"/>
      <c r="N478" s="6" t="str">
        <f>IFERROR(Tabela3[[#This Row],[Última revisão do bem]]+(VLOOKUP(Tabela3[[#This Row],[Categoria]],Cadastros!A:D,4,0)+365),"")</f>
        <v/>
      </c>
      <c r="O478" s="7" t="str">
        <f ca="1">IF(Tabela3[[#This Row],[Data da compra]]&gt;0,(TODAY()-Tabela3[[#This Row],[Data da compra]])/365,"")</f>
        <v/>
      </c>
      <c r="P478" s="7" t="str">
        <f>IFERROR(VLOOKUP(Tabela3[[#This Row],[Categoria]],Cadastros!A:C,3,0),"")</f>
        <v/>
      </c>
      <c r="Q478" s="9" t="str">
        <f ca="1">IFERROR(Tabela3[[#This Row],[Vida útil]]-Tabela3[[#This Row],[Idade]],"")</f>
        <v/>
      </c>
      <c r="R478" s="8" t="str">
        <f ca="1">IFERROR(Tabela3[[#This Row],[Valor]]-(Tabela3[[#This Row],[Valor]]*(Tabela3[[#This Row],[Idade]]*VLOOKUP(Tabela3[[#This Row],[Categoria]],Cadastros!A:B,2,0))),"")</f>
        <v/>
      </c>
    </row>
    <row r="479" spans="4:18" x14ac:dyDescent="0.25">
      <c r="D479" s="5"/>
      <c r="N479" s="6" t="str">
        <f>IFERROR(Tabela3[[#This Row],[Última revisão do bem]]+(VLOOKUP(Tabela3[[#This Row],[Categoria]],Cadastros!A:D,4,0)+365),"")</f>
        <v/>
      </c>
      <c r="O479" s="7" t="str">
        <f ca="1">IF(Tabela3[[#This Row],[Data da compra]]&gt;0,(TODAY()-Tabela3[[#This Row],[Data da compra]])/365,"")</f>
        <v/>
      </c>
      <c r="P479" s="7" t="str">
        <f>IFERROR(VLOOKUP(Tabela3[[#This Row],[Categoria]],Cadastros!A:C,3,0),"")</f>
        <v/>
      </c>
      <c r="Q479" s="9" t="str">
        <f ca="1">IFERROR(Tabela3[[#This Row],[Vida útil]]-Tabela3[[#This Row],[Idade]],"")</f>
        <v/>
      </c>
      <c r="R479" s="8" t="str">
        <f ca="1">IFERROR(Tabela3[[#This Row],[Valor]]-(Tabela3[[#This Row],[Valor]]*(Tabela3[[#This Row],[Idade]]*VLOOKUP(Tabela3[[#This Row],[Categoria]],Cadastros!A:B,2,0))),"")</f>
        <v/>
      </c>
    </row>
    <row r="480" spans="4:18" x14ac:dyDescent="0.25">
      <c r="D480" s="5"/>
      <c r="N480" s="6" t="str">
        <f>IFERROR(Tabela3[[#This Row],[Última revisão do bem]]+(VLOOKUP(Tabela3[[#This Row],[Categoria]],Cadastros!A:D,4,0)+365),"")</f>
        <v/>
      </c>
      <c r="O480" s="7" t="str">
        <f ca="1">IF(Tabela3[[#This Row],[Data da compra]]&gt;0,(TODAY()-Tabela3[[#This Row],[Data da compra]])/365,"")</f>
        <v/>
      </c>
      <c r="P480" s="7" t="str">
        <f>IFERROR(VLOOKUP(Tabela3[[#This Row],[Categoria]],Cadastros!A:C,3,0),"")</f>
        <v/>
      </c>
      <c r="Q480" s="9" t="str">
        <f ca="1">IFERROR(Tabela3[[#This Row],[Vida útil]]-Tabela3[[#This Row],[Idade]],"")</f>
        <v/>
      </c>
      <c r="R480" s="8" t="str">
        <f ca="1">IFERROR(Tabela3[[#This Row],[Valor]]-(Tabela3[[#This Row],[Valor]]*(Tabela3[[#This Row],[Idade]]*VLOOKUP(Tabela3[[#This Row],[Categoria]],Cadastros!A:B,2,0))),"")</f>
        <v/>
      </c>
    </row>
    <row r="481" spans="4:18" x14ac:dyDescent="0.25">
      <c r="D481" s="5"/>
      <c r="N481" s="6" t="str">
        <f>IFERROR(Tabela3[[#This Row],[Última revisão do bem]]+(VLOOKUP(Tabela3[[#This Row],[Categoria]],Cadastros!A:D,4,0)+365),"")</f>
        <v/>
      </c>
      <c r="O481" s="7" t="str">
        <f ca="1">IF(Tabela3[[#This Row],[Data da compra]]&gt;0,(TODAY()-Tabela3[[#This Row],[Data da compra]])/365,"")</f>
        <v/>
      </c>
      <c r="P481" s="7" t="str">
        <f>IFERROR(VLOOKUP(Tabela3[[#This Row],[Categoria]],Cadastros!A:C,3,0),"")</f>
        <v/>
      </c>
      <c r="Q481" s="9" t="str">
        <f ca="1">IFERROR(Tabela3[[#This Row],[Vida útil]]-Tabela3[[#This Row],[Idade]],"")</f>
        <v/>
      </c>
      <c r="R481" s="8" t="str">
        <f ca="1">IFERROR(Tabela3[[#This Row],[Valor]]-(Tabela3[[#This Row],[Valor]]*(Tabela3[[#This Row],[Idade]]*VLOOKUP(Tabela3[[#This Row],[Categoria]],Cadastros!A:B,2,0))),"")</f>
        <v/>
      </c>
    </row>
    <row r="482" spans="4:18" x14ac:dyDescent="0.25">
      <c r="D482" s="5"/>
      <c r="N482" s="6" t="str">
        <f>IFERROR(Tabela3[[#This Row],[Última revisão do bem]]+(VLOOKUP(Tabela3[[#This Row],[Categoria]],Cadastros!A:D,4,0)+365),"")</f>
        <v/>
      </c>
      <c r="O482" s="7" t="str">
        <f ca="1">IF(Tabela3[[#This Row],[Data da compra]]&gt;0,(TODAY()-Tabela3[[#This Row],[Data da compra]])/365,"")</f>
        <v/>
      </c>
      <c r="P482" s="7" t="str">
        <f>IFERROR(VLOOKUP(Tabela3[[#This Row],[Categoria]],Cadastros!A:C,3,0),"")</f>
        <v/>
      </c>
      <c r="Q482" s="9" t="str">
        <f ca="1">IFERROR(Tabela3[[#This Row],[Vida útil]]-Tabela3[[#This Row],[Idade]],"")</f>
        <v/>
      </c>
      <c r="R482" s="8" t="str">
        <f ca="1">IFERROR(Tabela3[[#This Row],[Valor]]-(Tabela3[[#This Row],[Valor]]*(Tabela3[[#This Row],[Idade]]*VLOOKUP(Tabela3[[#This Row],[Categoria]],Cadastros!A:B,2,0))),"")</f>
        <v/>
      </c>
    </row>
    <row r="483" spans="4:18" x14ac:dyDescent="0.25">
      <c r="D483" s="5"/>
      <c r="N483" s="6" t="str">
        <f>IFERROR(Tabela3[[#This Row],[Última revisão do bem]]+(VLOOKUP(Tabela3[[#This Row],[Categoria]],Cadastros!A:D,4,0)+365),"")</f>
        <v/>
      </c>
      <c r="O483" s="7" t="str">
        <f ca="1">IF(Tabela3[[#This Row],[Data da compra]]&gt;0,(TODAY()-Tabela3[[#This Row],[Data da compra]])/365,"")</f>
        <v/>
      </c>
      <c r="P483" s="7" t="str">
        <f>IFERROR(VLOOKUP(Tabela3[[#This Row],[Categoria]],Cadastros!A:C,3,0),"")</f>
        <v/>
      </c>
      <c r="Q483" s="9" t="str">
        <f ca="1">IFERROR(Tabela3[[#This Row],[Vida útil]]-Tabela3[[#This Row],[Idade]],"")</f>
        <v/>
      </c>
      <c r="R483" s="8" t="str">
        <f ca="1">IFERROR(Tabela3[[#This Row],[Valor]]-(Tabela3[[#This Row],[Valor]]*(Tabela3[[#This Row],[Idade]]*VLOOKUP(Tabela3[[#This Row],[Categoria]],Cadastros!A:B,2,0))),"")</f>
        <v/>
      </c>
    </row>
    <row r="484" spans="4:18" x14ac:dyDescent="0.25">
      <c r="D484" s="5"/>
      <c r="N484" s="6" t="str">
        <f>IFERROR(Tabela3[[#This Row],[Última revisão do bem]]+(VLOOKUP(Tabela3[[#This Row],[Categoria]],Cadastros!A:D,4,0)+365),"")</f>
        <v/>
      </c>
      <c r="O484" s="7" t="str">
        <f ca="1">IF(Tabela3[[#This Row],[Data da compra]]&gt;0,(TODAY()-Tabela3[[#This Row],[Data da compra]])/365,"")</f>
        <v/>
      </c>
      <c r="P484" s="7" t="str">
        <f>IFERROR(VLOOKUP(Tabela3[[#This Row],[Categoria]],Cadastros!A:C,3,0),"")</f>
        <v/>
      </c>
      <c r="Q484" s="9" t="str">
        <f ca="1">IFERROR(Tabela3[[#This Row],[Vida útil]]-Tabela3[[#This Row],[Idade]],"")</f>
        <v/>
      </c>
      <c r="R484" s="8" t="str">
        <f ca="1">IFERROR(Tabela3[[#This Row],[Valor]]-(Tabela3[[#This Row],[Valor]]*(Tabela3[[#This Row],[Idade]]*VLOOKUP(Tabela3[[#This Row],[Categoria]],Cadastros!A:B,2,0))),"")</f>
        <v/>
      </c>
    </row>
    <row r="485" spans="4:18" x14ac:dyDescent="0.25">
      <c r="D485" s="5"/>
      <c r="N485" s="6" t="str">
        <f>IFERROR(Tabela3[[#This Row],[Última revisão do bem]]+(VLOOKUP(Tabela3[[#This Row],[Categoria]],Cadastros!A:D,4,0)+365),"")</f>
        <v/>
      </c>
      <c r="O485" s="7" t="str">
        <f ca="1">IF(Tabela3[[#This Row],[Data da compra]]&gt;0,(TODAY()-Tabela3[[#This Row],[Data da compra]])/365,"")</f>
        <v/>
      </c>
      <c r="P485" s="7" t="str">
        <f>IFERROR(VLOOKUP(Tabela3[[#This Row],[Categoria]],Cadastros!A:C,3,0),"")</f>
        <v/>
      </c>
      <c r="Q485" s="9" t="str">
        <f ca="1">IFERROR(Tabela3[[#This Row],[Vida útil]]-Tabela3[[#This Row],[Idade]],"")</f>
        <v/>
      </c>
      <c r="R485" s="8" t="str">
        <f ca="1">IFERROR(Tabela3[[#This Row],[Valor]]-(Tabela3[[#This Row],[Valor]]*(Tabela3[[#This Row],[Idade]]*VLOOKUP(Tabela3[[#This Row],[Categoria]],Cadastros!A:B,2,0))),"")</f>
        <v/>
      </c>
    </row>
    <row r="486" spans="4:18" x14ac:dyDescent="0.25">
      <c r="D486" s="5"/>
      <c r="N486" s="6" t="str">
        <f>IFERROR(Tabela3[[#This Row],[Última revisão do bem]]+(VLOOKUP(Tabela3[[#This Row],[Categoria]],Cadastros!A:D,4,0)+365),"")</f>
        <v/>
      </c>
      <c r="O486" s="7" t="str">
        <f ca="1">IF(Tabela3[[#This Row],[Data da compra]]&gt;0,(TODAY()-Tabela3[[#This Row],[Data da compra]])/365,"")</f>
        <v/>
      </c>
      <c r="P486" s="7" t="str">
        <f>IFERROR(VLOOKUP(Tabela3[[#This Row],[Categoria]],Cadastros!A:C,3,0),"")</f>
        <v/>
      </c>
      <c r="Q486" s="9" t="str">
        <f ca="1">IFERROR(Tabela3[[#This Row],[Vida útil]]-Tabela3[[#This Row],[Idade]],"")</f>
        <v/>
      </c>
      <c r="R486" s="8" t="str">
        <f ca="1">IFERROR(Tabela3[[#This Row],[Valor]]-(Tabela3[[#This Row],[Valor]]*(Tabela3[[#This Row],[Idade]]*VLOOKUP(Tabela3[[#This Row],[Categoria]],Cadastros!A:B,2,0))),"")</f>
        <v/>
      </c>
    </row>
    <row r="487" spans="4:18" x14ac:dyDescent="0.25">
      <c r="D487" s="5"/>
      <c r="N487" s="6" t="str">
        <f>IFERROR(Tabela3[[#This Row],[Última revisão do bem]]+(VLOOKUP(Tabela3[[#This Row],[Categoria]],Cadastros!A:D,4,0)+365),"")</f>
        <v/>
      </c>
      <c r="O487" s="7" t="str">
        <f ca="1">IF(Tabela3[[#This Row],[Data da compra]]&gt;0,(TODAY()-Tabela3[[#This Row],[Data da compra]])/365,"")</f>
        <v/>
      </c>
      <c r="P487" s="7" t="str">
        <f>IFERROR(VLOOKUP(Tabela3[[#This Row],[Categoria]],Cadastros!A:C,3,0),"")</f>
        <v/>
      </c>
      <c r="Q487" s="9" t="str">
        <f ca="1">IFERROR(Tabela3[[#This Row],[Vida útil]]-Tabela3[[#This Row],[Idade]],"")</f>
        <v/>
      </c>
      <c r="R487" s="8" t="str">
        <f ca="1">IFERROR(Tabela3[[#This Row],[Valor]]-(Tabela3[[#This Row],[Valor]]*(Tabela3[[#This Row],[Idade]]*VLOOKUP(Tabela3[[#This Row],[Categoria]],Cadastros!A:B,2,0))),"")</f>
        <v/>
      </c>
    </row>
    <row r="488" spans="4:18" x14ac:dyDescent="0.25">
      <c r="D488" s="5"/>
      <c r="N488" s="6" t="str">
        <f>IFERROR(Tabela3[[#This Row],[Última revisão do bem]]+(VLOOKUP(Tabela3[[#This Row],[Categoria]],Cadastros!A:D,4,0)+365),"")</f>
        <v/>
      </c>
      <c r="O488" s="7" t="str">
        <f ca="1">IF(Tabela3[[#This Row],[Data da compra]]&gt;0,(TODAY()-Tabela3[[#This Row],[Data da compra]])/365,"")</f>
        <v/>
      </c>
      <c r="P488" s="7" t="str">
        <f>IFERROR(VLOOKUP(Tabela3[[#This Row],[Categoria]],Cadastros!A:C,3,0),"")</f>
        <v/>
      </c>
      <c r="Q488" s="9" t="str">
        <f ca="1">IFERROR(Tabela3[[#This Row],[Vida útil]]-Tabela3[[#This Row],[Idade]],"")</f>
        <v/>
      </c>
      <c r="R488" s="8" t="str">
        <f ca="1">IFERROR(Tabela3[[#This Row],[Valor]]-(Tabela3[[#This Row],[Valor]]*(Tabela3[[#This Row],[Idade]]*VLOOKUP(Tabela3[[#This Row],[Categoria]],Cadastros!A:B,2,0))),"")</f>
        <v/>
      </c>
    </row>
    <row r="489" spans="4:18" x14ac:dyDescent="0.25">
      <c r="D489" s="5"/>
      <c r="N489" s="6" t="str">
        <f>IFERROR(Tabela3[[#This Row],[Última revisão do bem]]+(VLOOKUP(Tabela3[[#This Row],[Categoria]],Cadastros!A:D,4,0)+365),"")</f>
        <v/>
      </c>
      <c r="O489" s="7" t="str">
        <f ca="1">IF(Tabela3[[#This Row],[Data da compra]]&gt;0,(TODAY()-Tabela3[[#This Row],[Data da compra]])/365,"")</f>
        <v/>
      </c>
      <c r="P489" s="7" t="str">
        <f>IFERROR(VLOOKUP(Tabela3[[#This Row],[Categoria]],Cadastros!A:C,3,0),"")</f>
        <v/>
      </c>
      <c r="Q489" s="9" t="str">
        <f ca="1">IFERROR(Tabela3[[#This Row],[Vida útil]]-Tabela3[[#This Row],[Idade]],"")</f>
        <v/>
      </c>
      <c r="R489" s="8" t="str">
        <f ca="1">IFERROR(Tabela3[[#This Row],[Valor]]-(Tabela3[[#This Row],[Valor]]*(Tabela3[[#This Row],[Idade]]*VLOOKUP(Tabela3[[#This Row],[Categoria]],Cadastros!A:B,2,0))),"")</f>
        <v/>
      </c>
    </row>
    <row r="490" spans="4:18" x14ac:dyDescent="0.25">
      <c r="D490" s="5"/>
      <c r="N490" s="6" t="str">
        <f>IFERROR(Tabela3[[#This Row],[Última revisão do bem]]+(VLOOKUP(Tabela3[[#This Row],[Categoria]],Cadastros!A:D,4,0)+365),"")</f>
        <v/>
      </c>
      <c r="O490" s="7" t="str">
        <f ca="1">IF(Tabela3[[#This Row],[Data da compra]]&gt;0,(TODAY()-Tabela3[[#This Row],[Data da compra]])/365,"")</f>
        <v/>
      </c>
      <c r="P490" s="7" t="str">
        <f>IFERROR(VLOOKUP(Tabela3[[#This Row],[Categoria]],Cadastros!A:C,3,0),"")</f>
        <v/>
      </c>
      <c r="Q490" s="9" t="str">
        <f ca="1">IFERROR(Tabela3[[#This Row],[Vida útil]]-Tabela3[[#This Row],[Idade]],"")</f>
        <v/>
      </c>
      <c r="R490" s="8" t="str">
        <f ca="1">IFERROR(Tabela3[[#This Row],[Valor]]-(Tabela3[[#This Row],[Valor]]*(Tabela3[[#This Row],[Idade]]*VLOOKUP(Tabela3[[#This Row],[Categoria]],Cadastros!A:B,2,0))),"")</f>
        <v/>
      </c>
    </row>
    <row r="491" spans="4:18" x14ac:dyDescent="0.25">
      <c r="D491" s="5"/>
      <c r="N491" s="6" t="str">
        <f>IFERROR(Tabela3[[#This Row],[Última revisão do bem]]+(VLOOKUP(Tabela3[[#This Row],[Categoria]],Cadastros!A:D,4,0)+365),"")</f>
        <v/>
      </c>
      <c r="O491" s="7" t="str">
        <f ca="1">IF(Tabela3[[#This Row],[Data da compra]]&gt;0,(TODAY()-Tabela3[[#This Row],[Data da compra]])/365,"")</f>
        <v/>
      </c>
      <c r="P491" s="7" t="str">
        <f>IFERROR(VLOOKUP(Tabela3[[#This Row],[Categoria]],Cadastros!A:C,3,0),"")</f>
        <v/>
      </c>
      <c r="Q491" s="9" t="str">
        <f ca="1">IFERROR(Tabela3[[#This Row],[Vida útil]]-Tabela3[[#This Row],[Idade]],"")</f>
        <v/>
      </c>
      <c r="R491" s="8" t="str">
        <f ca="1">IFERROR(Tabela3[[#This Row],[Valor]]-(Tabela3[[#This Row],[Valor]]*(Tabela3[[#This Row],[Idade]]*VLOOKUP(Tabela3[[#This Row],[Categoria]],Cadastros!A:B,2,0))),"")</f>
        <v/>
      </c>
    </row>
    <row r="492" spans="4:18" x14ac:dyDescent="0.25">
      <c r="D492" s="22"/>
      <c r="N492" s="6" t="str">
        <f>IFERROR(Tabela3[[#This Row],[Última revisão do bem]]+(VLOOKUP(Tabela3[[#This Row],[Categoria]],Cadastros!A:D,4,0)+365),"")</f>
        <v/>
      </c>
      <c r="O492" s="7" t="str">
        <f ca="1">IF(Tabela3[[#This Row],[Data da compra]]&gt;0,(TODAY()-Tabela3[[#This Row],[Data da compra]])/365,"")</f>
        <v/>
      </c>
      <c r="P492" s="7" t="str">
        <f>IFERROR(VLOOKUP(Tabela3[[#This Row],[Categoria]],Cadastros!A:C,3,0),"")</f>
        <v/>
      </c>
      <c r="Q492" s="9" t="str">
        <f ca="1">IFERROR(Tabela3[[#This Row],[Vida útil]]-Tabela3[[#This Row],[Idade]],"")</f>
        <v/>
      </c>
      <c r="R492" s="23" t="str">
        <f ca="1">IFERROR(Tabela3[[#This Row],[Valor]]-(Tabela3[[#This Row],[Valor]]*(Tabela3[[#This Row],[Idade]]*VLOOKUP(Tabela3[[#This Row],[Categoria]],Cadastros!A:B,2,0))),"")</f>
        <v/>
      </c>
    </row>
    <row r="493" spans="4:18" x14ac:dyDescent="0.25">
      <c r="D493" s="5"/>
      <c r="N493" s="6" t="str">
        <f>IFERROR(Tabela3[[#This Row],[Última revisão do bem]]+(VLOOKUP(Tabela3[[#This Row],[Categoria]],Cadastros!A:D,4,0)+365),"")</f>
        <v/>
      </c>
      <c r="O493" s="7" t="str">
        <f ca="1">IF(Tabela3[[#This Row],[Data da compra]]&gt;0,(TODAY()-Tabela3[[#This Row],[Data da compra]])/365,"")</f>
        <v/>
      </c>
      <c r="P493" s="7" t="str">
        <f>IFERROR(VLOOKUP(Tabela3[[#This Row],[Categoria]],Cadastros!A:C,3,0),"")</f>
        <v/>
      </c>
      <c r="Q493" s="9" t="str">
        <f ca="1">IFERROR(Tabela3[[#This Row],[Vida útil]]-Tabela3[[#This Row],[Idade]],"")</f>
        <v/>
      </c>
      <c r="R493" s="8" t="str">
        <f ca="1">IFERROR(Tabela3[[#This Row],[Valor]]-(Tabela3[[#This Row],[Valor]]*(Tabela3[[#This Row],[Idade]]*VLOOKUP(Tabela3[[#This Row],[Categoria]],Cadastros!A:B,2,0))),"")</f>
        <v/>
      </c>
    </row>
    <row r="494" spans="4:18" x14ac:dyDescent="0.25">
      <c r="D494" s="5"/>
      <c r="N494" s="6" t="str">
        <f>IFERROR(Tabela3[[#This Row],[Última revisão do bem]]+(VLOOKUP(Tabela3[[#This Row],[Categoria]],Cadastros!A:D,4,0)+365),"")</f>
        <v/>
      </c>
      <c r="O494" s="7" t="str">
        <f ca="1">IF(Tabela3[[#This Row],[Data da compra]]&gt;0,(TODAY()-Tabela3[[#This Row],[Data da compra]])/365,"")</f>
        <v/>
      </c>
      <c r="P494" s="7" t="str">
        <f>IFERROR(VLOOKUP(Tabela3[[#This Row],[Categoria]],Cadastros!A:C,3,0),"")</f>
        <v/>
      </c>
      <c r="Q494" s="9" t="str">
        <f ca="1">IFERROR(Tabela3[[#This Row],[Vida útil]]-Tabela3[[#This Row],[Idade]],"")</f>
        <v/>
      </c>
      <c r="R494" s="8" t="str">
        <f ca="1">IFERROR(Tabela3[[#This Row],[Valor]]-(Tabela3[[#This Row],[Valor]]*(Tabela3[[#This Row],[Idade]]*VLOOKUP(Tabela3[[#This Row],[Categoria]],Cadastros!A:B,2,0))),"")</f>
        <v/>
      </c>
    </row>
    <row r="495" spans="4:18" x14ac:dyDescent="0.25">
      <c r="D495" s="5"/>
      <c r="N495" s="6" t="str">
        <f>IFERROR(Tabela3[[#This Row],[Última revisão do bem]]+(VLOOKUP(Tabela3[[#This Row],[Categoria]],Cadastros!A:D,4,0)+365),"")</f>
        <v/>
      </c>
      <c r="O495" s="7" t="str">
        <f ca="1">IF(Tabela3[[#This Row],[Data da compra]]&gt;0,(TODAY()-Tabela3[[#This Row],[Data da compra]])/365,"")</f>
        <v/>
      </c>
      <c r="P495" s="7" t="str">
        <f>IFERROR(VLOOKUP(Tabela3[[#This Row],[Categoria]],Cadastros!A:C,3,0),"")</f>
        <v/>
      </c>
      <c r="Q495" s="9" t="str">
        <f ca="1">IFERROR(Tabela3[[#This Row],[Vida útil]]-Tabela3[[#This Row],[Idade]],"")</f>
        <v/>
      </c>
      <c r="R495" s="8" t="str">
        <f ca="1">IFERROR(Tabela3[[#This Row],[Valor]]-(Tabela3[[#This Row],[Valor]]*(Tabela3[[#This Row],[Idade]]*VLOOKUP(Tabela3[[#This Row],[Categoria]],Cadastros!A:B,2,0))),"")</f>
        <v/>
      </c>
    </row>
    <row r="496" spans="4:18" x14ac:dyDescent="0.25">
      <c r="D496" s="5"/>
      <c r="N496" s="6" t="str">
        <f>IFERROR(Tabela3[[#This Row],[Última revisão do bem]]+(VLOOKUP(Tabela3[[#This Row],[Categoria]],Cadastros!A:D,4,0)+365),"")</f>
        <v/>
      </c>
      <c r="O496" s="7" t="str">
        <f ca="1">IF(Tabela3[[#This Row],[Data da compra]]&gt;0,(TODAY()-Tabela3[[#This Row],[Data da compra]])/365,"")</f>
        <v/>
      </c>
      <c r="P496" s="7" t="str">
        <f>IFERROR(VLOOKUP(Tabela3[[#This Row],[Categoria]],Cadastros!A:C,3,0),"")</f>
        <v/>
      </c>
      <c r="Q496" s="9" t="str">
        <f ca="1">IFERROR(Tabela3[[#This Row],[Vida útil]]-Tabela3[[#This Row],[Idade]],"")</f>
        <v/>
      </c>
      <c r="R496" s="8" t="str">
        <f ca="1">IFERROR(Tabela3[[#This Row],[Valor]]-(Tabela3[[#This Row],[Valor]]*(Tabela3[[#This Row],[Idade]]*VLOOKUP(Tabela3[[#This Row],[Categoria]],Cadastros!A:B,2,0))),"")</f>
        <v/>
      </c>
    </row>
    <row r="497" spans="4:18" x14ac:dyDescent="0.25">
      <c r="D497" s="5"/>
      <c r="N497" s="6" t="str">
        <f>IFERROR(Tabela3[[#This Row],[Última revisão do bem]]+(VLOOKUP(Tabela3[[#This Row],[Categoria]],Cadastros!A:D,4,0)+365),"")</f>
        <v/>
      </c>
      <c r="O497" s="7" t="str">
        <f ca="1">IF(Tabela3[[#This Row],[Data da compra]]&gt;0,(TODAY()-Tabela3[[#This Row],[Data da compra]])/365,"")</f>
        <v/>
      </c>
      <c r="P497" s="7" t="str">
        <f>IFERROR(VLOOKUP(Tabela3[[#This Row],[Categoria]],Cadastros!A:C,3,0),"")</f>
        <v/>
      </c>
      <c r="Q497" s="9" t="str">
        <f ca="1">IFERROR(Tabela3[[#This Row],[Vida útil]]-Tabela3[[#This Row],[Idade]],"")</f>
        <v/>
      </c>
      <c r="R497" s="8" t="str">
        <f ca="1">IFERROR(Tabela3[[#This Row],[Valor]]-(Tabela3[[#This Row],[Valor]]*(Tabela3[[#This Row],[Idade]]*VLOOKUP(Tabela3[[#This Row],[Categoria]],Cadastros!A:B,2,0))),"")</f>
        <v/>
      </c>
    </row>
    <row r="498" spans="4:18" x14ac:dyDescent="0.25">
      <c r="D498" s="5"/>
      <c r="N498" s="6" t="str">
        <f>IFERROR(Tabela3[[#This Row],[Última revisão do bem]]+(VLOOKUP(Tabela3[[#This Row],[Categoria]],Cadastros!A:D,4,0)+365),"")</f>
        <v/>
      </c>
      <c r="O498" s="7" t="str">
        <f ca="1">IF(Tabela3[[#This Row],[Data da compra]]&gt;0,(TODAY()-Tabela3[[#This Row],[Data da compra]])/365,"")</f>
        <v/>
      </c>
      <c r="P498" s="7" t="str">
        <f>IFERROR(VLOOKUP(Tabela3[[#This Row],[Categoria]],Cadastros!A:C,3,0),"")</f>
        <v/>
      </c>
      <c r="Q498" s="9" t="str">
        <f ca="1">IFERROR(Tabela3[[#This Row],[Vida útil]]-Tabela3[[#This Row],[Idade]],"")</f>
        <v/>
      </c>
      <c r="R498" s="8" t="str">
        <f ca="1">IFERROR(Tabela3[[#This Row],[Valor]]-(Tabela3[[#This Row],[Valor]]*(Tabela3[[#This Row],[Idade]]*VLOOKUP(Tabela3[[#This Row],[Categoria]],Cadastros!A:B,2,0))),"")</f>
        <v/>
      </c>
    </row>
    <row r="499" spans="4:18" x14ac:dyDescent="0.25">
      <c r="D499" s="5"/>
      <c r="N499" s="6" t="str">
        <f>IFERROR(Tabela3[[#This Row],[Última revisão do bem]]+(VLOOKUP(Tabela3[[#This Row],[Categoria]],Cadastros!A:D,4,0)+365),"")</f>
        <v/>
      </c>
      <c r="O499" s="7" t="str">
        <f ca="1">IF(Tabela3[[#This Row],[Data da compra]]&gt;0,(TODAY()-Tabela3[[#This Row],[Data da compra]])/365,"")</f>
        <v/>
      </c>
      <c r="P499" s="7" t="str">
        <f>IFERROR(VLOOKUP(Tabela3[[#This Row],[Categoria]],Cadastros!A:C,3,0),"")</f>
        <v/>
      </c>
      <c r="Q499" s="9" t="str">
        <f ca="1">IFERROR(Tabela3[[#This Row],[Vida útil]]-Tabela3[[#This Row],[Idade]],"")</f>
        <v/>
      </c>
      <c r="R499" s="8" t="str">
        <f ca="1">IFERROR(Tabela3[[#This Row],[Valor]]-(Tabela3[[#This Row],[Valor]]*(Tabela3[[#This Row],[Idade]]*VLOOKUP(Tabela3[[#This Row],[Categoria]],Cadastros!A:B,2,0))),"")</f>
        <v/>
      </c>
    </row>
    <row r="500" spans="4:18" x14ac:dyDescent="0.25">
      <c r="D500" s="5"/>
      <c r="N500" s="6" t="str">
        <f>IFERROR(Tabela3[[#This Row],[Última revisão do bem]]+(VLOOKUP(Tabela3[[#This Row],[Categoria]],Cadastros!A:D,4,0)+365),"")</f>
        <v/>
      </c>
      <c r="O500" s="7" t="str">
        <f ca="1">IF(Tabela3[[#This Row],[Data da compra]]&gt;0,(TODAY()-Tabela3[[#This Row],[Data da compra]])/365,"")</f>
        <v/>
      </c>
      <c r="P500" s="7" t="str">
        <f>IFERROR(VLOOKUP(Tabela3[[#This Row],[Categoria]],Cadastros!A:C,3,0),"")</f>
        <v/>
      </c>
      <c r="Q500" s="9" t="str">
        <f ca="1">IFERROR(Tabela3[[#This Row],[Vida útil]]-Tabela3[[#This Row],[Idade]],"")</f>
        <v/>
      </c>
      <c r="R500" s="8" t="str">
        <f ca="1">IFERROR(Tabela3[[#This Row],[Valor]]-(Tabela3[[#This Row],[Valor]]*(Tabela3[[#This Row],[Idade]]*VLOOKUP(Tabela3[[#This Row],[Categoria]],Cadastros!A:B,2,0))),"")</f>
        <v/>
      </c>
    </row>
    <row r="501" spans="4:18" x14ac:dyDescent="0.25">
      <c r="D501" s="5"/>
      <c r="N501" s="6" t="str">
        <f>IFERROR(Tabela3[[#This Row],[Última revisão do bem]]+(VLOOKUP(Tabela3[[#This Row],[Categoria]],Cadastros!A:D,4,0)+365),"")</f>
        <v/>
      </c>
      <c r="O501" s="7" t="str">
        <f ca="1">IF(Tabela3[[#This Row],[Data da compra]]&gt;0,(TODAY()-Tabela3[[#This Row],[Data da compra]])/365,"")</f>
        <v/>
      </c>
      <c r="P501" s="7" t="str">
        <f>IFERROR(VLOOKUP(Tabela3[[#This Row],[Categoria]],Cadastros!A:C,3,0),"")</f>
        <v/>
      </c>
      <c r="Q501" s="9" t="str">
        <f ca="1">IFERROR(Tabela3[[#This Row],[Vida útil]]-Tabela3[[#This Row],[Idade]],"")</f>
        <v/>
      </c>
      <c r="R501" s="8" t="str">
        <f ca="1">IFERROR(Tabela3[[#This Row],[Valor]]-(Tabela3[[#This Row],[Valor]]*(Tabela3[[#This Row],[Idade]]*VLOOKUP(Tabela3[[#This Row],[Categoria]],Cadastros!A:B,2,0))),"")</f>
        <v/>
      </c>
    </row>
    <row r="502" spans="4:18" x14ac:dyDescent="0.25">
      <c r="D502" s="5"/>
      <c r="N502" s="6" t="str">
        <f>IFERROR(Tabela3[[#This Row],[Última revisão do bem]]+(VLOOKUP(Tabela3[[#This Row],[Categoria]],Cadastros!A:D,4,0)+365),"")</f>
        <v/>
      </c>
      <c r="O502" s="7" t="str">
        <f ca="1">IF(Tabela3[[#This Row],[Data da compra]]&gt;0,(TODAY()-Tabela3[[#This Row],[Data da compra]])/365,"")</f>
        <v/>
      </c>
      <c r="P502" s="7" t="str">
        <f>IFERROR(VLOOKUP(Tabela3[[#This Row],[Categoria]],Cadastros!A:C,3,0),"")</f>
        <v/>
      </c>
      <c r="Q502" s="9" t="str">
        <f ca="1">IFERROR(Tabela3[[#This Row],[Vida útil]]-Tabela3[[#This Row],[Idade]],"")</f>
        <v/>
      </c>
      <c r="R502" s="8" t="str">
        <f ca="1">IFERROR(Tabela3[[#This Row],[Valor]]-(Tabela3[[#This Row],[Valor]]*(Tabela3[[#This Row],[Idade]]*VLOOKUP(Tabela3[[#This Row],[Categoria]],Cadastros!A:B,2,0))),"")</f>
        <v/>
      </c>
    </row>
    <row r="503" spans="4:18" x14ac:dyDescent="0.25">
      <c r="D503" s="5"/>
      <c r="N503" s="6" t="str">
        <f>IFERROR(Tabela3[[#This Row],[Última revisão do bem]]+(VLOOKUP(Tabela3[[#This Row],[Categoria]],Cadastros!A:D,4,0)+365),"")</f>
        <v/>
      </c>
      <c r="O503" s="7" t="str">
        <f ca="1">IF(Tabela3[[#This Row],[Data da compra]]&gt;0,(TODAY()-Tabela3[[#This Row],[Data da compra]])/365,"")</f>
        <v/>
      </c>
      <c r="P503" s="7" t="str">
        <f>IFERROR(VLOOKUP(Tabela3[[#This Row],[Categoria]],Cadastros!A:C,3,0),"")</f>
        <v/>
      </c>
      <c r="Q503" s="9" t="str">
        <f ca="1">IFERROR(Tabela3[[#This Row],[Vida útil]]-Tabela3[[#This Row],[Idade]],"")</f>
        <v/>
      </c>
      <c r="R503" s="8" t="str">
        <f ca="1">IFERROR(Tabela3[[#This Row],[Valor]]-(Tabela3[[#This Row],[Valor]]*(Tabela3[[#This Row],[Idade]]*VLOOKUP(Tabela3[[#This Row],[Categoria]],Cadastros!A:B,2,0))),"")</f>
        <v/>
      </c>
    </row>
    <row r="504" spans="4:18" x14ac:dyDescent="0.25">
      <c r="D504" s="5"/>
      <c r="N504" s="6" t="str">
        <f>IFERROR(Tabela3[[#This Row],[Última revisão do bem]]+(VLOOKUP(Tabela3[[#This Row],[Categoria]],Cadastros!A:D,4,0)+365),"")</f>
        <v/>
      </c>
      <c r="O504" s="7" t="str">
        <f ca="1">IF(Tabela3[[#This Row],[Data da compra]]&gt;0,(TODAY()-Tabela3[[#This Row],[Data da compra]])/365,"")</f>
        <v/>
      </c>
      <c r="P504" s="7" t="str">
        <f>IFERROR(VLOOKUP(Tabela3[[#This Row],[Categoria]],Cadastros!A:C,3,0),"")</f>
        <v/>
      </c>
      <c r="Q504" s="9" t="str">
        <f ca="1">IFERROR(Tabela3[[#This Row],[Vida útil]]-Tabela3[[#This Row],[Idade]],"")</f>
        <v/>
      </c>
      <c r="R504" s="8" t="str">
        <f ca="1">IFERROR(Tabela3[[#This Row],[Valor]]-(Tabela3[[#This Row],[Valor]]*(Tabela3[[#This Row],[Idade]]*VLOOKUP(Tabela3[[#This Row],[Categoria]],Cadastros!A:B,2,0))),"")</f>
        <v/>
      </c>
    </row>
    <row r="505" spans="4:18" x14ac:dyDescent="0.25">
      <c r="D505" s="5"/>
      <c r="N505" s="6" t="str">
        <f>IFERROR(Tabela3[[#This Row],[Última revisão do bem]]+(VLOOKUP(Tabela3[[#This Row],[Categoria]],Cadastros!A:D,4,0)+365),"")</f>
        <v/>
      </c>
      <c r="O505" s="7" t="str">
        <f ca="1">IF(Tabela3[[#This Row],[Data da compra]]&gt;0,(TODAY()-Tabela3[[#This Row],[Data da compra]])/365,"")</f>
        <v/>
      </c>
      <c r="P505" s="7" t="str">
        <f>IFERROR(VLOOKUP(Tabela3[[#This Row],[Categoria]],Cadastros!A:C,3,0),"")</f>
        <v/>
      </c>
      <c r="Q505" s="9" t="str">
        <f ca="1">IFERROR(Tabela3[[#This Row],[Vida útil]]-Tabela3[[#This Row],[Idade]],"")</f>
        <v/>
      </c>
      <c r="R505" s="8" t="str">
        <f ca="1">IFERROR(Tabela3[[#This Row],[Valor]]-(Tabela3[[#This Row],[Valor]]*(Tabela3[[#This Row],[Idade]]*VLOOKUP(Tabela3[[#This Row],[Categoria]],Cadastros!A:B,2,0))),"")</f>
        <v/>
      </c>
    </row>
    <row r="506" spans="4:18" x14ac:dyDescent="0.25">
      <c r="D506" s="5"/>
      <c r="N506" s="6" t="str">
        <f>IFERROR(Tabela3[[#This Row],[Última revisão do bem]]+(VLOOKUP(Tabela3[[#This Row],[Categoria]],Cadastros!A:D,4,0)+365),"")</f>
        <v/>
      </c>
      <c r="O506" s="7" t="str">
        <f ca="1">IF(Tabela3[[#This Row],[Data da compra]]&gt;0,(TODAY()-Tabela3[[#This Row],[Data da compra]])/365,"")</f>
        <v/>
      </c>
      <c r="P506" s="7" t="str">
        <f>IFERROR(VLOOKUP(Tabela3[[#This Row],[Categoria]],Cadastros!A:C,3,0),"")</f>
        <v/>
      </c>
      <c r="Q506" s="9" t="str">
        <f ca="1">IFERROR(Tabela3[[#This Row],[Vida útil]]-Tabela3[[#This Row],[Idade]],"")</f>
        <v/>
      </c>
      <c r="R506" s="8" t="str">
        <f ca="1">IFERROR(Tabela3[[#This Row],[Valor]]-(Tabela3[[#This Row],[Valor]]*(Tabela3[[#This Row],[Idade]]*VLOOKUP(Tabela3[[#This Row],[Categoria]],Cadastros!A:B,2,0))),"")</f>
        <v/>
      </c>
    </row>
    <row r="507" spans="4:18" x14ac:dyDescent="0.25">
      <c r="D507" s="5"/>
      <c r="N507" s="6" t="str">
        <f>IFERROR(Tabela3[[#This Row],[Última revisão do bem]]+(VLOOKUP(Tabela3[[#This Row],[Categoria]],Cadastros!A:D,4,0)+365),"")</f>
        <v/>
      </c>
      <c r="O507" s="7" t="str">
        <f ca="1">IF(Tabela3[[#This Row],[Data da compra]]&gt;0,(TODAY()-Tabela3[[#This Row],[Data da compra]])/365,"")</f>
        <v/>
      </c>
      <c r="P507" s="7" t="str">
        <f>IFERROR(VLOOKUP(Tabela3[[#This Row],[Categoria]],Cadastros!A:C,3,0),"")</f>
        <v/>
      </c>
      <c r="Q507" s="9" t="str">
        <f ca="1">IFERROR(Tabela3[[#This Row],[Vida útil]]-Tabela3[[#This Row],[Idade]],"")</f>
        <v/>
      </c>
      <c r="R507" s="8" t="str">
        <f ca="1">IFERROR(Tabela3[[#This Row],[Valor]]-(Tabela3[[#This Row],[Valor]]*(Tabela3[[#This Row],[Idade]]*VLOOKUP(Tabela3[[#This Row],[Categoria]],Cadastros!A:B,2,0))),"")</f>
        <v/>
      </c>
    </row>
    <row r="508" spans="4:18" x14ac:dyDescent="0.25">
      <c r="D508" s="5"/>
      <c r="N508" s="6" t="str">
        <f>IFERROR(Tabela3[[#This Row],[Última revisão do bem]]+(VLOOKUP(Tabela3[[#This Row],[Categoria]],Cadastros!A:D,4,0)+365),"")</f>
        <v/>
      </c>
      <c r="O508" s="7" t="str">
        <f ca="1">IF(Tabela3[[#This Row],[Data da compra]]&gt;0,(TODAY()-Tabela3[[#This Row],[Data da compra]])/365,"")</f>
        <v/>
      </c>
      <c r="P508" s="7" t="str">
        <f>IFERROR(VLOOKUP(Tabela3[[#This Row],[Categoria]],Cadastros!A:C,3,0),"")</f>
        <v/>
      </c>
      <c r="Q508" s="9" t="str">
        <f ca="1">IFERROR(Tabela3[[#This Row],[Vida útil]]-Tabela3[[#This Row],[Idade]],"")</f>
        <v/>
      </c>
      <c r="R508" s="8" t="str">
        <f ca="1">IFERROR(Tabela3[[#This Row],[Valor]]-(Tabela3[[#This Row],[Valor]]*(Tabela3[[#This Row],[Idade]]*VLOOKUP(Tabela3[[#This Row],[Categoria]],Cadastros!A:B,2,0))),"")</f>
        <v/>
      </c>
    </row>
    <row r="509" spans="4:18" x14ac:dyDescent="0.25">
      <c r="D509" s="5"/>
      <c r="N509" s="6" t="str">
        <f>IFERROR(Tabela3[[#This Row],[Última revisão do bem]]+(VLOOKUP(Tabela3[[#This Row],[Categoria]],Cadastros!A:D,4,0)+365),"")</f>
        <v/>
      </c>
      <c r="O509" s="7" t="str">
        <f ca="1">IF(Tabela3[[#This Row],[Data da compra]]&gt;0,(TODAY()-Tabela3[[#This Row],[Data da compra]])/365,"")</f>
        <v/>
      </c>
      <c r="P509" s="7" t="str">
        <f>IFERROR(VLOOKUP(Tabela3[[#This Row],[Categoria]],Cadastros!A:C,3,0),"")</f>
        <v/>
      </c>
      <c r="Q509" s="9" t="str">
        <f ca="1">IFERROR(Tabela3[[#This Row],[Vida útil]]-Tabela3[[#This Row],[Idade]],"")</f>
        <v/>
      </c>
      <c r="R509" s="8" t="str">
        <f ca="1">IFERROR(Tabela3[[#This Row],[Valor]]-(Tabela3[[#This Row],[Valor]]*(Tabela3[[#This Row],[Idade]]*VLOOKUP(Tabela3[[#This Row],[Categoria]],Cadastros!A:B,2,0))),"")</f>
        <v/>
      </c>
    </row>
    <row r="510" spans="4:18" x14ac:dyDescent="0.25">
      <c r="D510" s="22"/>
      <c r="N510" s="6" t="str">
        <f>IFERROR(Tabela3[[#This Row],[Última revisão do bem]]+(VLOOKUP(Tabela3[[#This Row],[Categoria]],Cadastros!A:D,4,0)+365),"")</f>
        <v/>
      </c>
      <c r="O510" s="7" t="str">
        <f ca="1">IF(Tabela3[[#This Row],[Data da compra]]&gt;0,(TODAY()-Tabela3[[#This Row],[Data da compra]])/365,"")</f>
        <v/>
      </c>
      <c r="P510" s="7" t="str">
        <f>IFERROR(VLOOKUP(Tabela3[[#This Row],[Categoria]],Cadastros!A:C,3,0),"")</f>
        <v/>
      </c>
      <c r="Q510" s="9" t="str">
        <f ca="1">IFERROR(Tabela3[[#This Row],[Vida útil]]-Tabela3[[#This Row],[Idade]],"")</f>
        <v/>
      </c>
      <c r="R510" s="23" t="str">
        <f ca="1">IFERROR(Tabela3[[#This Row],[Valor]]-(Tabela3[[#This Row],[Valor]]*(Tabela3[[#This Row],[Idade]]*VLOOKUP(Tabela3[[#This Row],[Categoria]],Cadastros!A:B,2,0))),"")</f>
        <v/>
      </c>
    </row>
    <row r="511" spans="4:18" x14ac:dyDescent="0.25">
      <c r="D511" s="5"/>
      <c r="N511" s="6" t="str">
        <f>IFERROR(Tabela3[[#This Row],[Última revisão do bem]]+(VLOOKUP(Tabela3[[#This Row],[Categoria]],Cadastros!A:D,4,0)+365),"")</f>
        <v/>
      </c>
      <c r="O511" s="7" t="str">
        <f ca="1">IF(Tabela3[[#This Row],[Data da compra]]&gt;0,(TODAY()-Tabela3[[#This Row],[Data da compra]])/365,"")</f>
        <v/>
      </c>
      <c r="P511" s="7" t="str">
        <f>IFERROR(VLOOKUP(Tabela3[[#This Row],[Categoria]],Cadastros!A:C,3,0),"")</f>
        <v/>
      </c>
      <c r="Q511" s="9" t="str">
        <f ca="1">IFERROR(Tabela3[[#This Row],[Vida útil]]-Tabela3[[#This Row],[Idade]],"")</f>
        <v/>
      </c>
      <c r="R511" s="8" t="str">
        <f ca="1">IFERROR(Tabela3[[#This Row],[Valor]]-(Tabela3[[#This Row],[Valor]]*(Tabela3[[#This Row],[Idade]]*VLOOKUP(Tabela3[[#This Row],[Categoria]],Cadastros!A:B,2,0))),"")</f>
        <v/>
      </c>
    </row>
    <row r="512" spans="4:18" x14ac:dyDescent="0.25">
      <c r="D512" s="5"/>
      <c r="N512" s="6" t="str">
        <f>IFERROR(Tabela3[[#This Row],[Última revisão do bem]]+(VLOOKUP(Tabela3[[#This Row],[Categoria]],Cadastros!A:D,4,0)+365),"")</f>
        <v/>
      </c>
      <c r="O512" s="7" t="str">
        <f ca="1">IF(Tabela3[[#This Row],[Data da compra]]&gt;0,(TODAY()-Tabela3[[#This Row],[Data da compra]])/365,"")</f>
        <v/>
      </c>
      <c r="P512" s="7" t="str">
        <f>IFERROR(VLOOKUP(Tabela3[[#This Row],[Categoria]],Cadastros!A:C,3,0),"")</f>
        <v/>
      </c>
      <c r="Q512" s="9" t="str">
        <f ca="1">IFERROR(Tabela3[[#This Row],[Vida útil]]-Tabela3[[#This Row],[Idade]],"")</f>
        <v/>
      </c>
      <c r="R512" s="8" t="str">
        <f ca="1">IFERROR(Tabela3[[#This Row],[Valor]]-(Tabela3[[#This Row],[Valor]]*(Tabela3[[#This Row],[Idade]]*VLOOKUP(Tabela3[[#This Row],[Categoria]],Cadastros!A:B,2,0))),"")</f>
        <v/>
      </c>
    </row>
    <row r="513" spans="4:18" x14ac:dyDescent="0.25">
      <c r="D513" s="5"/>
      <c r="N513" s="6" t="str">
        <f>IFERROR(Tabela3[[#This Row],[Última revisão do bem]]+(VLOOKUP(Tabela3[[#This Row],[Categoria]],Cadastros!A:D,4,0)+365),"")</f>
        <v/>
      </c>
      <c r="O513" s="7" t="str">
        <f ca="1">IF(Tabela3[[#This Row],[Data da compra]]&gt;0,(TODAY()-Tabela3[[#This Row],[Data da compra]])/365,"")</f>
        <v/>
      </c>
      <c r="P513" s="7" t="str">
        <f>IFERROR(VLOOKUP(Tabela3[[#This Row],[Categoria]],Cadastros!A:C,3,0),"")</f>
        <v/>
      </c>
      <c r="Q513" s="9" t="str">
        <f ca="1">IFERROR(Tabela3[[#This Row],[Vida útil]]-Tabela3[[#This Row],[Idade]],"")</f>
        <v/>
      </c>
      <c r="R513" s="8" t="str">
        <f ca="1">IFERROR(Tabela3[[#This Row],[Valor]]-(Tabela3[[#This Row],[Valor]]*(Tabela3[[#This Row],[Idade]]*VLOOKUP(Tabela3[[#This Row],[Categoria]],Cadastros!A:B,2,0))),"")</f>
        <v/>
      </c>
    </row>
    <row r="514" spans="4:18" x14ac:dyDescent="0.25">
      <c r="D514" s="5"/>
      <c r="N514" s="6" t="str">
        <f>IFERROR(Tabela3[[#This Row],[Última revisão do bem]]+(VLOOKUP(Tabela3[[#This Row],[Categoria]],Cadastros!A:D,4,0)+365),"")</f>
        <v/>
      </c>
      <c r="O514" s="7" t="str">
        <f ca="1">IF(Tabela3[[#This Row],[Data da compra]]&gt;0,(TODAY()-Tabela3[[#This Row],[Data da compra]])/365,"")</f>
        <v/>
      </c>
      <c r="P514" s="7" t="str">
        <f>IFERROR(VLOOKUP(Tabela3[[#This Row],[Categoria]],Cadastros!A:C,3,0),"")</f>
        <v/>
      </c>
      <c r="Q514" s="9" t="str">
        <f ca="1">IFERROR(Tabela3[[#This Row],[Vida útil]]-Tabela3[[#This Row],[Idade]],"")</f>
        <v/>
      </c>
      <c r="R514" s="8" t="str">
        <f ca="1">IFERROR(Tabela3[[#This Row],[Valor]]-(Tabela3[[#This Row],[Valor]]*(Tabela3[[#This Row],[Idade]]*VLOOKUP(Tabela3[[#This Row],[Categoria]],Cadastros!A:B,2,0))),"")</f>
        <v/>
      </c>
    </row>
    <row r="515" spans="4:18" x14ac:dyDescent="0.25">
      <c r="D515" s="5"/>
      <c r="N515" s="6" t="str">
        <f>IFERROR(Tabela3[[#This Row],[Última revisão do bem]]+(VLOOKUP(Tabela3[[#This Row],[Categoria]],Cadastros!A:D,4,0)+365),"")</f>
        <v/>
      </c>
      <c r="O515" s="7" t="str">
        <f ca="1">IF(Tabela3[[#This Row],[Data da compra]]&gt;0,(TODAY()-Tabela3[[#This Row],[Data da compra]])/365,"")</f>
        <v/>
      </c>
      <c r="P515" s="7" t="str">
        <f>IFERROR(VLOOKUP(Tabela3[[#This Row],[Categoria]],Cadastros!A:C,3,0),"")</f>
        <v/>
      </c>
      <c r="Q515" s="9" t="str">
        <f ca="1">IFERROR(Tabela3[[#This Row],[Vida útil]]-Tabela3[[#This Row],[Idade]],"")</f>
        <v/>
      </c>
      <c r="R515" s="8" t="str">
        <f ca="1">IFERROR(Tabela3[[#This Row],[Valor]]-(Tabela3[[#This Row],[Valor]]*(Tabela3[[#This Row],[Idade]]*VLOOKUP(Tabela3[[#This Row],[Categoria]],Cadastros!A:B,2,0))),"")</f>
        <v/>
      </c>
    </row>
    <row r="516" spans="4:18" x14ac:dyDescent="0.25">
      <c r="D516" s="5"/>
      <c r="N516" s="6" t="str">
        <f>IFERROR(Tabela3[[#This Row],[Última revisão do bem]]+(VLOOKUP(Tabela3[[#This Row],[Categoria]],Cadastros!A:D,4,0)+365),"")</f>
        <v/>
      </c>
      <c r="O516" s="7" t="str">
        <f ca="1">IF(Tabela3[[#This Row],[Data da compra]]&gt;0,(TODAY()-Tabela3[[#This Row],[Data da compra]])/365,"")</f>
        <v/>
      </c>
      <c r="P516" s="7" t="str">
        <f>IFERROR(VLOOKUP(Tabela3[[#This Row],[Categoria]],Cadastros!A:C,3,0),"")</f>
        <v/>
      </c>
      <c r="Q516" s="9" t="str">
        <f ca="1">IFERROR(Tabela3[[#This Row],[Vida útil]]-Tabela3[[#This Row],[Idade]],"")</f>
        <v/>
      </c>
      <c r="R516" s="8" t="str">
        <f ca="1">IFERROR(Tabela3[[#This Row],[Valor]]-(Tabela3[[#This Row],[Valor]]*(Tabela3[[#This Row],[Idade]]*VLOOKUP(Tabela3[[#This Row],[Categoria]],Cadastros!A:B,2,0))),"")</f>
        <v/>
      </c>
    </row>
    <row r="517" spans="4:18" x14ac:dyDescent="0.25">
      <c r="D517" s="5"/>
      <c r="N517" s="6" t="str">
        <f>IFERROR(Tabela3[[#This Row],[Última revisão do bem]]+(VLOOKUP(Tabela3[[#This Row],[Categoria]],Cadastros!A:D,4,0)+365),"")</f>
        <v/>
      </c>
      <c r="O517" s="7" t="str">
        <f ca="1">IF(Tabela3[[#This Row],[Data da compra]]&gt;0,(TODAY()-Tabela3[[#This Row],[Data da compra]])/365,"")</f>
        <v/>
      </c>
      <c r="P517" s="7" t="str">
        <f>IFERROR(VLOOKUP(Tabela3[[#This Row],[Categoria]],Cadastros!A:C,3,0),"")</f>
        <v/>
      </c>
      <c r="Q517" s="9" t="str">
        <f ca="1">IFERROR(Tabela3[[#This Row],[Vida útil]]-Tabela3[[#This Row],[Idade]],"")</f>
        <v/>
      </c>
      <c r="R517" s="8" t="str">
        <f ca="1">IFERROR(Tabela3[[#This Row],[Valor]]-(Tabela3[[#This Row],[Valor]]*(Tabela3[[#This Row],[Idade]]*VLOOKUP(Tabela3[[#This Row],[Categoria]],Cadastros!A:B,2,0))),"")</f>
        <v/>
      </c>
    </row>
    <row r="518" spans="4:18" x14ac:dyDescent="0.25">
      <c r="D518" s="5"/>
      <c r="N518" s="6" t="str">
        <f>IFERROR(Tabela3[[#This Row],[Última revisão do bem]]+(VLOOKUP(Tabela3[[#This Row],[Categoria]],Cadastros!A:D,4,0)+365),"")</f>
        <v/>
      </c>
      <c r="O518" s="7" t="str">
        <f ca="1">IF(Tabela3[[#This Row],[Data da compra]]&gt;0,(TODAY()-Tabela3[[#This Row],[Data da compra]])/365,"")</f>
        <v/>
      </c>
      <c r="P518" s="7" t="str">
        <f>IFERROR(VLOOKUP(Tabela3[[#This Row],[Categoria]],Cadastros!A:C,3,0),"")</f>
        <v/>
      </c>
      <c r="Q518" s="9" t="str">
        <f ca="1">IFERROR(Tabela3[[#This Row],[Vida útil]]-Tabela3[[#This Row],[Idade]],"")</f>
        <v/>
      </c>
      <c r="R518" s="8" t="str">
        <f ca="1">IFERROR(Tabela3[[#This Row],[Valor]]-(Tabela3[[#This Row],[Valor]]*(Tabela3[[#This Row],[Idade]]*VLOOKUP(Tabela3[[#This Row],[Categoria]],Cadastros!A:B,2,0))),"")</f>
        <v/>
      </c>
    </row>
    <row r="519" spans="4:18" x14ac:dyDescent="0.25">
      <c r="D519" s="5"/>
      <c r="N519" s="6" t="str">
        <f>IFERROR(Tabela3[[#This Row],[Última revisão do bem]]+(VLOOKUP(Tabela3[[#This Row],[Categoria]],Cadastros!A:D,4,0)+365),"")</f>
        <v/>
      </c>
      <c r="O519" s="7" t="str">
        <f ca="1">IF(Tabela3[[#This Row],[Data da compra]]&gt;0,(TODAY()-Tabela3[[#This Row],[Data da compra]])/365,"")</f>
        <v/>
      </c>
      <c r="P519" s="7" t="str">
        <f>IFERROR(VLOOKUP(Tabela3[[#This Row],[Categoria]],Cadastros!A:C,3,0),"")</f>
        <v/>
      </c>
      <c r="Q519" s="9" t="str">
        <f ca="1">IFERROR(Tabela3[[#This Row],[Vida útil]]-Tabela3[[#This Row],[Idade]],"")</f>
        <v/>
      </c>
      <c r="R519" s="8" t="str">
        <f ca="1">IFERROR(Tabela3[[#This Row],[Valor]]-(Tabela3[[#This Row],[Valor]]*(Tabela3[[#This Row],[Idade]]*VLOOKUP(Tabela3[[#This Row],[Categoria]],Cadastros!A:B,2,0))),"")</f>
        <v/>
      </c>
    </row>
    <row r="520" spans="4:18" x14ac:dyDescent="0.25">
      <c r="D520" s="5"/>
      <c r="N520" s="6" t="str">
        <f>IFERROR(Tabela3[[#This Row],[Última revisão do bem]]+(VLOOKUP(Tabela3[[#This Row],[Categoria]],Cadastros!A:D,4,0)+365),"")</f>
        <v/>
      </c>
      <c r="O520" s="7" t="str">
        <f ca="1">IF(Tabela3[[#This Row],[Data da compra]]&gt;0,(TODAY()-Tabela3[[#This Row],[Data da compra]])/365,"")</f>
        <v/>
      </c>
      <c r="P520" s="7" t="str">
        <f>IFERROR(VLOOKUP(Tabela3[[#This Row],[Categoria]],Cadastros!A:C,3,0),"")</f>
        <v/>
      </c>
      <c r="Q520" s="9" t="str">
        <f ca="1">IFERROR(Tabela3[[#This Row],[Vida útil]]-Tabela3[[#This Row],[Idade]],"")</f>
        <v/>
      </c>
      <c r="R520" s="8" t="str">
        <f ca="1">IFERROR(Tabela3[[#This Row],[Valor]]-(Tabela3[[#This Row],[Valor]]*(Tabela3[[#This Row],[Idade]]*VLOOKUP(Tabela3[[#This Row],[Categoria]],Cadastros!A:B,2,0))),"")</f>
        <v/>
      </c>
    </row>
    <row r="521" spans="4:18" x14ac:dyDescent="0.25">
      <c r="D521" s="5"/>
      <c r="N521" s="6" t="str">
        <f>IFERROR(Tabela3[[#This Row],[Última revisão do bem]]+(VLOOKUP(Tabela3[[#This Row],[Categoria]],Cadastros!A:D,4,0)+365),"")</f>
        <v/>
      </c>
      <c r="O521" s="7" t="str">
        <f ca="1">IF(Tabela3[[#This Row],[Data da compra]]&gt;0,(TODAY()-Tabela3[[#This Row],[Data da compra]])/365,"")</f>
        <v/>
      </c>
      <c r="P521" s="7" t="str">
        <f>IFERROR(VLOOKUP(Tabela3[[#This Row],[Categoria]],Cadastros!A:C,3,0),"")</f>
        <v/>
      </c>
      <c r="Q521" s="9" t="str">
        <f ca="1">IFERROR(Tabela3[[#This Row],[Vida útil]]-Tabela3[[#This Row],[Idade]],"")</f>
        <v/>
      </c>
      <c r="R521" s="8" t="str">
        <f ca="1">IFERROR(Tabela3[[#This Row],[Valor]]-(Tabela3[[#This Row],[Valor]]*(Tabela3[[#This Row],[Idade]]*VLOOKUP(Tabela3[[#This Row],[Categoria]],Cadastros!A:B,2,0))),"")</f>
        <v/>
      </c>
    </row>
    <row r="522" spans="4:18" x14ac:dyDescent="0.25">
      <c r="D522" s="5"/>
      <c r="N522" s="6" t="str">
        <f>IFERROR(Tabela3[[#This Row],[Última revisão do bem]]+(VLOOKUP(Tabela3[[#This Row],[Categoria]],Cadastros!A:D,4,0)+365),"")</f>
        <v/>
      </c>
      <c r="O522" s="7" t="str">
        <f ca="1">IF(Tabela3[[#This Row],[Data da compra]]&gt;0,(TODAY()-Tabela3[[#This Row],[Data da compra]])/365,"")</f>
        <v/>
      </c>
      <c r="P522" s="7" t="str">
        <f>IFERROR(VLOOKUP(Tabela3[[#This Row],[Categoria]],Cadastros!A:C,3,0),"")</f>
        <v/>
      </c>
      <c r="Q522" s="9" t="str">
        <f ca="1">IFERROR(Tabela3[[#This Row],[Vida útil]]-Tabela3[[#This Row],[Idade]],"")</f>
        <v/>
      </c>
      <c r="R522" s="8" t="str">
        <f ca="1">IFERROR(Tabela3[[#This Row],[Valor]]-(Tabela3[[#This Row],[Valor]]*(Tabela3[[#This Row],[Idade]]*VLOOKUP(Tabela3[[#This Row],[Categoria]],Cadastros!A:B,2,0))),"")</f>
        <v/>
      </c>
    </row>
    <row r="523" spans="4:18" x14ac:dyDescent="0.25">
      <c r="D523" s="5"/>
      <c r="N523" s="6" t="str">
        <f>IFERROR(Tabela3[[#This Row],[Última revisão do bem]]+(VLOOKUP(Tabela3[[#This Row],[Categoria]],Cadastros!A:D,4,0)+365),"")</f>
        <v/>
      </c>
      <c r="O523" s="7" t="str">
        <f ca="1">IF(Tabela3[[#This Row],[Data da compra]]&gt;0,(TODAY()-Tabela3[[#This Row],[Data da compra]])/365,"")</f>
        <v/>
      </c>
      <c r="P523" s="7" t="str">
        <f>IFERROR(VLOOKUP(Tabela3[[#This Row],[Categoria]],Cadastros!A:C,3,0),"")</f>
        <v/>
      </c>
      <c r="Q523" s="9" t="str">
        <f ca="1">IFERROR(Tabela3[[#This Row],[Vida útil]]-Tabela3[[#This Row],[Idade]],"")</f>
        <v/>
      </c>
      <c r="R523" s="8" t="str">
        <f ca="1">IFERROR(Tabela3[[#This Row],[Valor]]-(Tabela3[[#This Row],[Valor]]*(Tabela3[[#This Row],[Idade]]*VLOOKUP(Tabela3[[#This Row],[Categoria]],Cadastros!A:B,2,0))),"")</f>
        <v/>
      </c>
    </row>
    <row r="524" spans="4:18" x14ac:dyDescent="0.25">
      <c r="D524" s="5"/>
      <c r="N524" s="6" t="str">
        <f>IFERROR(Tabela3[[#This Row],[Última revisão do bem]]+(VLOOKUP(Tabela3[[#This Row],[Categoria]],Cadastros!A:D,4,0)+365),"")</f>
        <v/>
      </c>
      <c r="O524" s="7" t="str">
        <f ca="1">IF(Tabela3[[#This Row],[Data da compra]]&gt;0,(TODAY()-Tabela3[[#This Row],[Data da compra]])/365,"")</f>
        <v/>
      </c>
      <c r="P524" s="7" t="str">
        <f>IFERROR(VLOOKUP(Tabela3[[#This Row],[Categoria]],Cadastros!A:C,3,0),"")</f>
        <v/>
      </c>
      <c r="Q524" s="9" t="str">
        <f ca="1">IFERROR(Tabela3[[#This Row],[Vida útil]]-Tabela3[[#This Row],[Idade]],"")</f>
        <v/>
      </c>
      <c r="R524" s="8" t="str">
        <f ca="1">IFERROR(Tabela3[[#This Row],[Valor]]-(Tabela3[[#This Row],[Valor]]*(Tabela3[[#This Row],[Idade]]*VLOOKUP(Tabela3[[#This Row],[Categoria]],Cadastros!A:B,2,0))),"")</f>
        <v/>
      </c>
    </row>
    <row r="525" spans="4:18" x14ac:dyDescent="0.25">
      <c r="D525" s="5"/>
      <c r="N525" s="6" t="str">
        <f>IFERROR(Tabela3[[#This Row],[Última revisão do bem]]+(VLOOKUP(Tabela3[[#This Row],[Categoria]],Cadastros!A:D,4,0)+365),"")</f>
        <v/>
      </c>
      <c r="O525" s="7" t="str">
        <f ca="1">IF(Tabela3[[#This Row],[Data da compra]]&gt;0,(TODAY()-Tabela3[[#This Row],[Data da compra]])/365,"")</f>
        <v/>
      </c>
      <c r="P525" s="7" t="str">
        <f>IFERROR(VLOOKUP(Tabela3[[#This Row],[Categoria]],Cadastros!A:C,3,0),"")</f>
        <v/>
      </c>
      <c r="Q525" s="9" t="str">
        <f ca="1">IFERROR(Tabela3[[#This Row],[Vida útil]]-Tabela3[[#This Row],[Idade]],"")</f>
        <v/>
      </c>
      <c r="R525" s="8" t="str">
        <f ca="1">IFERROR(Tabela3[[#This Row],[Valor]]-(Tabela3[[#This Row],[Valor]]*(Tabela3[[#This Row],[Idade]]*VLOOKUP(Tabela3[[#This Row],[Categoria]],Cadastros!A:B,2,0))),"")</f>
        <v/>
      </c>
    </row>
    <row r="526" spans="4:18" x14ac:dyDescent="0.25">
      <c r="D526" s="5"/>
      <c r="N526" s="6" t="str">
        <f>IFERROR(Tabela3[[#This Row],[Última revisão do bem]]+(VLOOKUP(Tabela3[[#This Row],[Categoria]],Cadastros!A:D,4,0)+365),"")</f>
        <v/>
      </c>
      <c r="O526" s="7" t="str">
        <f ca="1">IF(Tabela3[[#This Row],[Data da compra]]&gt;0,(TODAY()-Tabela3[[#This Row],[Data da compra]])/365,"")</f>
        <v/>
      </c>
      <c r="P526" s="7" t="str">
        <f>IFERROR(VLOOKUP(Tabela3[[#This Row],[Categoria]],Cadastros!A:C,3,0),"")</f>
        <v/>
      </c>
      <c r="Q526" s="9" t="str">
        <f ca="1">IFERROR(Tabela3[[#This Row],[Vida útil]]-Tabela3[[#This Row],[Idade]],"")</f>
        <v/>
      </c>
      <c r="R526" s="8" t="str">
        <f ca="1">IFERROR(Tabela3[[#This Row],[Valor]]-(Tabela3[[#This Row],[Valor]]*(Tabela3[[#This Row],[Idade]]*VLOOKUP(Tabela3[[#This Row],[Categoria]],Cadastros!A:B,2,0))),"")</f>
        <v/>
      </c>
    </row>
    <row r="527" spans="4:18" x14ac:dyDescent="0.25">
      <c r="D527" s="5"/>
      <c r="N527" s="6" t="str">
        <f>IFERROR(Tabela3[[#This Row],[Última revisão do bem]]+(VLOOKUP(Tabela3[[#This Row],[Categoria]],Cadastros!A:D,4,0)+365),"")</f>
        <v/>
      </c>
      <c r="O527" s="7" t="str">
        <f ca="1">IF(Tabela3[[#This Row],[Data da compra]]&gt;0,(TODAY()-Tabela3[[#This Row],[Data da compra]])/365,"")</f>
        <v/>
      </c>
      <c r="P527" s="7" t="str">
        <f>IFERROR(VLOOKUP(Tabela3[[#This Row],[Categoria]],Cadastros!A:C,3,0),"")</f>
        <v/>
      </c>
      <c r="Q527" s="9" t="str">
        <f ca="1">IFERROR(Tabela3[[#This Row],[Vida útil]]-Tabela3[[#This Row],[Idade]],"")</f>
        <v/>
      </c>
      <c r="R527" s="8" t="str">
        <f ca="1">IFERROR(Tabela3[[#This Row],[Valor]]-(Tabela3[[#This Row],[Valor]]*(Tabela3[[#This Row],[Idade]]*VLOOKUP(Tabela3[[#This Row],[Categoria]],Cadastros!A:B,2,0))),"")</f>
        <v/>
      </c>
    </row>
    <row r="528" spans="4:18" x14ac:dyDescent="0.25">
      <c r="D528" s="22"/>
      <c r="N528" s="6" t="str">
        <f>IFERROR(Tabela3[[#This Row],[Última revisão do bem]]+(VLOOKUP(Tabela3[[#This Row],[Categoria]],Cadastros!A:D,4,0)+365),"")</f>
        <v/>
      </c>
      <c r="O528" s="7" t="str">
        <f ca="1">IF(Tabela3[[#This Row],[Data da compra]]&gt;0,(TODAY()-Tabela3[[#This Row],[Data da compra]])/365,"")</f>
        <v/>
      </c>
      <c r="P528" s="7" t="str">
        <f>IFERROR(VLOOKUP(Tabela3[[#This Row],[Categoria]],Cadastros!A:C,3,0),"")</f>
        <v/>
      </c>
      <c r="Q528" s="9" t="str">
        <f ca="1">IFERROR(Tabela3[[#This Row],[Vida útil]]-Tabela3[[#This Row],[Idade]],"")</f>
        <v/>
      </c>
      <c r="R528" s="23" t="str">
        <f ca="1">IFERROR(Tabela3[[#This Row],[Valor]]-(Tabela3[[#This Row],[Valor]]*(Tabela3[[#This Row],[Idade]]*VLOOKUP(Tabela3[[#This Row],[Categoria]],Cadastros!A:B,2,0))),"")</f>
        <v/>
      </c>
    </row>
    <row r="529" spans="4:18" x14ac:dyDescent="0.25">
      <c r="D529" s="5"/>
      <c r="N529" s="6" t="str">
        <f>IFERROR(Tabela3[[#This Row],[Última revisão do bem]]+(VLOOKUP(Tabela3[[#This Row],[Categoria]],Cadastros!A:D,4,0)+365),"")</f>
        <v/>
      </c>
      <c r="O529" s="7" t="str">
        <f ca="1">IF(Tabela3[[#This Row],[Data da compra]]&gt;0,(TODAY()-Tabela3[[#This Row],[Data da compra]])/365,"")</f>
        <v/>
      </c>
      <c r="P529" s="7" t="str">
        <f>IFERROR(VLOOKUP(Tabela3[[#This Row],[Categoria]],Cadastros!A:C,3,0),"")</f>
        <v/>
      </c>
      <c r="Q529" s="9" t="str">
        <f ca="1">IFERROR(Tabela3[[#This Row],[Vida útil]]-Tabela3[[#This Row],[Idade]],"")</f>
        <v/>
      </c>
      <c r="R529" s="8" t="str">
        <f ca="1">IFERROR(Tabela3[[#This Row],[Valor]]-(Tabela3[[#This Row],[Valor]]*(Tabela3[[#This Row],[Idade]]*VLOOKUP(Tabela3[[#This Row],[Categoria]],Cadastros!A:B,2,0))),"")</f>
        <v/>
      </c>
    </row>
    <row r="530" spans="4:18" x14ac:dyDescent="0.25">
      <c r="D530" s="5"/>
      <c r="N530" s="6" t="str">
        <f>IFERROR(Tabela3[[#This Row],[Última revisão do bem]]+(VLOOKUP(Tabela3[[#This Row],[Categoria]],Cadastros!A:D,4,0)+365),"")</f>
        <v/>
      </c>
      <c r="O530" s="7" t="str">
        <f ca="1">IF(Tabela3[[#This Row],[Data da compra]]&gt;0,(TODAY()-Tabela3[[#This Row],[Data da compra]])/365,"")</f>
        <v/>
      </c>
      <c r="P530" s="7" t="str">
        <f>IFERROR(VLOOKUP(Tabela3[[#This Row],[Categoria]],Cadastros!A:C,3,0),"")</f>
        <v/>
      </c>
      <c r="Q530" s="9" t="str">
        <f ca="1">IFERROR(Tabela3[[#This Row],[Vida útil]]-Tabela3[[#This Row],[Idade]],"")</f>
        <v/>
      </c>
      <c r="R530" s="8" t="str">
        <f ca="1">IFERROR(Tabela3[[#This Row],[Valor]]-(Tabela3[[#This Row],[Valor]]*(Tabela3[[#This Row],[Idade]]*VLOOKUP(Tabela3[[#This Row],[Categoria]],Cadastros!A:B,2,0))),"")</f>
        <v/>
      </c>
    </row>
    <row r="531" spans="4:18" x14ac:dyDescent="0.25">
      <c r="D531" s="5"/>
      <c r="N531" s="6" t="str">
        <f>IFERROR(Tabela3[[#This Row],[Última revisão do bem]]+(VLOOKUP(Tabela3[[#This Row],[Categoria]],Cadastros!A:D,4,0)+365),"")</f>
        <v/>
      </c>
      <c r="O531" s="7" t="str">
        <f ca="1">IF(Tabela3[[#This Row],[Data da compra]]&gt;0,(TODAY()-Tabela3[[#This Row],[Data da compra]])/365,"")</f>
        <v/>
      </c>
      <c r="P531" s="7" t="str">
        <f>IFERROR(VLOOKUP(Tabela3[[#This Row],[Categoria]],Cadastros!A:C,3,0),"")</f>
        <v/>
      </c>
      <c r="Q531" s="9" t="str">
        <f ca="1">IFERROR(Tabela3[[#This Row],[Vida útil]]-Tabela3[[#This Row],[Idade]],"")</f>
        <v/>
      </c>
      <c r="R531" s="8" t="str">
        <f ca="1">IFERROR(Tabela3[[#This Row],[Valor]]-(Tabela3[[#This Row],[Valor]]*(Tabela3[[#This Row],[Idade]]*VLOOKUP(Tabela3[[#This Row],[Categoria]],Cadastros!A:B,2,0))),"")</f>
        <v/>
      </c>
    </row>
    <row r="532" spans="4:18" x14ac:dyDescent="0.25">
      <c r="D532" s="5"/>
      <c r="N532" s="6" t="str">
        <f>IFERROR(Tabela3[[#This Row],[Última revisão do bem]]+(VLOOKUP(Tabela3[[#This Row],[Categoria]],Cadastros!A:D,4,0)+365),"")</f>
        <v/>
      </c>
      <c r="O532" s="7" t="str">
        <f ca="1">IF(Tabela3[[#This Row],[Data da compra]]&gt;0,(TODAY()-Tabela3[[#This Row],[Data da compra]])/365,"")</f>
        <v/>
      </c>
      <c r="P532" s="7" t="str">
        <f>IFERROR(VLOOKUP(Tabela3[[#This Row],[Categoria]],Cadastros!A:C,3,0),"")</f>
        <v/>
      </c>
      <c r="Q532" s="9" t="str">
        <f ca="1">IFERROR(Tabela3[[#This Row],[Vida útil]]-Tabela3[[#This Row],[Idade]],"")</f>
        <v/>
      </c>
      <c r="R532" s="8" t="str">
        <f ca="1">IFERROR(Tabela3[[#This Row],[Valor]]-(Tabela3[[#This Row],[Valor]]*(Tabela3[[#This Row],[Idade]]*VLOOKUP(Tabela3[[#This Row],[Categoria]],Cadastros!A:B,2,0))),"")</f>
        <v/>
      </c>
    </row>
    <row r="533" spans="4:18" x14ac:dyDescent="0.25">
      <c r="D533" s="5"/>
      <c r="N533" s="6" t="str">
        <f>IFERROR(Tabela3[[#This Row],[Última revisão do bem]]+(VLOOKUP(Tabela3[[#This Row],[Categoria]],Cadastros!A:D,4,0)+365),"")</f>
        <v/>
      </c>
      <c r="O533" s="7" t="str">
        <f ca="1">IF(Tabela3[[#This Row],[Data da compra]]&gt;0,(TODAY()-Tabela3[[#This Row],[Data da compra]])/365,"")</f>
        <v/>
      </c>
      <c r="P533" s="7" t="str">
        <f>IFERROR(VLOOKUP(Tabela3[[#This Row],[Categoria]],Cadastros!A:C,3,0),"")</f>
        <v/>
      </c>
      <c r="Q533" s="9" t="str">
        <f ca="1">IFERROR(Tabela3[[#This Row],[Vida útil]]-Tabela3[[#This Row],[Idade]],"")</f>
        <v/>
      </c>
      <c r="R533" s="8" t="str">
        <f ca="1">IFERROR(Tabela3[[#This Row],[Valor]]-(Tabela3[[#This Row],[Valor]]*(Tabela3[[#This Row],[Idade]]*VLOOKUP(Tabela3[[#This Row],[Categoria]],Cadastros!A:B,2,0))),"")</f>
        <v/>
      </c>
    </row>
    <row r="534" spans="4:18" x14ac:dyDescent="0.25">
      <c r="D534" s="5"/>
      <c r="N534" s="6" t="str">
        <f>IFERROR(Tabela3[[#This Row],[Última revisão do bem]]+(VLOOKUP(Tabela3[[#This Row],[Categoria]],Cadastros!A:D,4,0)+365),"")</f>
        <v/>
      </c>
      <c r="O534" s="7" t="str">
        <f ca="1">IF(Tabela3[[#This Row],[Data da compra]]&gt;0,(TODAY()-Tabela3[[#This Row],[Data da compra]])/365,"")</f>
        <v/>
      </c>
      <c r="P534" s="7" t="str">
        <f>IFERROR(VLOOKUP(Tabela3[[#This Row],[Categoria]],Cadastros!A:C,3,0),"")</f>
        <v/>
      </c>
      <c r="Q534" s="9" t="str">
        <f ca="1">IFERROR(Tabela3[[#This Row],[Vida útil]]-Tabela3[[#This Row],[Idade]],"")</f>
        <v/>
      </c>
      <c r="R534" s="8" t="str">
        <f ca="1">IFERROR(Tabela3[[#This Row],[Valor]]-(Tabela3[[#This Row],[Valor]]*(Tabela3[[#This Row],[Idade]]*VLOOKUP(Tabela3[[#This Row],[Categoria]],Cadastros!A:B,2,0))),"")</f>
        <v/>
      </c>
    </row>
    <row r="535" spans="4:18" x14ac:dyDescent="0.25">
      <c r="D535" s="5"/>
      <c r="N535" s="6" t="str">
        <f>IFERROR(Tabela3[[#This Row],[Última revisão do bem]]+(VLOOKUP(Tabela3[[#This Row],[Categoria]],Cadastros!A:D,4,0)+365),"")</f>
        <v/>
      </c>
      <c r="O535" s="7" t="str">
        <f ca="1">IF(Tabela3[[#This Row],[Data da compra]]&gt;0,(TODAY()-Tabela3[[#This Row],[Data da compra]])/365,"")</f>
        <v/>
      </c>
      <c r="P535" s="7" t="str">
        <f>IFERROR(VLOOKUP(Tabela3[[#This Row],[Categoria]],Cadastros!A:C,3,0),"")</f>
        <v/>
      </c>
      <c r="Q535" s="9" t="str">
        <f ca="1">IFERROR(Tabela3[[#This Row],[Vida útil]]-Tabela3[[#This Row],[Idade]],"")</f>
        <v/>
      </c>
      <c r="R535" s="8" t="str">
        <f ca="1">IFERROR(Tabela3[[#This Row],[Valor]]-(Tabela3[[#This Row],[Valor]]*(Tabela3[[#This Row],[Idade]]*VLOOKUP(Tabela3[[#This Row],[Categoria]],Cadastros!A:B,2,0))),"")</f>
        <v/>
      </c>
    </row>
    <row r="536" spans="4:18" x14ac:dyDescent="0.25">
      <c r="D536" s="5"/>
      <c r="N536" s="6" t="str">
        <f>IFERROR(Tabela3[[#This Row],[Última revisão do bem]]+(VLOOKUP(Tabela3[[#This Row],[Categoria]],Cadastros!A:D,4,0)+365),"")</f>
        <v/>
      </c>
      <c r="O536" s="7" t="str">
        <f ca="1">IF(Tabela3[[#This Row],[Data da compra]]&gt;0,(TODAY()-Tabela3[[#This Row],[Data da compra]])/365,"")</f>
        <v/>
      </c>
      <c r="P536" s="7" t="str">
        <f>IFERROR(VLOOKUP(Tabela3[[#This Row],[Categoria]],Cadastros!A:C,3,0),"")</f>
        <v/>
      </c>
      <c r="Q536" s="9" t="str">
        <f ca="1">IFERROR(Tabela3[[#This Row],[Vida útil]]-Tabela3[[#This Row],[Idade]],"")</f>
        <v/>
      </c>
      <c r="R536" s="8" t="str">
        <f ca="1">IFERROR(Tabela3[[#This Row],[Valor]]-(Tabela3[[#This Row],[Valor]]*(Tabela3[[#This Row],[Idade]]*VLOOKUP(Tabela3[[#This Row],[Categoria]],Cadastros!A:B,2,0))),"")</f>
        <v/>
      </c>
    </row>
    <row r="537" spans="4:18" x14ac:dyDescent="0.25">
      <c r="D537" s="5"/>
      <c r="N537" s="6" t="str">
        <f>IFERROR(Tabela3[[#This Row],[Última revisão do bem]]+(VLOOKUP(Tabela3[[#This Row],[Categoria]],Cadastros!A:D,4,0)+365),"")</f>
        <v/>
      </c>
      <c r="O537" s="7" t="str">
        <f ca="1">IF(Tabela3[[#This Row],[Data da compra]]&gt;0,(TODAY()-Tabela3[[#This Row],[Data da compra]])/365,"")</f>
        <v/>
      </c>
      <c r="P537" s="7" t="str">
        <f>IFERROR(VLOOKUP(Tabela3[[#This Row],[Categoria]],Cadastros!A:C,3,0),"")</f>
        <v/>
      </c>
      <c r="Q537" s="9" t="str">
        <f ca="1">IFERROR(Tabela3[[#This Row],[Vida útil]]-Tabela3[[#This Row],[Idade]],"")</f>
        <v/>
      </c>
      <c r="R537" s="8" t="str">
        <f ca="1">IFERROR(Tabela3[[#This Row],[Valor]]-(Tabela3[[#This Row],[Valor]]*(Tabela3[[#This Row],[Idade]]*VLOOKUP(Tabela3[[#This Row],[Categoria]],Cadastros!A:B,2,0))),"")</f>
        <v/>
      </c>
    </row>
    <row r="538" spans="4:18" x14ac:dyDescent="0.25">
      <c r="D538" s="5"/>
      <c r="N538" s="6" t="str">
        <f>IFERROR(Tabela3[[#This Row],[Última revisão do bem]]+(VLOOKUP(Tabela3[[#This Row],[Categoria]],Cadastros!A:D,4,0)+365),"")</f>
        <v/>
      </c>
      <c r="O538" s="7" t="str">
        <f ca="1">IF(Tabela3[[#This Row],[Data da compra]]&gt;0,(TODAY()-Tabela3[[#This Row],[Data da compra]])/365,"")</f>
        <v/>
      </c>
      <c r="P538" s="7" t="str">
        <f>IFERROR(VLOOKUP(Tabela3[[#This Row],[Categoria]],Cadastros!A:C,3,0),"")</f>
        <v/>
      </c>
      <c r="Q538" s="9" t="str">
        <f ca="1">IFERROR(Tabela3[[#This Row],[Vida útil]]-Tabela3[[#This Row],[Idade]],"")</f>
        <v/>
      </c>
      <c r="R538" s="8" t="str">
        <f ca="1">IFERROR(Tabela3[[#This Row],[Valor]]-(Tabela3[[#This Row],[Valor]]*(Tabela3[[#This Row],[Idade]]*VLOOKUP(Tabela3[[#This Row],[Categoria]],Cadastros!A:B,2,0))),"")</f>
        <v/>
      </c>
    </row>
    <row r="539" spans="4:18" x14ac:dyDescent="0.25">
      <c r="D539" s="5"/>
      <c r="N539" s="6" t="str">
        <f>IFERROR(Tabela3[[#This Row],[Última revisão do bem]]+(VLOOKUP(Tabela3[[#This Row],[Categoria]],Cadastros!A:D,4,0)+365),"")</f>
        <v/>
      </c>
      <c r="O539" s="7" t="str">
        <f ca="1">IF(Tabela3[[#This Row],[Data da compra]]&gt;0,(TODAY()-Tabela3[[#This Row],[Data da compra]])/365,"")</f>
        <v/>
      </c>
      <c r="P539" s="7" t="str">
        <f>IFERROR(VLOOKUP(Tabela3[[#This Row],[Categoria]],Cadastros!A:C,3,0),"")</f>
        <v/>
      </c>
      <c r="Q539" s="9" t="str">
        <f ca="1">IFERROR(Tabela3[[#This Row],[Vida útil]]-Tabela3[[#This Row],[Idade]],"")</f>
        <v/>
      </c>
      <c r="R539" s="8" t="str">
        <f ca="1">IFERROR(Tabela3[[#This Row],[Valor]]-(Tabela3[[#This Row],[Valor]]*(Tabela3[[#This Row],[Idade]]*VLOOKUP(Tabela3[[#This Row],[Categoria]],Cadastros!A:B,2,0))),"")</f>
        <v/>
      </c>
    </row>
    <row r="540" spans="4:18" x14ac:dyDescent="0.25">
      <c r="D540" s="5"/>
      <c r="N540" s="6" t="str">
        <f>IFERROR(Tabela3[[#This Row],[Última revisão do bem]]+(VLOOKUP(Tabela3[[#This Row],[Categoria]],Cadastros!A:D,4,0)+365),"")</f>
        <v/>
      </c>
      <c r="O540" s="7" t="str">
        <f ca="1">IF(Tabela3[[#This Row],[Data da compra]]&gt;0,(TODAY()-Tabela3[[#This Row],[Data da compra]])/365,"")</f>
        <v/>
      </c>
      <c r="P540" s="7" t="str">
        <f>IFERROR(VLOOKUP(Tabela3[[#This Row],[Categoria]],Cadastros!A:C,3,0),"")</f>
        <v/>
      </c>
      <c r="Q540" s="9" t="str">
        <f ca="1">IFERROR(Tabela3[[#This Row],[Vida útil]]-Tabela3[[#This Row],[Idade]],"")</f>
        <v/>
      </c>
      <c r="R540" s="8" t="str">
        <f ca="1">IFERROR(Tabela3[[#This Row],[Valor]]-(Tabela3[[#This Row],[Valor]]*(Tabela3[[#This Row],[Idade]]*VLOOKUP(Tabela3[[#This Row],[Categoria]],Cadastros!A:B,2,0))),"")</f>
        <v/>
      </c>
    </row>
    <row r="541" spans="4:18" x14ac:dyDescent="0.25">
      <c r="D541" s="5"/>
      <c r="N541" s="6" t="str">
        <f>IFERROR(Tabela3[[#This Row],[Última revisão do bem]]+(VLOOKUP(Tabela3[[#This Row],[Categoria]],Cadastros!A:D,4,0)+365),"")</f>
        <v/>
      </c>
      <c r="O541" s="7" t="str">
        <f ca="1">IF(Tabela3[[#This Row],[Data da compra]]&gt;0,(TODAY()-Tabela3[[#This Row],[Data da compra]])/365,"")</f>
        <v/>
      </c>
      <c r="P541" s="7" t="str">
        <f>IFERROR(VLOOKUP(Tabela3[[#This Row],[Categoria]],Cadastros!A:C,3,0),"")</f>
        <v/>
      </c>
      <c r="Q541" s="9" t="str">
        <f ca="1">IFERROR(Tabela3[[#This Row],[Vida útil]]-Tabela3[[#This Row],[Idade]],"")</f>
        <v/>
      </c>
      <c r="R541" s="8" t="str">
        <f ca="1">IFERROR(Tabela3[[#This Row],[Valor]]-(Tabela3[[#This Row],[Valor]]*(Tabela3[[#This Row],[Idade]]*VLOOKUP(Tabela3[[#This Row],[Categoria]],Cadastros!A:B,2,0))),"")</f>
        <v/>
      </c>
    </row>
    <row r="542" spans="4:18" x14ac:dyDescent="0.25">
      <c r="D542" s="5"/>
      <c r="N542" s="6" t="str">
        <f>IFERROR(Tabela3[[#This Row],[Última revisão do bem]]+(VLOOKUP(Tabela3[[#This Row],[Categoria]],Cadastros!A:D,4,0)+365),"")</f>
        <v/>
      </c>
      <c r="O542" s="7" t="str">
        <f ca="1">IF(Tabela3[[#This Row],[Data da compra]]&gt;0,(TODAY()-Tabela3[[#This Row],[Data da compra]])/365,"")</f>
        <v/>
      </c>
      <c r="P542" s="7" t="str">
        <f>IFERROR(VLOOKUP(Tabela3[[#This Row],[Categoria]],Cadastros!A:C,3,0),"")</f>
        <v/>
      </c>
      <c r="Q542" s="9" t="str">
        <f ca="1">IFERROR(Tabela3[[#This Row],[Vida útil]]-Tabela3[[#This Row],[Idade]],"")</f>
        <v/>
      </c>
      <c r="R542" s="8" t="str">
        <f ca="1">IFERROR(Tabela3[[#This Row],[Valor]]-(Tabela3[[#This Row],[Valor]]*(Tabela3[[#This Row],[Idade]]*VLOOKUP(Tabela3[[#This Row],[Categoria]],Cadastros!A:B,2,0))),"")</f>
        <v/>
      </c>
    </row>
    <row r="543" spans="4:18" x14ac:dyDescent="0.25">
      <c r="D543" s="5"/>
      <c r="N543" s="6" t="str">
        <f>IFERROR(Tabela3[[#This Row],[Última revisão do bem]]+(VLOOKUP(Tabela3[[#This Row],[Categoria]],Cadastros!A:D,4,0)+365),"")</f>
        <v/>
      </c>
      <c r="O543" s="7" t="str">
        <f ca="1">IF(Tabela3[[#This Row],[Data da compra]]&gt;0,(TODAY()-Tabela3[[#This Row],[Data da compra]])/365,"")</f>
        <v/>
      </c>
      <c r="P543" s="7" t="str">
        <f>IFERROR(VLOOKUP(Tabela3[[#This Row],[Categoria]],Cadastros!A:C,3,0),"")</f>
        <v/>
      </c>
      <c r="Q543" s="9" t="str">
        <f ca="1">IFERROR(Tabela3[[#This Row],[Vida útil]]-Tabela3[[#This Row],[Idade]],"")</f>
        <v/>
      </c>
      <c r="R543" s="8" t="str">
        <f ca="1">IFERROR(Tabela3[[#This Row],[Valor]]-(Tabela3[[#This Row],[Valor]]*(Tabela3[[#This Row],[Idade]]*VLOOKUP(Tabela3[[#This Row],[Categoria]],Cadastros!A:B,2,0))),"")</f>
        <v/>
      </c>
    </row>
    <row r="544" spans="4:18" x14ac:dyDescent="0.25">
      <c r="D544" s="5"/>
      <c r="N544" s="6" t="str">
        <f>IFERROR(Tabela3[[#This Row],[Última revisão do bem]]+(VLOOKUP(Tabela3[[#This Row],[Categoria]],Cadastros!A:D,4,0)+365),"")</f>
        <v/>
      </c>
      <c r="O544" s="7" t="str">
        <f ca="1">IF(Tabela3[[#This Row],[Data da compra]]&gt;0,(TODAY()-Tabela3[[#This Row],[Data da compra]])/365,"")</f>
        <v/>
      </c>
      <c r="P544" s="7" t="str">
        <f>IFERROR(VLOOKUP(Tabela3[[#This Row],[Categoria]],Cadastros!A:C,3,0),"")</f>
        <v/>
      </c>
      <c r="Q544" s="9" t="str">
        <f ca="1">IFERROR(Tabela3[[#This Row],[Vida útil]]-Tabela3[[#This Row],[Idade]],"")</f>
        <v/>
      </c>
      <c r="R544" s="8" t="str">
        <f ca="1">IFERROR(Tabela3[[#This Row],[Valor]]-(Tabela3[[#This Row],[Valor]]*(Tabela3[[#This Row],[Idade]]*VLOOKUP(Tabela3[[#This Row],[Categoria]],Cadastros!A:B,2,0))),"")</f>
        <v/>
      </c>
    </row>
    <row r="545" spans="4:18" x14ac:dyDescent="0.25">
      <c r="D545" s="5"/>
      <c r="N545" s="6" t="str">
        <f>IFERROR(Tabela3[[#This Row],[Última revisão do bem]]+(VLOOKUP(Tabela3[[#This Row],[Categoria]],Cadastros!A:D,4,0)+365),"")</f>
        <v/>
      </c>
      <c r="O545" s="7" t="str">
        <f ca="1">IF(Tabela3[[#This Row],[Data da compra]]&gt;0,(TODAY()-Tabela3[[#This Row],[Data da compra]])/365,"")</f>
        <v/>
      </c>
      <c r="P545" s="7" t="str">
        <f>IFERROR(VLOOKUP(Tabela3[[#This Row],[Categoria]],Cadastros!A:C,3,0),"")</f>
        <v/>
      </c>
      <c r="Q545" s="9" t="str">
        <f ca="1">IFERROR(Tabela3[[#This Row],[Vida útil]]-Tabela3[[#This Row],[Idade]],"")</f>
        <v/>
      </c>
      <c r="R545" s="8" t="str">
        <f ca="1">IFERROR(Tabela3[[#This Row],[Valor]]-(Tabela3[[#This Row],[Valor]]*(Tabela3[[#This Row],[Idade]]*VLOOKUP(Tabela3[[#This Row],[Categoria]],Cadastros!A:B,2,0))),"")</f>
        <v/>
      </c>
    </row>
    <row r="546" spans="4:18" x14ac:dyDescent="0.25">
      <c r="D546" s="22"/>
      <c r="N546" s="6" t="str">
        <f>IFERROR(Tabela3[[#This Row],[Última revisão do bem]]+(VLOOKUP(Tabela3[[#This Row],[Categoria]],Cadastros!A:D,4,0)+365),"")</f>
        <v/>
      </c>
      <c r="O546" s="7" t="str">
        <f ca="1">IF(Tabela3[[#This Row],[Data da compra]]&gt;0,(TODAY()-Tabela3[[#This Row],[Data da compra]])/365,"")</f>
        <v/>
      </c>
      <c r="P546" s="7" t="str">
        <f>IFERROR(VLOOKUP(Tabela3[[#This Row],[Categoria]],Cadastros!A:C,3,0),"")</f>
        <v/>
      </c>
      <c r="Q546" s="9" t="str">
        <f ca="1">IFERROR(Tabela3[[#This Row],[Vida útil]]-Tabela3[[#This Row],[Idade]],"")</f>
        <v/>
      </c>
      <c r="R546" s="23" t="str">
        <f ca="1">IFERROR(Tabela3[[#This Row],[Valor]]-(Tabela3[[#This Row],[Valor]]*(Tabela3[[#This Row],[Idade]]*VLOOKUP(Tabela3[[#This Row],[Categoria]],Cadastros!A:B,2,0))),"")</f>
        <v/>
      </c>
    </row>
    <row r="547" spans="4:18" x14ac:dyDescent="0.25">
      <c r="D547" s="5"/>
      <c r="N547" s="6" t="str">
        <f>IFERROR(Tabela3[[#This Row],[Última revisão do bem]]+(VLOOKUP(Tabela3[[#This Row],[Categoria]],Cadastros!A:D,4,0)+365),"")</f>
        <v/>
      </c>
      <c r="O547" s="7" t="str">
        <f ca="1">IF(Tabela3[[#This Row],[Data da compra]]&gt;0,(TODAY()-Tabela3[[#This Row],[Data da compra]])/365,"")</f>
        <v/>
      </c>
      <c r="P547" s="7" t="str">
        <f>IFERROR(VLOOKUP(Tabela3[[#This Row],[Categoria]],Cadastros!A:C,3,0),"")</f>
        <v/>
      </c>
      <c r="Q547" s="9" t="str">
        <f ca="1">IFERROR(Tabela3[[#This Row],[Vida útil]]-Tabela3[[#This Row],[Idade]],"")</f>
        <v/>
      </c>
      <c r="R547" s="8" t="str">
        <f ca="1">IFERROR(Tabela3[[#This Row],[Valor]]-(Tabela3[[#This Row],[Valor]]*(Tabela3[[#This Row],[Idade]]*VLOOKUP(Tabela3[[#This Row],[Categoria]],Cadastros!A:B,2,0))),"")</f>
        <v/>
      </c>
    </row>
    <row r="548" spans="4:18" x14ac:dyDescent="0.25">
      <c r="D548" s="5"/>
      <c r="N548" s="6" t="str">
        <f>IFERROR(Tabela3[[#This Row],[Última revisão do bem]]+(VLOOKUP(Tabela3[[#This Row],[Categoria]],Cadastros!A:D,4,0)+365),"")</f>
        <v/>
      </c>
      <c r="O548" s="7" t="str">
        <f ca="1">IF(Tabela3[[#This Row],[Data da compra]]&gt;0,(TODAY()-Tabela3[[#This Row],[Data da compra]])/365,"")</f>
        <v/>
      </c>
      <c r="P548" s="7" t="str">
        <f>IFERROR(VLOOKUP(Tabela3[[#This Row],[Categoria]],Cadastros!A:C,3,0),"")</f>
        <v/>
      </c>
      <c r="Q548" s="9" t="str">
        <f ca="1">IFERROR(Tabela3[[#This Row],[Vida útil]]-Tabela3[[#This Row],[Idade]],"")</f>
        <v/>
      </c>
      <c r="R548" s="8" t="str">
        <f ca="1">IFERROR(Tabela3[[#This Row],[Valor]]-(Tabela3[[#This Row],[Valor]]*(Tabela3[[#This Row],[Idade]]*VLOOKUP(Tabela3[[#This Row],[Categoria]],Cadastros!A:B,2,0))),"")</f>
        <v/>
      </c>
    </row>
    <row r="549" spans="4:18" x14ac:dyDescent="0.25">
      <c r="D549" s="5"/>
      <c r="N549" s="6" t="str">
        <f>IFERROR(Tabela3[[#This Row],[Última revisão do bem]]+(VLOOKUP(Tabela3[[#This Row],[Categoria]],Cadastros!A:D,4,0)+365),"")</f>
        <v/>
      </c>
      <c r="O549" s="7" t="str">
        <f ca="1">IF(Tabela3[[#This Row],[Data da compra]]&gt;0,(TODAY()-Tabela3[[#This Row],[Data da compra]])/365,"")</f>
        <v/>
      </c>
      <c r="P549" s="7" t="str">
        <f>IFERROR(VLOOKUP(Tabela3[[#This Row],[Categoria]],Cadastros!A:C,3,0),"")</f>
        <v/>
      </c>
      <c r="Q549" s="9" t="str">
        <f ca="1">IFERROR(Tabela3[[#This Row],[Vida útil]]-Tabela3[[#This Row],[Idade]],"")</f>
        <v/>
      </c>
      <c r="R549" s="8" t="str">
        <f ca="1">IFERROR(Tabela3[[#This Row],[Valor]]-(Tabela3[[#This Row],[Valor]]*(Tabela3[[#This Row],[Idade]]*VLOOKUP(Tabela3[[#This Row],[Categoria]],Cadastros!A:B,2,0))),"")</f>
        <v/>
      </c>
    </row>
    <row r="550" spans="4:18" x14ac:dyDescent="0.25">
      <c r="D550" s="5"/>
      <c r="N550" s="6" t="str">
        <f>IFERROR(Tabela3[[#This Row],[Última revisão do bem]]+(VLOOKUP(Tabela3[[#This Row],[Categoria]],Cadastros!A:D,4,0)+365),"")</f>
        <v/>
      </c>
      <c r="O550" s="7" t="str">
        <f ca="1">IF(Tabela3[[#This Row],[Data da compra]]&gt;0,(TODAY()-Tabela3[[#This Row],[Data da compra]])/365,"")</f>
        <v/>
      </c>
      <c r="P550" s="7" t="str">
        <f>IFERROR(VLOOKUP(Tabela3[[#This Row],[Categoria]],Cadastros!A:C,3,0),"")</f>
        <v/>
      </c>
      <c r="Q550" s="9" t="str">
        <f ca="1">IFERROR(Tabela3[[#This Row],[Vida útil]]-Tabela3[[#This Row],[Idade]],"")</f>
        <v/>
      </c>
      <c r="R550" s="8" t="str">
        <f ca="1">IFERROR(Tabela3[[#This Row],[Valor]]-(Tabela3[[#This Row],[Valor]]*(Tabela3[[#This Row],[Idade]]*VLOOKUP(Tabela3[[#This Row],[Categoria]],Cadastros!A:B,2,0))),"")</f>
        <v/>
      </c>
    </row>
    <row r="551" spans="4:18" x14ac:dyDescent="0.25">
      <c r="D551" s="5"/>
      <c r="N551" s="6" t="str">
        <f>IFERROR(Tabela3[[#This Row],[Última revisão do bem]]+(VLOOKUP(Tabela3[[#This Row],[Categoria]],Cadastros!A:D,4,0)+365),"")</f>
        <v/>
      </c>
      <c r="O551" s="7" t="str">
        <f ca="1">IF(Tabela3[[#This Row],[Data da compra]]&gt;0,(TODAY()-Tabela3[[#This Row],[Data da compra]])/365,"")</f>
        <v/>
      </c>
      <c r="P551" s="7" t="str">
        <f>IFERROR(VLOOKUP(Tabela3[[#This Row],[Categoria]],Cadastros!A:C,3,0),"")</f>
        <v/>
      </c>
      <c r="Q551" s="9" t="str">
        <f ca="1">IFERROR(Tabela3[[#This Row],[Vida útil]]-Tabela3[[#This Row],[Idade]],"")</f>
        <v/>
      </c>
      <c r="R551" s="8" t="str">
        <f ca="1">IFERROR(Tabela3[[#This Row],[Valor]]-(Tabela3[[#This Row],[Valor]]*(Tabela3[[#This Row],[Idade]]*VLOOKUP(Tabela3[[#This Row],[Categoria]],Cadastros!A:B,2,0))),"")</f>
        <v/>
      </c>
    </row>
    <row r="552" spans="4:18" x14ac:dyDescent="0.25">
      <c r="D552" s="5"/>
      <c r="N552" s="6" t="str">
        <f>IFERROR(Tabela3[[#This Row],[Última revisão do bem]]+(VLOOKUP(Tabela3[[#This Row],[Categoria]],Cadastros!A:D,4,0)+365),"")</f>
        <v/>
      </c>
      <c r="O552" s="7" t="str">
        <f ca="1">IF(Tabela3[[#This Row],[Data da compra]]&gt;0,(TODAY()-Tabela3[[#This Row],[Data da compra]])/365,"")</f>
        <v/>
      </c>
      <c r="P552" s="7" t="str">
        <f>IFERROR(VLOOKUP(Tabela3[[#This Row],[Categoria]],Cadastros!A:C,3,0),"")</f>
        <v/>
      </c>
      <c r="Q552" s="9" t="str">
        <f ca="1">IFERROR(Tabela3[[#This Row],[Vida útil]]-Tabela3[[#This Row],[Idade]],"")</f>
        <v/>
      </c>
      <c r="R552" s="8" t="str">
        <f ca="1">IFERROR(Tabela3[[#This Row],[Valor]]-(Tabela3[[#This Row],[Valor]]*(Tabela3[[#This Row],[Idade]]*VLOOKUP(Tabela3[[#This Row],[Categoria]],Cadastros!A:B,2,0))),"")</f>
        <v/>
      </c>
    </row>
    <row r="553" spans="4:18" x14ac:dyDescent="0.25">
      <c r="D553" s="5"/>
      <c r="N553" s="6" t="str">
        <f>IFERROR(Tabela3[[#This Row],[Última revisão do bem]]+(VLOOKUP(Tabela3[[#This Row],[Categoria]],Cadastros!A:D,4,0)+365),"")</f>
        <v/>
      </c>
      <c r="O553" s="7" t="str">
        <f ca="1">IF(Tabela3[[#This Row],[Data da compra]]&gt;0,(TODAY()-Tabela3[[#This Row],[Data da compra]])/365,"")</f>
        <v/>
      </c>
      <c r="P553" s="7" t="str">
        <f>IFERROR(VLOOKUP(Tabela3[[#This Row],[Categoria]],Cadastros!A:C,3,0),"")</f>
        <v/>
      </c>
      <c r="Q553" s="9" t="str">
        <f ca="1">IFERROR(Tabela3[[#This Row],[Vida útil]]-Tabela3[[#This Row],[Idade]],"")</f>
        <v/>
      </c>
      <c r="R553" s="8" t="str">
        <f ca="1">IFERROR(Tabela3[[#This Row],[Valor]]-(Tabela3[[#This Row],[Valor]]*(Tabela3[[#This Row],[Idade]]*VLOOKUP(Tabela3[[#This Row],[Categoria]],Cadastros!A:B,2,0))),"")</f>
        <v/>
      </c>
    </row>
    <row r="554" spans="4:18" x14ac:dyDescent="0.25">
      <c r="D554" s="5"/>
      <c r="N554" s="6" t="str">
        <f>IFERROR(Tabela3[[#This Row],[Última revisão do bem]]+(VLOOKUP(Tabela3[[#This Row],[Categoria]],Cadastros!A:D,4,0)+365),"")</f>
        <v/>
      </c>
      <c r="O554" s="7" t="str">
        <f ca="1">IF(Tabela3[[#This Row],[Data da compra]]&gt;0,(TODAY()-Tabela3[[#This Row],[Data da compra]])/365,"")</f>
        <v/>
      </c>
      <c r="P554" s="7" t="str">
        <f>IFERROR(VLOOKUP(Tabela3[[#This Row],[Categoria]],Cadastros!A:C,3,0),"")</f>
        <v/>
      </c>
      <c r="Q554" s="9" t="str">
        <f ca="1">IFERROR(Tabela3[[#This Row],[Vida útil]]-Tabela3[[#This Row],[Idade]],"")</f>
        <v/>
      </c>
      <c r="R554" s="8" t="str">
        <f ca="1">IFERROR(Tabela3[[#This Row],[Valor]]-(Tabela3[[#This Row],[Valor]]*(Tabela3[[#This Row],[Idade]]*VLOOKUP(Tabela3[[#This Row],[Categoria]],Cadastros!A:B,2,0))),"")</f>
        <v/>
      </c>
    </row>
    <row r="555" spans="4:18" x14ac:dyDescent="0.25">
      <c r="D555" s="5"/>
      <c r="N555" s="6" t="str">
        <f>IFERROR(Tabela3[[#This Row],[Última revisão do bem]]+(VLOOKUP(Tabela3[[#This Row],[Categoria]],Cadastros!A:D,4,0)+365),"")</f>
        <v/>
      </c>
      <c r="O555" s="7" t="str">
        <f ca="1">IF(Tabela3[[#This Row],[Data da compra]]&gt;0,(TODAY()-Tabela3[[#This Row],[Data da compra]])/365,"")</f>
        <v/>
      </c>
      <c r="P555" s="7" t="str">
        <f>IFERROR(VLOOKUP(Tabela3[[#This Row],[Categoria]],Cadastros!A:C,3,0),"")</f>
        <v/>
      </c>
      <c r="Q555" s="9" t="str">
        <f ca="1">IFERROR(Tabela3[[#This Row],[Vida útil]]-Tabela3[[#This Row],[Idade]],"")</f>
        <v/>
      </c>
      <c r="R555" s="8" t="str">
        <f ca="1">IFERROR(Tabela3[[#This Row],[Valor]]-(Tabela3[[#This Row],[Valor]]*(Tabela3[[#This Row],[Idade]]*VLOOKUP(Tabela3[[#This Row],[Categoria]],Cadastros!A:B,2,0))),"")</f>
        <v/>
      </c>
    </row>
    <row r="556" spans="4:18" x14ac:dyDescent="0.25">
      <c r="D556" s="5"/>
      <c r="N556" s="6" t="str">
        <f>IFERROR(Tabela3[[#This Row],[Última revisão do bem]]+(VLOOKUP(Tabela3[[#This Row],[Categoria]],Cadastros!A:D,4,0)+365),"")</f>
        <v/>
      </c>
      <c r="O556" s="7" t="str">
        <f ca="1">IF(Tabela3[[#This Row],[Data da compra]]&gt;0,(TODAY()-Tabela3[[#This Row],[Data da compra]])/365,"")</f>
        <v/>
      </c>
      <c r="P556" s="7" t="str">
        <f>IFERROR(VLOOKUP(Tabela3[[#This Row],[Categoria]],Cadastros!A:C,3,0),"")</f>
        <v/>
      </c>
      <c r="Q556" s="9" t="str">
        <f ca="1">IFERROR(Tabela3[[#This Row],[Vida útil]]-Tabela3[[#This Row],[Idade]],"")</f>
        <v/>
      </c>
      <c r="R556" s="8" t="str">
        <f ca="1">IFERROR(Tabela3[[#This Row],[Valor]]-(Tabela3[[#This Row],[Valor]]*(Tabela3[[#This Row],[Idade]]*VLOOKUP(Tabela3[[#This Row],[Categoria]],Cadastros!A:B,2,0))),"")</f>
        <v/>
      </c>
    </row>
    <row r="557" spans="4:18" x14ac:dyDescent="0.25">
      <c r="D557" s="5"/>
      <c r="N557" s="6" t="str">
        <f>IFERROR(Tabela3[[#This Row],[Última revisão do bem]]+(VLOOKUP(Tabela3[[#This Row],[Categoria]],Cadastros!A:D,4,0)+365),"")</f>
        <v/>
      </c>
      <c r="O557" s="7" t="str">
        <f ca="1">IF(Tabela3[[#This Row],[Data da compra]]&gt;0,(TODAY()-Tabela3[[#This Row],[Data da compra]])/365,"")</f>
        <v/>
      </c>
      <c r="P557" s="7" t="str">
        <f>IFERROR(VLOOKUP(Tabela3[[#This Row],[Categoria]],Cadastros!A:C,3,0),"")</f>
        <v/>
      </c>
      <c r="Q557" s="9" t="str">
        <f ca="1">IFERROR(Tabela3[[#This Row],[Vida útil]]-Tabela3[[#This Row],[Idade]],"")</f>
        <v/>
      </c>
      <c r="R557" s="8" t="str">
        <f ca="1">IFERROR(Tabela3[[#This Row],[Valor]]-(Tabela3[[#This Row],[Valor]]*(Tabela3[[#This Row],[Idade]]*VLOOKUP(Tabela3[[#This Row],[Categoria]],Cadastros!A:B,2,0))),"")</f>
        <v/>
      </c>
    </row>
    <row r="558" spans="4:18" x14ac:dyDescent="0.25">
      <c r="D558" s="5"/>
      <c r="N558" s="6" t="str">
        <f>IFERROR(Tabela3[[#This Row],[Última revisão do bem]]+(VLOOKUP(Tabela3[[#This Row],[Categoria]],Cadastros!A:D,4,0)+365),"")</f>
        <v/>
      </c>
      <c r="O558" s="7" t="str">
        <f ca="1">IF(Tabela3[[#This Row],[Data da compra]]&gt;0,(TODAY()-Tabela3[[#This Row],[Data da compra]])/365,"")</f>
        <v/>
      </c>
      <c r="P558" s="7" t="str">
        <f>IFERROR(VLOOKUP(Tabela3[[#This Row],[Categoria]],Cadastros!A:C,3,0),"")</f>
        <v/>
      </c>
      <c r="Q558" s="9" t="str">
        <f ca="1">IFERROR(Tabela3[[#This Row],[Vida útil]]-Tabela3[[#This Row],[Idade]],"")</f>
        <v/>
      </c>
      <c r="R558" s="8" t="str">
        <f ca="1">IFERROR(Tabela3[[#This Row],[Valor]]-(Tabela3[[#This Row],[Valor]]*(Tabela3[[#This Row],[Idade]]*VLOOKUP(Tabela3[[#This Row],[Categoria]],Cadastros!A:B,2,0))),"")</f>
        <v/>
      </c>
    </row>
    <row r="559" spans="4:18" x14ac:dyDescent="0.25">
      <c r="D559" s="5"/>
      <c r="N559" s="6" t="str">
        <f>IFERROR(Tabela3[[#This Row],[Última revisão do bem]]+(VLOOKUP(Tabela3[[#This Row],[Categoria]],Cadastros!A:D,4,0)+365),"")</f>
        <v/>
      </c>
      <c r="O559" s="7" t="str">
        <f ca="1">IF(Tabela3[[#This Row],[Data da compra]]&gt;0,(TODAY()-Tabela3[[#This Row],[Data da compra]])/365,"")</f>
        <v/>
      </c>
      <c r="P559" s="7" t="str">
        <f>IFERROR(VLOOKUP(Tabela3[[#This Row],[Categoria]],Cadastros!A:C,3,0),"")</f>
        <v/>
      </c>
      <c r="Q559" s="9" t="str">
        <f ca="1">IFERROR(Tabela3[[#This Row],[Vida útil]]-Tabela3[[#This Row],[Idade]],"")</f>
        <v/>
      </c>
      <c r="R559" s="8" t="str">
        <f ca="1">IFERROR(Tabela3[[#This Row],[Valor]]-(Tabela3[[#This Row],[Valor]]*(Tabela3[[#This Row],[Idade]]*VLOOKUP(Tabela3[[#This Row],[Categoria]],Cadastros!A:B,2,0))),"")</f>
        <v/>
      </c>
    </row>
    <row r="560" spans="4:18" x14ac:dyDescent="0.25">
      <c r="D560" s="5"/>
      <c r="N560" s="6" t="str">
        <f>IFERROR(Tabela3[[#This Row],[Última revisão do bem]]+(VLOOKUP(Tabela3[[#This Row],[Categoria]],Cadastros!A:D,4,0)+365),"")</f>
        <v/>
      </c>
      <c r="O560" s="7" t="str">
        <f ca="1">IF(Tabela3[[#This Row],[Data da compra]]&gt;0,(TODAY()-Tabela3[[#This Row],[Data da compra]])/365,"")</f>
        <v/>
      </c>
      <c r="P560" s="7" t="str">
        <f>IFERROR(VLOOKUP(Tabela3[[#This Row],[Categoria]],Cadastros!A:C,3,0),"")</f>
        <v/>
      </c>
      <c r="Q560" s="9" t="str">
        <f ca="1">IFERROR(Tabela3[[#This Row],[Vida útil]]-Tabela3[[#This Row],[Idade]],"")</f>
        <v/>
      </c>
      <c r="R560" s="8" t="str">
        <f ca="1">IFERROR(Tabela3[[#This Row],[Valor]]-(Tabela3[[#This Row],[Valor]]*(Tabela3[[#This Row],[Idade]]*VLOOKUP(Tabela3[[#This Row],[Categoria]],Cadastros!A:B,2,0))),"")</f>
        <v/>
      </c>
    </row>
    <row r="561" spans="4:18" x14ac:dyDescent="0.25">
      <c r="D561" s="5"/>
      <c r="N561" s="6" t="str">
        <f>IFERROR(Tabela3[[#This Row],[Última revisão do bem]]+(VLOOKUP(Tabela3[[#This Row],[Categoria]],Cadastros!A:D,4,0)+365),"")</f>
        <v/>
      </c>
      <c r="O561" s="7" t="str">
        <f ca="1">IF(Tabela3[[#This Row],[Data da compra]]&gt;0,(TODAY()-Tabela3[[#This Row],[Data da compra]])/365,"")</f>
        <v/>
      </c>
      <c r="P561" s="7" t="str">
        <f>IFERROR(VLOOKUP(Tabela3[[#This Row],[Categoria]],Cadastros!A:C,3,0),"")</f>
        <v/>
      </c>
      <c r="Q561" s="9" t="str">
        <f ca="1">IFERROR(Tabela3[[#This Row],[Vida útil]]-Tabela3[[#This Row],[Idade]],"")</f>
        <v/>
      </c>
      <c r="R561" s="8" t="str">
        <f ca="1">IFERROR(Tabela3[[#This Row],[Valor]]-(Tabela3[[#This Row],[Valor]]*(Tabela3[[#This Row],[Idade]]*VLOOKUP(Tabela3[[#This Row],[Categoria]],Cadastros!A:B,2,0))),"")</f>
        <v/>
      </c>
    </row>
    <row r="562" spans="4:18" x14ac:dyDescent="0.25">
      <c r="D562" s="5"/>
      <c r="N562" s="6" t="str">
        <f>IFERROR(Tabela3[[#This Row],[Última revisão do bem]]+(VLOOKUP(Tabela3[[#This Row],[Categoria]],Cadastros!A:D,4,0)+365),"")</f>
        <v/>
      </c>
      <c r="O562" s="7" t="str">
        <f ca="1">IF(Tabela3[[#This Row],[Data da compra]]&gt;0,(TODAY()-Tabela3[[#This Row],[Data da compra]])/365,"")</f>
        <v/>
      </c>
      <c r="P562" s="7" t="str">
        <f>IFERROR(VLOOKUP(Tabela3[[#This Row],[Categoria]],Cadastros!A:C,3,0),"")</f>
        <v/>
      </c>
      <c r="Q562" s="9" t="str">
        <f ca="1">IFERROR(Tabela3[[#This Row],[Vida útil]]-Tabela3[[#This Row],[Idade]],"")</f>
        <v/>
      </c>
      <c r="R562" s="8" t="str">
        <f ca="1">IFERROR(Tabela3[[#This Row],[Valor]]-(Tabela3[[#This Row],[Valor]]*(Tabela3[[#This Row],[Idade]]*VLOOKUP(Tabela3[[#This Row],[Categoria]],Cadastros!A:B,2,0))),"")</f>
        <v/>
      </c>
    </row>
    <row r="563" spans="4:18" x14ac:dyDescent="0.25">
      <c r="D563" s="5"/>
      <c r="N563" s="6" t="str">
        <f>IFERROR(Tabela3[[#This Row],[Última revisão do bem]]+(VLOOKUP(Tabela3[[#This Row],[Categoria]],Cadastros!A:D,4,0)+365),"")</f>
        <v/>
      </c>
      <c r="O563" s="7" t="str">
        <f ca="1">IF(Tabela3[[#This Row],[Data da compra]]&gt;0,(TODAY()-Tabela3[[#This Row],[Data da compra]])/365,"")</f>
        <v/>
      </c>
      <c r="P563" s="7" t="str">
        <f>IFERROR(VLOOKUP(Tabela3[[#This Row],[Categoria]],Cadastros!A:C,3,0),"")</f>
        <v/>
      </c>
      <c r="Q563" s="9" t="str">
        <f ca="1">IFERROR(Tabela3[[#This Row],[Vida útil]]-Tabela3[[#This Row],[Idade]],"")</f>
        <v/>
      </c>
      <c r="R563" s="8" t="str">
        <f ca="1">IFERROR(Tabela3[[#This Row],[Valor]]-(Tabela3[[#This Row],[Valor]]*(Tabela3[[#This Row],[Idade]]*VLOOKUP(Tabela3[[#This Row],[Categoria]],Cadastros!A:B,2,0))),"")</f>
        <v/>
      </c>
    </row>
    <row r="564" spans="4:18" x14ac:dyDescent="0.25">
      <c r="D564" s="22"/>
      <c r="N564" s="6" t="str">
        <f>IFERROR(Tabela3[[#This Row],[Última revisão do bem]]+(VLOOKUP(Tabela3[[#This Row],[Categoria]],Cadastros!A:D,4,0)+365),"")</f>
        <v/>
      </c>
      <c r="O564" s="7" t="str">
        <f ca="1">IF(Tabela3[[#This Row],[Data da compra]]&gt;0,(TODAY()-Tabela3[[#This Row],[Data da compra]])/365,"")</f>
        <v/>
      </c>
      <c r="P564" s="7" t="str">
        <f>IFERROR(VLOOKUP(Tabela3[[#This Row],[Categoria]],Cadastros!A:C,3,0),"")</f>
        <v/>
      </c>
      <c r="Q564" s="9" t="str">
        <f ca="1">IFERROR(Tabela3[[#This Row],[Vida útil]]-Tabela3[[#This Row],[Idade]],"")</f>
        <v/>
      </c>
      <c r="R564" s="23" t="str">
        <f ca="1">IFERROR(Tabela3[[#This Row],[Valor]]-(Tabela3[[#This Row],[Valor]]*(Tabela3[[#This Row],[Idade]]*VLOOKUP(Tabela3[[#This Row],[Categoria]],Cadastros!A:B,2,0))),"")</f>
        <v/>
      </c>
    </row>
    <row r="565" spans="4:18" x14ac:dyDescent="0.25">
      <c r="D565" s="5"/>
      <c r="N565" s="6" t="str">
        <f>IFERROR(Tabela3[[#This Row],[Última revisão do bem]]+(VLOOKUP(Tabela3[[#This Row],[Categoria]],Cadastros!A:D,4,0)+365),"")</f>
        <v/>
      </c>
      <c r="O565" s="7" t="str">
        <f ca="1">IF(Tabela3[[#This Row],[Data da compra]]&gt;0,(TODAY()-Tabela3[[#This Row],[Data da compra]])/365,"")</f>
        <v/>
      </c>
      <c r="P565" s="7" t="str">
        <f>IFERROR(VLOOKUP(Tabela3[[#This Row],[Categoria]],Cadastros!A:C,3,0),"")</f>
        <v/>
      </c>
      <c r="Q565" s="9" t="str">
        <f ca="1">IFERROR(Tabela3[[#This Row],[Vida útil]]-Tabela3[[#This Row],[Idade]],"")</f>
        <v/>
      </c>
      <c r="R565" s="8" t="str">
        <f ca="1">IFERROR(Tabela3[[#This Row],[Valor]]-(Tabela3[[#This Row],[Valor]]*(Tabela3[[#This Row],[Idade]]*VLOOKUP(Tabela3[[#This Row],[Categoria]],Cadastros!A:B,2,0))),"")</f>
        <v/>
      </c>
    </row>
    <row r="566" spans="4:18" x14ac:dyDescent="0.25">
      <c r="D566" s="5"/>
      <c r="N566" s="6" t="str">
        <f>IFERROR(Tabela3[[#This Row],[Última revisão do bem]]+(VLOOKUP(Tabela3[[#This Row],[Categoria]],Cadastros!A:D,4,0)+365),"")</f>
        <v/>
      </c>
      <c r="O566" s="7" t="str">
        <f ca="1">IF(Tabela3[[#This Row],[Data da compra]]&gt;0,(TODAY()-Tabela3[[#This Row],[Data da compra]])/365,"")</f>
        <v/>
      </c>
      <c r="P566" s="7" t="str">
        <f>IFERROR(VLOOKUP(Tabela3[[#This Row],[Categoria]],Cadastros!A:C,3,0),"")</f>
        <v/>
      </c>
      <c r="Q566" s="9" t="str">
        <f ca="1">IFERROR(Tabela3[[#This Row],[Vida útil]]-Tabela3[[#This Row],[Idade]],"")</f>
        <v/>
      </c>
      <c r="R566" s="8" t="str">
        <f ca="1">IFERROR(Tabela3[[#This Row],[Valor]]-(Tabela3[[#This Row],[Valor]]*(Tabela3[[#This Row],[Idade]]*VLOOKUP(Tabela3[[#This Row],[Categoria]],Cadastros!A:B,2,0))),"")</f>
        <v/>
      </c>
    </row>
    <row r="567" spans="4:18" x14ac:dyDescent="0.25">
      <c r="D567" s="5"/>
      <c r="N567" s="6" t="str">
        <f>IFERROR(Tabela3[[#This Row],[Última revisão do bem]]+(VLOOKUP(Tabela3[[#This Row],[Categoria]],Cadastros!A:D,4,0)+365),"")</f>
        <v/>
      </c>
      <c r="O567" s="7" t="str">
        <f ca="1">IF(Tabela3[[#This Row],[Data da compra]]&gt;0,(TODAY()-Tabela3[[#This Row],[Data da compra]])/365,"")</f>
        <v/>
      </c>
      <c r="P567" s="7" t="str">
        <f>IFERROR(VLOOKUP(Tabela3[[#This Row],[Categoria]],Cadastros!A:C,3,0),"")</f>
        <v/>
      </c>
      <c r="Q567" s="9" t="str">
        <f ca="1">IFERROR(Tabela3[[#This Row],[Vida útil]]-Tabela3[[#This Row],[Idade]],"")</f>
        <v/>
      </c>
      <c r="R567" s="8" t="str">
        <f ca="1">IFERROR(Tabela3[[#This Row],[Valor]]-(Tabela3[[#This Row],[Valor]]*(Tabela3[[#This Row],[Idade]]*VLOOKUP(Tabela3[[#This Row],[Categoria]],Cadastros!A:B,2,0))),"")</f>
        <v/>
      </c>
    </row>
    <row r="568" spans="4:18" x14ac:dyDescent="0.25">
      <c r="D568" s="5"/>
      <c r="N568" s="6" t="str">
        <f>IFERROR(Tabela3[[#This Row],[Última revisão do bem]]+(VLOOKUP(Tabela3[[#This Row],[Categoria]],Cadastros!A:D,4,0)+365),"")</f>
        <v/>
      </c>
      <c r="O568" s="7" t="str">
        <f ca="1">IF(Tabela3[[#This Row],[Data da compra]]&gt;0,(TODAY()-Tabela3[[#This Row],[Data da compra]])/365,"")</f>
        <v/>
      </c>
      <c r="P568" s="7" t="str">
        <f>IFERROR(VLOOKUP(Tabela3[[#This Row],[Categoria]],Cadastros!A:C,3,0),"")</f>
        <v/>
      </c>
      <c r="Q568" s="9" t="str">
        <f ca="1">IFERROR(Tabela3[[#This Row],[Vida útil]]-Tabela3[[#This Row],[Idade]],"")</f>
        <v/>
      </c>
      <c r="R568" s="8" t="str">
        <f ca="1">IFERROR(Tabela3[[#This Row],[Valor]]-(Tabela3[[#This Row],[Valor]]*(Tabela3[[#This Row],[Idade]]*VLOOKUP(Tabela3[[#This Row],[Categoria]],Cadastros!A:B,2,0))),"")</f>
        <v/>
      </c>
    </row>
    <row r="569" spans="4:18" x14ac:dyDescent="0.25">
      <c r="D569" s="5"/>
      <c r="N569" s="6" t="str">
        <f>IFERROR(Tabela3[[#This Row],[Última revisão do bem]]+(VLOOKUP(Tabela3[[#This Row],[Categoria]],Cadastros!A:D,4,0)+365),"")</f>
        <v/>
      </c>
      <c r="O569" s="7" t="str">
        <f ca="1">IF(Tabela3[[#This Row],[Data da compra]]&gt;0,(TODAY()-Tabela3[[#This Row],[Data da compra]])/365,"")</f>
        <v/>
      </c>
      <c r="P569" s="7" t="str">
        <f>IFERROR(VLOOKUP(Tabela3[[#This Row],[Categoria]],Cadastros!A:C,3,0),"")</f>
        <v/>
      </c>
      <c r="Q569" s="9" t="str">
        <f ca="1">IFERROR(Tabela3[[#This Row],[Vida útil]]-Tabela3[[#This Row],[Idade]],"")</f>
        <v/>
      </c>
      <c r="R569" s="8" t="str">
        <f ca="1">IFERROR(Tabela3[[#This Row],[Valor]]-(Tabela3[[#This Row],[Valor]]*(Tabela3[[#This Row],[Idade]]*VLOOKUP(Tabela3[[#This Row],[Categoria]],Cadastros!A:B,2,0))),"")</f>
        <v/>
      </c>
    </row>
    <row r="570" spans="4:18" x14ac:dyDescent="0.25">
      <c r="D570" s="5"/>
      <c r="N570" s="6" t="str">
        <f>IFERROR(Tabela3[[#This Row],[Última revisão do bem]]+(VLOOKUP(Tabela3[[#This Row],[Categoria]],Cadastros!A:D,4,0)+365),"")</f>
        <v/>
      </c>
      <c r="O570" s="7" t="str">
        <f ca="1">IF(Tabela3[[#This Row],[Data da compra]]&gt;0,(TODAY()-Tabela3[[#This Row],[Data da compra]])/365,"")</f>
        <v/>
      </c>
      <c r="P570" s="7" t="str">
        <f>IFERROR(VLOOKUP(Tabela3[[#This Row],[Categoria]],Cadastros!A:C,3,0),"")</f>
        <v/>
      </c>
      <c r="Q570" s="9" t="str">
        <f ca="1">IFERROR(Tabela3[[#This Row],[Vida útil]]-Tabela3[[#This Row],[Idade]],"")</f>
        <v/>
      </c>
      <c r="R570" s="8" t="str">
        <f ca="1">IFERROR(Tabela3[[#This Row],[Valor]]-(Tabela3[[#This Row],[Valor]]*(Tabela3[[#This Row],[Idade]]*VLOOKUP(Tabela3[[#This Row],[Categoria]],Cadastros!A:B,2,0))),"")</f>
        <v/>
      </c>
    </row>
    <row r="571" spans="4:18" x14ac:dyDescent="0.25">
      <c r="D571" s="5"/>
      <c r="N571" s="6" t="str">
        <f>IFERROR(Tabela3[[#This Row],[Última revisão do bem]]+(VLOOKUP(Tabela3[[#This Row],[Categoria]],Cadastros!A:D,4,0)+365),"")</f>
        <v/>
      </c>
      <c r="O571" s="7" t="str">
        <f ca="1">IF(Tabela3[[#This Row],[Data da compra]]&gt;0,(TODAY()-Tabela3[[#This Row],[Data da compra]])/365,"")</f>
        <v/>
      </c>
      <c r="P571" s="7" t="str">
        <f>IFERROR(VLOOKUP(Tabela3[[#This Row],[Categoria]],Cadastros!A:C,3,0),"")</f>
        <v/>
      </c>
      <c r="Q571" s="9" t="str">
        <f ca="1">IFERROR(Tabela3[[#This Row],[Vida útil]]-Tabela3[[#This Row],[Idade]],"")</f>
        <v/>
      </c>
      <c r="R571" s="8" t="str">
        <f ca="1">IFERROR(Tabela3[[#This Row],[Valor]]-(Tabela3[[#This Row],[Valor]]*(Tabela3[[#This Row],[Idade]]*VLOOKUP(Tabela3[[#This Row],[Categoria]],Cadastros!A:B,2,0))),"")</f>
        <v/>
      </c>
    </row>
    <row r="572" spans="4:18" x14ac:dyDescent="0.25">
      <c r="D572" s="5"/>
      <c r="N572" s="6" t="str">
        <f>IFERROR(Tabela3[[#This Row],[Última revisão do bem]]+(VLOOKUP(Tabela3[[#This Row],[Categoria]],Cadastros!A:D,4,0)+365),"")</f>
        <v/>
      </c>
      <c r="O572" s="7" t="str">
        <f ca="1">IF(Tabela3[[#This Row],[Data da compra]]&gt;0,(TODAY()-Tabela3[[#This Row],[Data da compra]])/365,"")</f>
        <v/>
      </c>
      <c r="P572" s="7" t="str">
        <f>IFERROR(VLOOKUP(Tabela3[[#This Row],[Categoria]],Cadastros!A:C,3,0),"")</f>
        <v/>
      </c>
      <c r="Q572" s="9" t="str">
        <f ca="1">IFERROR(Tabela3[[#This Row],[Vida útil]]-Tabela3[[#This Row],[Idade]],"")</f>
        <v/>
      </c>
      <c r="R572" s="8" t="str">
        <f ca="1">IFERROR(Tabela3[[#This Row],[Valor]]-(Tabela3[[#This Row],[Valor]]*(Tabela3[[#This Row],[Idade]]*VLOOKUP(Tabela3[[#This Row],[Categoria]],Cadastros!A:B,2,0))),"")</f>
        <v/>
      </c>
    </row>
    <row r="573" spans="4:18" x14ac:dyDescent="0.25">
      <c r="D573" s="5"/>
      <c r="N573" s="6" t="str">
        <f>IFERROR(Tabela3[[#This Row],[Última revisão do bem]]+(VLOOKUP(Tabela3[[#This Row],[Categoria]],Cadastros!A:D,4,0)+365),"")</f>
        <v/>
      </c>
      <c r="O573" s="7" t="str">
        <f ca="1">IF(Tabela3[[#This Row],[Data da compra]]&gt;0,(TODAY()-Tabela3[[#This Row],[Data da compra]])/365,"")</f>
        <v/>
      </c>
      <c r="P573" s="7" t="str">
        <f>IFERROR(VLOOKUP(Tabela3[[#This Row],[Categoria]],Cadastros!A:C,3,0),"")</f>
        <v/>
      </c>
      <c r="Q573" s="9" t="str">
        <f ca="1">IFERROR(Tabela3[[#This Row],[Vida útil]]-Tabela3[[#This Row],[Idade]],"")</f>
        <v/>
      </c>
      <c r="R573" s="8" t="str">
        <f ca="1">IFERROR(Tabela3[[#This Row],[Valor]]-(Tabela3[[#This Row],[Valor]]*(Tabela3[[#This Row],[Idade]]*VLOOKUP(Tabela3[[#This Row],[Categoria]],Cadastros!A:B,2,0))),"")</f>
        <v/>
      </c>
    </row>
    <row r="574" spans="4:18" x14ac:dyDescent="0.25">
      <c r="D574" s="5"/>
      <c r="N574" s="6" t="str">
        <f>IFERROR(Tabela3[[#This Row],[Última revisão do bem]]+(VLOOKUP(Tabela3[[#This Row],[Categoria]],Cadastros!A:D,4,0)+365),"")</f>
        <v/>
      </c>
      <c r="O574" s="7" t="str">
        <f ca="1">IF(Tabela3[[#This Row],[Data da compra]]&gt;0,(TODAY()-Tabela3[[#This Row],[Data da compra]])/365,"")</f>
        <v/>
      </c>
      <c r="P574" s="7" t="str">
        <f>IFERROR(VLOOKUP(Tabela3[[#This Row],[Categoria]],Cadastros!A:C,3,0),"")</f>
        <v/>
      </c>
      <c r="Q574" s="9" t="str">
        <f ca="1">IFERROR(Tabela3[[#This Row],[Vida útil]]-Tabela3[[#This Row],[Idade]],"")</f>
        <v/>
      </c>
      <c r="R574" s="8" t="str">
        <f ca="1">IFERROR(Tabela3[[#This Row],[Valor]]-(Tabela3[[#This Row],[Valor]]*(Tabela3[[#This Row],[Idade]]*VLOOKUP(Tabela3[[#This Row],[Categoria]],Cadastros!A:B,2,0))),"")</f>
        <v/>
      </c>
    </row>
    <row r="575" spans="4:18" x14ac:dyDescent="0.25">
      <c r="D575" s="5"/>
      <c r="N575" s="6" t="str">
        <f>IFERROR(Tabela3[[#This Row],[Última revisão do bem]]+(VLOOKUP(Tabela3[[#This Row],[Categoria]],Cadastros!A:D,4,0)+365),"")</f>
        <v/>
      </c>
      <c r="O575" s="7" t="str">
        <f ca="1">IF(Tabela3[[#This Row],[Data da compra]]&gt;0,(TODAY()-Tabela3[[#This Row],[Data da compra]])/365,"")</f>
        <v/>
      </c>
      <c r="P575" s="7" t="str">
        <f>IFERROR(VLOOKUP(Tabela3[[#This Row],[Categoria]],Cadastros!A:C,3,0),"")</f>
        <v/>
      </c>
      <c r="Q575" s="9" t="str">
        <f ca="1">IFERROR(Tabela3[[#This Row],[Vida útil]]-Tabela3[[#This Row],[Idade]],"")</f>
        <v/>
      </c>
      <c r="R575" s="8" t="str">
        <f ca="1">IFERROR(Tabela3[[#This Row],[Valor]]-(Tabela3[[#This Row],[Valor]]*(Tabela3[[#This Row],[Idade]]*VLOOKUP(Tabela3[[#This Row],[Categoria]],Cadastros!A:B,2,0))),"")</f>
        <v/>
      </c>
    </row>
    <row r="576" spans="4:18" x14ac:dyDescent="0.25">
      <c r="D576" s="5"/>
      <c r="N576" s="6" t="str">
        <f>IFERROR(Tabela3[[#This Row],[Última revisão do bem]]+(VLOOKUP(Tabela3[[#This Row],[Categoria]],Cadastros!A:D,4,0)+365),"")</f>
        <v/>
      </c>
      <c r="O576" s="7" t="str">
        <f ca="1">IF(Tabela3[[#This Row],[Data da compra]]&gt;0,(TODAY()-Tabela3[[#This Row],[Data da compra]])/365,"")</f>
        <v/>
      </c>
      <c r="P576" s="7" t="str">
        <f>IFERROR(VLOOKUP(Tabela3[[#This Row],[Categoria]],Cadastros!A:C,3,0),"")</f>
        <v/>
      </c>
      <c r="Q576" s="9" t="str">
        <f ca="1">IFERROR(Tabela3[[#This Row],[Vida útil]]-Tabela3[[#This Row],[Idade]],"")</f>
        <v/>
      </c>
      <c r="R576" s="8" t="str">
        <f ca="1">IFERROR(Tabela3[[#This Row],[Valor]]-(Tabela3[[#This Row],[Valor]]*(Tabela3[[#This Row],[Idade]]*VLOOKUP(Tabela3[[#This Row],[Categoria]],Cadastros!A:B,2,0))),"")</f>
        <v/>
      </c>
    </row>
    <row r="577" spans="4:18" x14ac:dyDescent="0.25">
      <c r="D577" s="5"/>
      <c r="N577" s="6" t="str">
        <f>IFERROR(Tabela3[[#This Row],[Última revisão do bem]]+(VLOOKUP(Tabela3[[#This Row],[Categoria]],Cadastros!A:D,4,0)+365),"")</f>
        <v/>
      </c>
      <c r="O577" s="7" t="str">
        <f ca="1">IF(Tabela3[[#This Row],[Data da compra]]&gt;0,(TODAY()-Tabela3[[#This Row],[Data da compra]])/365,"")</f>
        <v/>
      </c>
      <c r="P577" s="7" t="str">
        <f>IFERROR(VLOOKUP(Tabela3[[#This Row],[Categoria]],Cadastros!A:C,3,0),"")</f>
        <v/>
      </c>
      <c r="Q577" s="9" t="str">
        <f ca="1">IFERROR(Tabela3[[#This Row],[Vida útil]]-Tabela3[[#This Row],[Idade]],"")</f>
        <v/>
      </c>
      <c r="R577" s="8" t="str">
        <f ca="1">IFERROR(Tabela3[[#This Row],[Valor]]-(Tabela3[[#This Row],[Valor]]*(Tabela3[[#This Row],[Idade]]*VLOOKUP(Tabela3[[#This Row],[Categoria]],Cadastros!A:B,2,0))),"")</f>
        <v/>
      </c>
    </row>
    <row r="578" spans="4:18" x14ac:dyDescent="0.25">
      <c r="D578" s="5"/>
      <c r="N578" s="6" t="str">
        <f>IFERROR(Tabela3[[#This Row],[Última revisão do bem]]+(VLOOKUP(Tabela3[[#This Row],[Categoria]],Cadastros!A:D,4,0)+365),"")</f>
        <v/>
      </c>
      <c r="O578" s="7" t="str">
        <f ca="1">IF(Tabela3[[#This Row],[Data da compra]]&gt;0,(TODAY()-Tabela3[[#This Row],[Data da compra]])/365,"")</f>
        <v/>
      </c>
      <c r="P578" s="7" t="str">
        <f>IFERROR(VLOOKUP(Tabela3[[#This Row],[Categoria]],Cadastros!A:C,3,0),"")</f>
        <v/>
      </c>
      <c r="Q578" s="9" t="str">
        <f ca="1">IFERROR(Tabela3[[#This Row],[Vida útil]]-Tabela3[[#This Row],[Idade]],"")</f>
        <v/>
      </c>
      <c r="R578" s="8" t="str">
        <f ca="1">IFERROR(Tabela3[[#This Row],[Valor]]-(Tabela3[[#This Row],[Valor]]*(Tabela3[[#This Row],[Idade]]*VLOOKUP(Tabela3[[#This Row],[Categoria]],Cadastros!A:B,2,0))),"")</f>
        <v/>
      </c>
    </row>
    <row r="579" spans="4:18" x14ac:dyDescent="0.25">
      <c r="D579" s="5"/>
      <c r="N579" s="6" t="str">
        <f>IFERROR(Tabela3[[#This Row],[Última revisão do bem]]+(VLOOKUP(Tabela3[[#This Row],[Categoria]],Cadastros!A:D,4,0)+365),"")</f>
        <v/>
      </c>
      <c r="O579" s="7" t="str">
        <f ca="1">IF(Tabela3[[#This Row],[Data da compra]]&gt;0,(TODAY()-Tabela3[[#This Row],[Data da compra]])/365,"")</f>
        <v/>
      </c>
      <c r="P579" s="7" t="str">
        <f>IFERROR(VLOOKUP(Tabela3[[#This Row],[Categoria]],Cadastros!A:C,3,0),"")</f>
        <v/>
      </c>
      <c r="Q579" s="9" t="str">
        <f ca="1">IFERROR(Tabela3[[#This Row],[Vida útil]]-Tabela3[[#This Row],[Idade]],"")</f>
        <v/>
      </c>
      <c r="R579" s="8" t="str">
        <f ca="1">IFERROR(Tabela3[[#This Row],[Valor]]-(Tabela3[[#This Row],[Valor]]*(Tabela3[[#This Row],[Idade]]*VLOOKUP(Tabela3[[#This Row],[Categoria]],Cadastros!A:B,2,0))),"")</f>
        <v/>
      </c>
    </row>
    <row r="580" spans="4:18" x14ac:dyDescent="0.25">
      <c r="D580" s="5"/>
      <c r="N580" s="6" t="str">
        <f>IFERROR(Tabela3[[#This Row],[Última revisão do bem]]+(VLOOKUP(Tabela3[[#This Row],[Categoria]],Cadastros!A:D,4,0)+365),"")</f>
        <v/>
      </c>
      <c r="O580" s="7" t="str">
        <f ca="1">IF(Tabela3[[#This Row],[Data da compra]]&gt;0,(TODAY()-Tabela3[[#This Row],[Data da compra]])/365,"")</f>
        <v/>
      </c>
      <c r="P580" s="7" t="str">
        <f>IFERROR(VLOOKUP(Tabela3[[#This Row],[Categoria]],Cadastros!A:C,3,0),"")</f>
        <v/>
      </c>
      <c r="Q580" s="9" t="str">
        <f ca="1">IFERROR(Tabela3[[#This Row],[Vida útil]]-Tabela3[[#This Row],[Idade]],"")</f>
        <v/>
      </c>
      <c r="R580" s="8" t="str">
        <f ca="1">IFERROR(Tabela3[[#This Row],[Valor]]-(Tabela3[[#This Row],[Valor]]*(Tabela3[[#This Row],[Idade]]*VLOOKUP(Tabela3[[#This Row],[Categoria]],Cadastros!A:B,2,0))),"")</f>
        <v/>
      </c>
    </row>
    <row r="581" spans="4:18" x14ac:dyDescent="0.25">
      <c r="D581" s="5"/>
      <c r="N581" s="6" t="str">
        <f>IFERROR(Tabela3[[#This Row],[Última revisão do bem]]+(VLOOKUP(Tabela3[[#This Row],[Categoria]],Cadastros!A:D,4,0)+365),"")</f>
        <v/>
      </c>
      <c r="O581" s="7" t="str">
        <f ca="1">IF(Tabela3[[#This Row],[Data da compra]]&gt;0,(TODAY()-Tabela3[[#This Row],[Data da compra]])/365,"")</f>
        <v/>
      </c>
      <c r="P581" s="7" t="str">
        <f>IFERROR(VLOOKUP(Tabela3[[#This Row],[Categoria]],Cadastros!A:C,3,0),"")</f>
        <v/>
      </c>
      <c r="Q581" s="9" t="str">
        <f ca="1">IFERROR(Tabela3[[#This Row],[Vida útil]]-Tabela3[[#This Row],[Idade]],"")</f>
        <v/>
      </c>
      <c r="R581" s="8" t="str">
        <f ca="1">IFERROR(Tabela3[[#This Row],[Valor]]-(Tabela3[[#This Row],[Valor]]*(Tabela3[[#This Row],[Idade]]*VLOOKUP(Tabela3[[#This Row],[Categoria]],Cadastros!A:B,2,0))),"")</f>
        <v/>
      </c>
    </row>
    <row r="582" spans="4:18" x14ac:dyDescent="0.25">
      <c r="D582" s="22"/>
      <c r="N582" s="6" t="str">
        <f>IFERROR(Tabela3[[#This Row],[Última revisão do bem]]+(VLOOKUP(Tabela3[[#This Row],[Categoria]],Cadastros!A:D,4,0)+365),"")</f>
        <v/>
      </c>
      <c r="O582" s="7" t="str">
        <f ca="1">IF(Tabela3[[#This Row],[Data da compra]]&gt;0,(TODAY()-Tabela3[[#This Row],[Data da compra]])/365,"")</f>
        <v/>
      </c>
      <c r="P582" s="7" t="str">
        <f>IFERROR(VLOOKUP(Tabela3[[#This Row],[Categoria]],Cadastros!A:C,3,0),"")</f>
        <v/>
      </c>
      <c r="Q582" s="9" t="str">
        <f ca="1">IFERROR(Tabela3[[#This Row],[Vida útil]]-Tabela3[[#This Row],[Idade]],"")</f>
        <v/>
      </c>
      <c r="R582" s="23" t="str">
        <f ca="1">IFERROR(Tabela3[[#This Row],[Valor]]-(Tabela3[[#This Row],[Valor]]*(Tabela3[[#This Row],[Idade]]*VLOOKUP(Tabela3[[#This Row],[Categoria]],Cadastros!A:B,2,0))),"")</f>
        <v/>
      </c>
    </row>
    <row r="583" spans="4:18" x14ac:dyDescent="0.25">
      <c r="D583" s="5"/>
      <c r="N583" s="6" t="str">
        <f>IFERROR(Tabela3[[#This Row],[Última revisão do bem]]+(VLOOKUP(Tabela3[[#This Row],[Categoria]],Cadastros!A:D,4,0)+365),"")</f>
        <v/>
      </c>
      <c r="O583" s="7" t="str">
        <f ca="1">IF(Tabela3[[#This Row],[Data da compra]]&gt;0,(TODAY()-Tabela3[[#This Row],[Data da compra]])/365,"")</f>
        <v/>
      </c>
      <c r="P583" s="7" t="str">
        <f>IFERROR(VLOOKUP(Tabela3[[#This Row],[Categoria]],Cadastros!A:C,3,0),"")</f>
        <v/>
      </c>
      <c r="Q583" s="9" t="str">
        <f ca="1">IFERROR(Tabela3[[#This Row],[Vida útil]]-Tabela3[[#This Row],[Idade]],"")</f>
        <v/>
      </c>
      <c r="R583" s="8" t="str">
        <f ca="1">IFERROR(Tabela3[[#This Row],[Valor]]-(Tabela3[[#This Row],[Valor]]*(Tabela3[[#This Row],[Idade]]*VLOOKUP(Tabela3[[#This Row],[Categoria]],Cadastros!A:B,2,0))),"")</f>
        <v/>
      </c>
    </row>
    <row r="584" spans="4:18" x14ac:dyDescent="0.25">
      <c r="D584" s="5"/>
      <c r="N584" s="6" t="str">
        <f>IFERROR(Tabela3[[#This Row],[Última revisão do bem]]+(VLOOKUP(Tabela3[[#This Row],[Categoria]],Cadastros!A:D,4,0)+365),"")</f>
        <v/>
      </c>
      <c r="O584" s="7" t="str">
        <f ca="1">IF(Tabela3[[#This Row],[Data da compra]]&gt;0,(TODAY()-Tabela3[[#This Row],[Data da compra]])/365,"")</f>
        <v/>
      </c>
      <c r="P584" s="7" t="str">
        <f>IFERROR(VLOOKUP(Tabela3[[#This Row],[Categoria]],Cadastros!A:C,3,0),"")</f>
        <v/>
      </c>
      <c r="Q584" s="9" t="str">
        <f ca="1">IFERROR(Tabela3[[#This Row],[Vida útil]]-Tabela3[[#This Row],[Idade]],"")</f>
        <v/>
      </c>
      <c r="R584" s="8" t="str">
        <f ca="1">IFERROR(Tabela3[[#This Row],[Valor]]-(Tabela3[[#This Row],[Valor]]*(Tabela3[[#This Row],[Idade]]*VLOOKUP(Tabela3[[#This Row],[Categoria]],Cadastros!A:B,2,0))),"")</f>
        <v/>
      </c>
    </row>
    <row r="585" spans="4:18" x14ac:dyDescent="0.25">
      <c r="D585" s="5"/>
      <c r="N585" s="6" t="str">
        <f>IFERROR(Tabela3[[#This Row],[Última revisão do bem]]+(VLOOKUP(Tabela3[[#This Row],[Categoria]],Cadastros!A:D,4,0)+365),"")</f>
        <v/>
      </c>
      <c r="O585" s="7" t="str">
        <f ca="1">IF(Tabela3[[#This Row],[Data da compra]]&gt;0,(TODAY()-Tabela3[[#This Row],[Data da compra]])/365,"")</f>
        <v/>
      </c>
      <c r="P585" s="7" t="str">
        <f>IFERROR(VLOOKUP(Tabela3[[#This Row],[Categoria]],Cadastros!A:C,3,0),"")</f>
        <v/>
      </c>
      <c r="Q585" s="9" t="str">
        <f ca="1">IFERROR(Tabela3[[#This Row],[Vida útil]]-Tabela3[[#This Row],[Idade]],"")</f>
        <v/>
      </c>
      <c r="R585" s="8" t="str">
        <f ca="1">IFERROR(Tabela3[[#This Row],[Valor]]-(Tabela3[[#This Row],[Valor]]*(Tabela3[[#This Row],[Idade]]*VLOOKUP(Tabela3[[#This Row],[Categoria]],Cadastros!A:B,2,0))),"")</f>
        <v/>
      </c>
    </row>
    <row r="586" spans="4:18" x14ac:dyDescent="0.25">
      <c r="D586" s="5"/>
      <c r="N586" s="6" t="str">
        <f>IFERROR(Tabela3[[#This Row],[Última revisão do bem]]+(VLOOKUP(Tabela3[[#This Row],[Categoria]],Cadastros!A:D,4,0)+365),"")</f>
        <v/>
      </c>
      <c r="O586" s="7" t="str">
        <f ca="1">IF(Tabela3[[#This Row],[Data da compra]]&gt;0,(TODAY()-Tabela3[[#This Row],[Data da compra]])/365,"")</f>
        <v/>
      </c>
      <c r="P586" s="7" t="str">
        <f>IFERROR(VLOOKUP(Tabela3[[#This Row],[Categoria]],Cadastros!A:C,3,0),"")</f>
        <v/>
      </c>
      <c r="Q586" s="9" t="str">
        <f ca="1">IFERROR(Tabela3[[#This Row],[Vida útil]]-Tabela3[[#This Row],[Idade]],"")</f>
        <v/>
      </c>
      <c r="R586" s="8" t="str">
        <f ca="1">IFERROR(Tabela3[[#This Row],[Valor]]-(Tabela3[[#This Row],[Valor]]*(Tabela3[[#This Row],[Idade]]*VLOOKUP(Tabela3[[#This Row],[Categoria]],Cadastros!A:B,2,0))),"")</f>
        <v/>
      </c>
    </row>
    <row r="587" spans="4:18" x14ac:dyDescent="0.25">
      <c r="D587" s="5"/>
      <c r="N587" s="6" t="str">
        <f>IFERROR(Tabela3[[#This Row],[Última revisão do bem]]+(VLOOKUP(Tabela3[[#This Row],[Categoria]],Cadastros!A:D,4,0)+365),"")</f>
        <v/>
      </c>
      <c r="O587" s="7" t="str">
        <f ca="1">IF(Tabela3[[#This Row],[Data da compra]]&gt;0,(TODAY()-Tabela3[[#This Row],[Data da compra]])/365,"")</f>
        <v/>
      </c>
      <c r="P587" s="7" t="str">
        <f>IFERROR(VLOOKUP(Tabela3[[#This Row],[Categoria]],Cadastros!A:C,3,0),"")</f>
        <v/>
      </c>
      <c r="Q587" s="9" t="str">
        <f ca="1">IFERROR(Tabela3[[#This Row],[Vida útil]]-Tabela3[[#This Row],[Idade]],"")</f>
        <v/>
      </c>
      <c r="R587" s="8" t="str">
        <f ca="1">IFERROR(Tabela3[[#This Row],[Valor]]-(Tabela3[[#This Row],[Valor]]*(Tabela3[[#This Row],[Idade]]*VLOOKUP(Tabela3[[#This Row],[Categoria]],Cadastros!A:B,2,0))),"")</f>
        <v/>
      </c>
    </row>
    <row r="588" spans="4:18" x14ac:dyDescent="0.25">
      <c r="D588" s="5"/>
      <c r="N588" s="6" t="str">
        <f>IFERROR(Tabela3[[#This Row],[Última revisão do bem]]+(VLOOKUP(Tabela3[[#This Row],[Categoria]],Cadastros!A:D,4,0)+365),"")</f>
        <v/>
      </c>
      <c r="O588" s="7" t="str">
        <f ca="1">IF(Tabela3[[#This Row],[Data da compra]]&gt;0,(TODAY()-Tabela3[[#This Row],[Data da compra]])/365,"")</f>
        <v/>
      </c>
      <c r="P588" s="7" t="str">
        <f>IFERROR(VLOOKUP(Tabela3[[#This Row],[Categoria]],Cadastros!A:C,3,0),"")</f>
        <v/>
      </c>
      <c r="Q588" s="9" t="str">
        <f ca="1">IFERROR(Tabela3[[#This Row],[Vida útil]]-Tabela3[[#This Row],[Idade]],"")</f>
        <v/>
      </c>
      <c r="R588" s="8" t="str">
        <f ca="1">IFERROR(Tabela3[[#This Row],[Valor]]-(Tabela3[[#This Row],[Valor]]*(Tabela3[[#This Row],[Idade]]*VLOOKUP(Tabela3[[#This Row],[Categoria]],Cadastros!A:B,2,0))),"")</f>
        <v/>
      </c>
    </row>
    <row r="589" spans="4:18" x14ac:dyDescent="0.25">
      <c r="D589" s="5"/>
      <c r="N589" s="6" t="str">
        <f>IFERROR(Tabela3[[#This Row],[Última revisão do bem]]+(VLOOKUP(Tabela3[[#This Row],[Categoria]],Cadastros!A:D,4,0)+365),"")</f>
        <v/>
      </c>
      <c r="O589" s="7" t="str">
        <f ca="1">IF(Tabela3[[#This Row],[Data da compra]]&gt;0,(TODAY()-Tabela3[[#This Row],[Data da compra]])/365,"")</f>
        <v/>
      </c>
      <c r="P589" s="7" t="str">
        <f>IFERROR(VLOOKUP(Tabela3[[#This Row],[Categoria]],Cadastros!A:C,3,0),"")</f>
        <v/>
      </c>
      <c r="Q589" s="9" t="str">
        <f ca="1">IFERROR(Tabela3[[#This Row],[Vida útil]]-Tabela3[[#This Row],[Idade]],"")</f>
        <v/>
      </c>
      <c r="R589" s="8" t="str">
        <f ca="1">IFERROR(Tabela3[[#This Row],[Valor]]-(Tabela3[[#This Row],[Valor]]*(Tabela3[[#This Row],[Idade]]*VLOOKUP(Tabela3[[#This Row],[Categoria]],Cadastros!A:B,2,0))),"")</f>
        <v/>
      </c>
    </row>
    <row r="590" spans="4:18" x14ac:dyDescent="0.25">
      <c r="D590" s="5"/>
      <c r="N590" s="6" t="str">
        <f>IFERROR(Tabela3[[#This Row],[Última revisão do bem]]+(VLOOKUP(Tabela3[[#This Row],[Categoria]],Cadastros!A:D,4,0)+365),"")</f>
        <v/>
      </c>
      <c r="O590" s="7" t="str">
        <f ca="1">IF(Tabela3[[#This Row],[Data da compra]]&gt;0,(TODAY()-Tabela3[[#This Row],[Data da compra]])/365,"")</f>
        <v/>
      </c>
      <c r="P590" s="7" t="str">
        <f>IFERROR(VLOOKUP(Tabela3[[#This Row],[Categoria]],Cadastros!A:C,3,0),"")</f>
        <v/>
      </c>
      <c r="Q590" s="9" t="str">
        <f ca="1">IFERROR(Tabela3[[#This Row],[Vida útil]]-Tabela3[[#This Row],[Idade]],"")</f>
        <v/>
      </c>
      <c r="R590" s="8" t="str">
        <f ca="1">IFERROR(Tabela3[[#This Row],[Valor]]-(Tabela3[[#This Row],[Valor]]*(Tabela3[[#This Row],[Idade]]*VLOOKUP(Tabela3[[#This Row],[Categoria]],Cadastros!A:B,2,0))),"")</f>
        <v/>
      </c>
    </row>
    <row r="591" spans="4:18" x14ac:dyDescent="0.25">
      <c r="D591" s="5"/>
      <c r="N591" s="6" t="str">
        <f>IFERROR(Tabela3[[#This Row],[Última revisão do bem]]+(VLOOKUP(Tabela3[[#This Row],[Categoria]],Cadastros!A:D,4,0)+365),"")</f>
        <v/>
      </c>
      <c r="O591" s="7" t="str">
        <f ca="1">IF(Tabela3[[#This Row],[Data da compra]]&gt;0,(TODAY()-Tabela3[[#This Row],[Data da compra]])/365,"")</f>
        <v/>
      </c>
      <c r="P591" s="7" t="str">
        <f>IFERROR(VLOOKUP(Tabela3[[#This Row],[Categoria]],Cadastros!A:C,3,0),"")</f>
        <v/>
      </c>
      <c r="Q591" s="9" t="str">
        <f ca="1">IFERROR(Tabela3[[#This Row],[Vida útil]]-Tabela3[[#This Row],[Idade]],"")</f>
        <v/>
      </c>
      <c r="R591" s="8" t="str">
        <f ca="1">IFERROR(Tabela3[[#This Row],[Valor]]-(Tabela3[[#This Row],[Valor]]*(Tabela3[[#This Row],[Idade]]*VLOOKUP(Tabela3[[#This Row],[Categoria]],Cadastros!A:B,2,0))),"")</f>
        <v/>
      </c>
    </row>
    <row r="592" spans="4:18" x14ac:dyDescent="0.25">
      <c r="D592" s="5"/>
      <c r="N592" s="6" t="str">
        <f>IFERROR(Tabela3[[#This Row],[Última revisão do bem]]+(VLOOKUP(Tabela3[[#This Row],[Categoria]],Cadastros!A:D,4,0)+365),"")</f>
        <v/>
      </c>
      <c r="O592" s="7" t="str">
        <f ca="1">IF(Tabela3[[#This Row],[Data da compra]]&gt;0,(TODAY()-Tabela3[[#This Row],[Data da compra]])/365,"")</f>
        <v/>
      </c>
      <c r="P592" s="7" t="str">
        <f>IFERROR(VLOOKUP(Tabela3[[#This Row],[Categoria]],Cadastros!A:C,3,0),"")</f>
        <v/>
      </c>
      <c r="Q592" s="9" t="str">
        <f ca="1">IFERROR(Tabela3[[#This Row],[Vida útil]]-Tabela3[[#This Row],[Idade]],"")</f>
        <v/>
      </c>
      <c r="R592" s="8" t="str">
        <f ca="1">IFERROR(Tabela3[[#This Row],[Valor]]-(Tabela3[[#This Row],[Valor]]*(Tabela3[[#This Row],[Idade]]*VLOOKUP(Tabela3[[#This Row],[Categoria]],Cadastros!A:B,2,0))),"")</f>
        <v/>
      </c>
    </row>
    <row r="593" spans="4:18" x14ac:dyDescent="0.25">
      <c r="D593" s="5"/>
      <c r="N593" s="6" t="str">
        <f>IFERROR(Tabela3[[#This Row],[Última revisão do bem]]+(VLOOKUP(Tabela3[[#This Row],[Categoria]],Cadastros!A:D,4,0)+365),"")</f>
        <v/>
      </c>
      <c r="O593" s="7" t="str">
        <f ca="1">IF(Tabela3[[#This Row],[Data da compra]]&gt;0,(TODAY()-Tabela3[[#This Row],[Data da compra]])/365,"")</f>
        <v/>
      </c>
      <c r="P593" s="7" t="str">
        <f>IFERROR(VLOOKUP(Tabela3[[#This Row],[Categoria]],Cadastros!A:C,3,0),"")</f>
        <v/>
      </c>
      <c r="Q593" s="9" t="str">
        <f ca="1">IFERROR(Tabela3[[#This Row],[Vida útil]]-Tabela3[[#This Row],[Idade]],"")</f>
        <v/>
      </c>
      <c r="R593" s="8" t="str">
        <f ca="1">IFERROR(Tabela3[[#This Row],[Valor]]-(Tabela3[[#This Row],[Valor]]*(Tabela3[[#This Row],[Idade]]*VLOOKUP(Tabela3[[#This Row],[Categoria]],Cadastros!A:B,2,0))),"")</f>
        <v/>
      </c>
    </row>
    <row r="594" spans="4:18" x14ac:dyDescent="0.25">
      <c r="D594" s="5"/>
      <c r="N594" s="6" t="str">
        <f>IFERROR(Tabela3[[#This Row],[Última revisão do bem]]+(VLOOKUP(Tabela3[[#This Row],[Categoria]],Cadastros!A:D,4,0)+365),"")</f>
        <v/>
      </c>
      <c r="O594" s="7" t="str">
        <f ca="1">IF(Tabela3[[#This Row],[Data da compra]]&gt;0,(TODAY()-Tabela3[[#This Row],[Data da compra]])/365,"")</f>
        <v/>
      </c>
      <c r="P594" s="7" t="str">
        <f>IFERROR(VLOOKUP(Tabela3[[#This Row],[Categoria]],Cadastros!A:C,3,0),"")</f>
        <v/>
      </c>
      <c r="Q594" s="9" t="str">
        <f ca="1">IFERROR(Tabela3[[#This Row],[Vida útil]]-Tabela3[[#This Row],[Idade]],"")</f>
        <v/>
      </c>
      <c r="R594" s="8" t="str">
        <f ca="1">IFERROR(Tabela3[[#This Row],[Valor]]-(Tabela3[[#This Row],[Valor]]*(Tabela3[[#This Row],[Idade]]*VLOOKUP(Tabela3[[#This Row],[Categoria]],Cadastros!A:B,2,0))),"")</f>
        <v/>
      </c>
    </row>
    <row r="595" spans="4:18" x14ac:dyDescent="0.25">
      <c r="D595" s="5"/>
      <c r="N595" s="6" t="str">
        <f>IFERROR(Tabela3[[#This Row],[Última revisão do bem]]+(VLOOKUP(Tabela3[[#This Row],[Categoria]],Cadastros!A:D,4,0)+365),"")</f>
        <v/>
      </c>
      <c r="O595" s="7" t="str">
        <f ca="1">IF(Tabela3[[#This Row],[Data da compra]]&gt;0,(TODAY()-Tabela3[[#This Row],[Data da compra]])/365,"")</f>
        <v/>
      </c>
      <c r="P595" s="7" t="str">
        <f>IFERROR(VLOOKUP(Tabela3[[#This Row],[Categoria]],Cadastros!A:C,3,0),"")</f>
        <v/>
      </c>
      <c r="Q595" s="9" t="str">
        <f ca="1">IFERROR(Tabela3[[#This Row],[Vida útil]]-Tabela3[[#This Row],[Idade]],"")</f>
        <v/>
      </c>
      <c r="R595" s="8" t="str">
        <f ca="1">IFERROR(Tabela3[[#This Row],[Valor]]-(Tabela3[[#This Row],[Valor]]*(Tabela3[[#This Row],[Idade]]*VLOOKUP(Tabela3[[#This Row],[Categoria]],Cadastros!A:B,2,0))),"")</f>
        <v/>
      </c>
    </row>
    <row r="596" spans="4:18" x14ac:dyDescent="0.25">
      <c r="D596" s="5"/>
      <c r="N596" s="6" t="str">
        <f>IFERROR(Tabela3[[#This Row],[Última revisão do bem]]+(VLOOKUP(Tabela3[[#This Row],[Categoria]],Cadastros!A:D,4,0)+365),"")</f>
        <v/>
      </c>
      <c r="O596" s="7" t="str">
        <f ca="1">IF(Tabela3[[#This Row],[Data da compra]]&gt;0,(TODAY()-Tabela3[[#This Row],[Data da compra]])/365,"")</f>
        <v/>
      </c>
      <c r="P596" s="7" t="str">
        <f>IFERROR(VLOOKUP(Tabela3[[#This Row],[Categoria]],Cadastros!A:C,3,0),"")</f>
        <v/>
      </c>
      <c r="Q596" s="9" t="str">
        <f ca="1">IFERROR(Tabela3[[#This Row],[Vida útil]]-Tabela3[[#This Row],[Idade]],"")</f>
        <v/>
      </c>
      <c r="R596" s="8" t="str">
        <f ca="1">IFERROR(Tabela3[[#This Row],[Valor]]-(Tabela3[[#This Row],[Valor]]*(Tabela3[[#This Row],[Idade]]*VLOOKUP(Tabela3[[#This Row],[Categoria]],Cadastros!A:B,2,0))),"")</f>
        <v/>
      </c>
    </row>
    <row r="597" spans="4:18" x14ac:dyDescent="0.25">
      <c r="D597" s="5"/>
      <c r="N597" s="6" t="str">
        <f>IFERROR(Tabela3[[#This Row],[Última revisão do bem]]+(VLOOKUP(Tabela3[[#This Row],[Categoria]],Cadastros!A:D,4,0)+365),"")</f>
        <v/>
      </c>
      <c r="O597" s="7" t="str">
        <f ca="1">IF(Tabela3[[#This Row],[Data da compra]]&gt;0,(TODAY()-Tabela3[[#This Row],[Data da compra]])/365,"")</f>
        <v/>
      </c>
      <c r="P597" s="7" t="str">
        <f>IFERROR(VLOOKUP(Tabela3[[#This Row],[Categoria]],Cadastros!A:C,3,0),"")</f>
        <v/>
      </c>
      <c r="Q597" s="9" t="str">
        <f ca="1">IFERROR(Tabela3[[#This Row],[Vida útil]]-Tabela3[[#This Row],[Idade]],"")</f>
        <v/>
      </c>
      <c r="R597" s="8" t="str">
        <f ca="1">IFERROR(Tabela3[[#This Row],[Valor]]-(Tabela3[[#This Row],[Valor]]*(Tabela3[[#This Row],[Idade]]*VLOOKUP(Tabela3[[#This Row],[Categoria]],Cadastros!A:B,2,0))),"")</f>
        <v/>
      </c>
    </row>
    <row r="598" spans="4:18" x14ac:dyDescent="0.25">
      <c r="D598" s="5"/>
      <c r="N598" s="6" t="str">
        <f>IFERROR(Tabela3[[#This Row],[Última revisão do bem]]+(VLOOKUP(Tabela3[[#This Row],[Categoria]],Cadastros!A:D,4,0)+365),"")</f>
        <v/>
      </c>
      <c r="O598" s="7" t="str">
        <f ca="1">IF(Tabela3[[#This Row],[Data da compra]]&gt;0,(TODAY()-Tabela3[[#This Row],[Data da compra]])/365,"")</f>
        <v/>
      </c>
      <c r="P598" s="7" t="str">
        <f>IFERROR(VLOOKUP(Tabela3[[#This Row],[Categoria]],Cadastros!A:C,3,0),"")</f>
        <v/>
      </c>
      <c r="Q598" s="9" t="str">
        <f ca="1">IFERROR(Tabela3[[#This Row],[Vida útil]]-Tabela3[[#This Row],[Idade]],"")</f>
        <v/>
      </c>
      <c r="R598" s="8" t="str">
        <f ca="1">IFERROR(Tabela3[[#This Row],[Valor]]-(Tabela3[[#This Row],[Valor]]*(Tabela3[[#This Row],[Idade]]*VLOOKUP(Tabela3[[#This Row],[Categoria]],Cadastros!A:B,2,0))),"")</f>
        <v/>
      </c>
    </row>
    <row r="599" spans="4:18" x14ac:dyDescent="0.25">
      <c r="D599" s="5"/>
      <c r="N599" s="6" t="str">
        <f>IFERROR(Tabela3[[#This Row],[Última revisão do bem]]+(VLOOKUP(Tabela3[[#This Row],[Categoria]],Cadastros!A:D,4,0)+365),"")</f>
        <v/>
      </c>
      <c r="O599" s="7" t="str">
        <f ca="1">IF(Tabela3[[#This Row],[Data da compra]]&gt;0,(TODAY()-Tabela3[[#This Row],[Data da compra]])/365,"")</f>
        <v/>
      </c>
      <c r="P599" s="7" t="str">
        <f>IFERROR(VLOOKUP(Tabela3[[#This Row],[Categoria]],Cadastros!A:C,3,0),"")</f>
        <v/>
      </c>
      <c r="Q599" s="9" t="str">
        <f ca="1">IFERROR(Tabela3[[#This Row],[Vida útil]]-Tabela3[[#This Row],[Idade]],"")</f>
        <v/>
      </c>
      <c r="R599" s="8" t="str">
        <f ca="1">IFERROR(Tabela3[[#This Row],[Valor]]-(Tabela3[[#This Row],[Valor]]*(Tabela3[[#This Row],[Idade]]*VLOOKUP(Tabela3[[#This Row],[Categoria]],Cadastros!A:B,2,0))),"")</f>
        <v/>
      </c>
    </row>
    <row r="600" spans="4:18" x14ac:dyDescent="0.25">
      <c r="D600" s="5"/>
      <c r="N600" s="6" t="str">
        <f>IFERROR(Tabela3[[#This Row],[Última revisão do bem]]+(VLOOKUP(Tabela3[[#This Row],[Categoria]],Cadastros!A:D,4,0)+365),"")</f>
        <v/>
      </c>
      <c r="O600" s="7" t="str">
        <f ca="1">IF(Tabela3[[#This Row],[Data da compra]]&gt;0,(TODAY()-Tabela3[[#This Row],[Data da compra]])/365,"")</f>
        <v/>
      </c>
      <c r="P600" s="7" t="str">
        <f>IFERROR(VLOOKUP(Tabela3[[#This Row],[Categoria]],Cadastros!A:C,3,0),"")</f>
        <v/>
      </c>
      <c r="Q600" s="9" t="str">
        <f ca="1">IFERROR(Tabela3[[#This Row],[Vida útil]]-Tabela3[[#This Row],[Idade]],"")</f>
        <v/>
      </c>
      <c r="R600" s="8" t="str">
        <f ca="1">IFERROR(Tabela3[[#This Row],[Valor]]-(Tabela3[[#This Row],[Valor]]*(Tabela3[[#This Row],[Idade]]*VLOOKUP(Tabela3[[#This Row],[Categoria]],Cadastros!A:B,2,0))),"")</f>
        <v/>
      </c>
    </row>
    <row r="601" spans="4:18" x14ac:dyDescent="0.25">
      <c r="D601" s="5"/>
      <c r="N601" s="6" t="str">
        <f>IFERROR(Tabela3[[#This Row],[Última revisão do bem]]+(VLOOKUP(Tabela3[[#This Row],[Categoria]],Cadastros!A:D,4,0)+365),"")</f>
        <v/>
      </c>
      <c r="O601" s="7" t="str">
        <f ca="1">IF(Tabela3[[#This Row],[Data da compra]]&gt;0,(TODAY()-Tabela3[[#This Row],[Data da compra]])/365,"")</f>
        <v/>
      </c>
      <c r="P601" s="7" t="str">
        <f>IFERROR(VLOOKUP(Tabela3[[#This Row],[Categoria]],Cadastros!A:C,3,0),"")</f>
        <v/>
      </c>
      <c r="Q601" s="9" t="str">
        <f ca="1">IFERROR(Tabela3[[#This Row],[Vida útil]]-Tabela3[[#This Row],[Idade]],"")</f>
        <v/>
      </c>
      <c r="R601" s="8" t="str">
        <f ca="1">IFERROR(Tabela3[[#This Row],[Valor]]-(Tabela3[[#This Row],[Valor]]*(Tabela3[[#This Row],[Idade]]*VLOOKUP(Tabela3[[#This Row],[Categoria]],Cadastros!A:B,2,0))),"")</f>
        <v/>
      </c>
    </row>
    <row r="602" spans="4:18" x14ac:dyDescent="0.25">
      <c r="D602" s="5"/>
      <c r="N602" s="6" t="str">
        <f>IFERROR(Tabela3[[#This Row],[Última revisão do bem]]+(VLOOKUP(Tabela3[[#This Row],[Categoria]],Cadastros!A:D,4,0)+365),"")</f>
        <v/>
      </c>
      <c r="O602" s="7" t="str">
        <f ca="1">IF(Tabela3[[#This Row],[Data da compra]]&gt;0,(TODAY()-Tabela3[[#This Row],[Data da compra]])/365,"")</f>
        <v/>
      </c>
      <c r="P602" s="7" t="str">
        <f>IFERROR(VLOOKUP(Tabela3[[#This Row],[Categoria]],Cadastros!A:C,3,0),"")</f>
        <v/>
      </c>
      <c r="Q602" s="9" t="str">
        <f ca="1">IFERROR(Tabela3[[#This Row],[Vida útil]]-Tabela3[[#This Row],[Idade]],"")</f>
        <v/>
      </c>
      <c r="R602" s="8" t="str">
        <f ca="1">IFERROR(Tabela3[[#This Row],[Valor]]-(Tabela3[[#This Row],[Valor]]*(Tabela3[[#This Row],[Idade]]*VLOOKUP(Tabela3[[#This Row],[Categoria]],Cadastros!A:B,2,0))),"")</f>
        <v/>
      </c>
    </row>
    <row r="603" spans="4:18" x14ac:dyDescent="0.25">
      <c r="D603" s="5"/>
      <c r="N603" s="6" t="str">
        <f>IFERROR(Tabela3[[#This Row],[Última revisão do bem]]+(VLOOKUP(Tabela3[[#This Row],[Categoria]],Cadastros!A:D,4,0)+365),"")</f>
        <v/>
      </c>
      <c r="O603" s="7" t="str">
        <f ca="1">IF(Tabela3[[#This Row],[Data da compra]]&gt;0,(TODAY()-Tabela3[[#This Row],[Data da compra]])/365,"")</f>
        <v/>
      </c>
      <c r="P603" s="7" t="str">
        <f>IFERROR(VLOOKUP(Tabela3[[#This Row],[Categoria]],Cadastros!A:C,3,0),"")</f>
        <v/>
      </c>
      <c r="Q603" s="9" t="str">
        <f ca="1">IFERROR(Tabela3[[#This Row],[Vida útil]]-Tabela3[[#This Row],[Idade]],"")</f>
        <v/>
      </c>
      <c r="R603" s="8" t="str">
        <f ca="1">IFERROR(Tabela3[[#This Row],[Valor]]-(Tabela3[[#This Row],[Valor]]*(Tabela3[[#This Row],[Idade]]*VLOOKUP(Tabela3[[#This Row],[Categoria]],Cadastros!A:B,2,0))),"")</f>
        <v/>
      </c>
    </row>
    <row r="604" spans="4:18" x14ac:dyDescent="0.25">
      <c r="D604" s="5"/>
      <c r="N604" s="6" t="str">
        <f>IFERROR(Tabela3[[#This Row],[Última revisão do bem]]+(VLOOKUP(Tabela3[[#This Row],[Categoria]],Cadastros!A:D,4,0)+365),"")</f>
        <v/>
      </c>
      <c r="O604" s="7" t="str">
        <f ca="1">IF(Tabela3[[#This Row],[Data da compra]]&gt;0,(TODAY()-Tabela3[[#This Row],[Data da compra]])/365,"")</f>
        <v/>
      </c>
      <c r="P604" s="7" t="str">
        <f>IFERROR(VLOOKUP(Tabela3[[#This Row],[Categoria]],Cadastros!A:C,3,0),"")</f>
        <v/>
      </c>
      <c r="Q604" s="9" t="str">
        <f ca="1">IFERROR(Tabela3[[#This Row],[Vida útil]]-Tabela3[[#This Row],[Idade]],"")</f>
        <v/>
      </c>
      <c r="R604" s="8" t="str">
        <f ca="1">IFERROR(Tabela3[[#This Row],[Valor]]-(Tabela3[[#This Row],[Valor]]*(Tabela3[[#This Row],[Idade]]*VLOOKUP(Tabela3[[#This Row],[Categoria]],Cadastros!A:B,2,0))),"")</f>
        <v/>
      </c>
    </row>
    <row r="605" spans="4:18" x14ac:dyDescent="0.25">
      <c r="D605" s="5"/>
      <c r="N605" s="6" t="str">
        <f>IFERROR(Tabela3[[#This Row],[Última revisão do bem]]+(VLOOKUP(Tabela3[[#This Row],[Categoria]],Cadastros!A:D,4,0)+365),"")</f>
        <v/>
      </c>
      <c r="O605" s="7" t="str">
        <f ca="1">IF(Tabela3[[#This Row],[Data da compra]]&gt;0,(TODAY()-Tabela3[[#This Row],[Data da compra]])/365,"")</f>
        <v/>
      </c>
      <c r="P605" s="7" t="str">
        <f>IFERROR(VLOOKUP(Tabela3[[#This Row],[Categoria]],Cadastros!A:C,3,0),"")</f>
        <v/>
      </c>
      <c r="Q605" s="9" t="str">
        <f ca="1">IFERROR(Tabela3[[#This Row],[Vida útil]]-Tabela3[[#This Row],[Idade]],"")</f>
        <v/>
      </c>
      <c r="R605" s="8" t="str">
        <f ca="1">IFERROR(Tabela3[[#This Row],[Valor]]-(Tabela3[[#This Row],[Valor]]*(Tabela3[[#This Row],[Idade]]*VLOOKUP(Tabela3[[#This Row],[Categoria]],Cadastros!A:B,2,0))),"")</f>
        <v/>
      </c>
    </row>
    <row r="606" spans="4:18" x14ac:dyDescent="0.25">
      <c r="D606" s="5"/>
      <c r="N606" s="6" t="str">
        <f>IFERROR(Tabela3[[#This Row],[Última revisão do bem]]+(VLOOKUP(Tabela3[[#This Row],[Categoria]],Cadastros!A:D,4,0)+365),"")</f>
        <v/>
      </c>
      <c r="O606" s="7" t="str">
        <f ca="1">IF(Tabela3[[#This Row],[Data da compra]]&gt;0,(TODAY()-Tabela3[[#This Row],[Data da compra]])/365,"")</f>
        <v/>
      </c>
      <c r="P606" s="7" t="str">
        <f>IFERROR(VLOOKUP(Tabela3[[#This Row],[Categoria]],Cadastros!A:C,3,0),"")</f>
        <v/>
      </c>
      <c r="Q606" s="9" t="str">
        <f ca="1">IFERROR(Tabela3[[#This Row],[Vida útil]]-Tabela3[[#This Row],[Idade]],"")</f>
        <v/>
      </c>
      <c r="R606" s="8" t="str">
        <f ca="1">IFERROR(Tabela3[[#This Row],[Valor]]-(Tabela3[[#This Row],[Valor]]*(Tabela3[[#This Row],[Idade]]*VLOOKUP(Tabela3[[#This Row],[Categoria]],Cadastros!A:B,2,0))),"")</f>
        <v/>
      </c>
    </row>
    <row r="607" spans="4:18" x14ac:dyDescent="0.25">
      <c r="D607" s="5"/>
      <c r="N607" s="6" t="str">
        <f>IFERROR(Tabela3[[#This Row],[Última revisão do bem]]+(VLOOKUP(Tabela3[[#This Row],[Categoria]],Cadastros!A:D,4,0)+365),"")</f>
        <v/>
      </c>
      <c r="O607" s="7" t="str">
        <f ca="1">IF(Tabela3[[#This Row],[Data da compra]]&gt;0,(TODAY()-Tabela3[[#This Row],[Data da compra]])/365,"")</f>
        <v/>
      </c>
      <c r="P607" s="7" t="str">
        <f>IFERROR(VLOOKUP(Tabela3[[#This Row],[Categoria]],Cadastros!A:C,3,0),"")</f>
        <v/>
      </c>
      <c r="Q607" s="9" t="str">
        <f ca="1">IFERROR(Tabela3[[#This Row],[Vida útil]]-Tabela3[[#This Row],[Idade]],"")</f>
        <v/>
      </c>
      <c r="R607" s="8" t="str">
        <f ca="1">IFERROR(Tabela3[[#This Row],[Valor]]-(Tabela3[[#This Row],[Valor]]*(Tabela3[[#This Row],[Idade]]*VLOOKUP(Tabela3[[#This Row],[Categoria]],Cadastros!A:B,2,0))),"")</f>
        <v/>
      </c>
    </row>
    <row r="608" spans="4:18" x14ac:dyDescent="0.25">
      <c r="D608" s="5"/>
      <c r="N608" s="6" t="str">
        <f>IFERROR(Tabela3[[#This Row],[Última revisão do bem]]+(VLOOKUP(Tabela3[[#This Row],[Categoria]],Cadastros!A:D,4,0)+365),"")</f>
        <v/>
      </c>
      <c r="O608" s="7" t="str">
        <f ca="1">IF(Tabela3[[#This Row],[Data da compra]]&gt;0,(TODAY()-Tabela3[[#This Row],[Data da compra]])/365,"")</f>
        <v/>
      </c>
      <c r="P608" s="7" t="str">
        <f>IFERROR(VLOOKUP(Tabela3[[#This Row],[Categoria]],Cadastros!A:C,3,0),"")</f>
        <v/>
      </c>
      <c r="Q608" s="9" t="str">
        <f ca="1">IFERROR(Tabela3[[#This Row],[Vida útil]]-Tabela3[[#This Row],[Idade]],"")</f>
        <v/>
      </c>
      <c r="R608" s="8" t="str">
        <f ca="1">IFERROR(Tabela3[[#This Row],[Valor]]-(Tabela3[[#This Row],[Valor]]*(Tabela3[[#This Row],[Idade]]*VLOOKUP(Tabela3[[#This Row],[Categoria]],Cadastros!A:B,2,0))),"")</f>
        <v/>
      </c>
    </row>
    <row r="609" spans="4:18" x14ac:dyDescent="0.25">
      <c r="D609" s="5"/>
      <c r="N609" s="6" t="str">
        <f>IFERROR(Tabela3[[#This Row],[Última revisão do bem]]+(VLOOKUP(Tabela3[[#This Row],[Categoria]],Cadastros!A:D,4,0)+365),"")</f>
        <v/>
      </c>
      <c r="O609" s="7" t="str">
        <f ca="1">IF(Tabela3[[#This Row],[Data da compra]]&gt;0,(TODAY()-Tabela3[[#This Row],[Data da compra]])/365,"")</f>
        <v/>
      </c>
      <c r="P609" s="7" t="str">
        <f>IFERROR(VLOOKUP(Tabela3[[#This Row],[Categoria]],Cadastros!A:C,3,0),"")</f>
        <v/>
      </c>
      <c r="Q609" s="9" t="str">
        <f ca="1">IFERROR(Tabela3[[#This Row],[Vida útil]]-Tabela3[[#This Row],[Idade]],"")</f>
        <v/>
      </c>
      <c r="R609" s="8" t="str">
        <f ca="1">IFERROR(Tabela3[[#This Row],[Valor]]-(Tabela3[[#This Row],[Valor]]*(Tabela3[[#This Row],[Idade]]*VLOOKUP(Tabela3[[#This Row],[Categoria]],Cadastros!A:B,2,0))),"")</f>
        <v/>
      </c>
    </row>
    <row r="610" spans="4:18" x14ac:dyDescent="0.25">
      <c r="D610" s="5"/>
      <c r="N610" s="6" t="str">
        <f>IFERROR(Tabela3[[#This Row],[Última revisão do bem]]+(VLOOKUP(Tabela3[[#This Row],[Categoria]],Cadastros!A:D,4,0)+365),"")</f>
        <v/>
      </c>
      <c r="O610" s="7" t="str">
        <f ca="1">IF(Tabela3[[#This Row],[Data da compra]]&gt;0,(TODAY()-Tabela3[[#This Row],[Data da compra]])/365,"")</f>
        <v/>
      </c>
      <c r="P610" s="7" t="str">
        <f>IFERROR(VLOOKUP(Tabela3[[#This Row],[Categoria]],Cadastros!A:C,3,0),"")</f>
        <v/>
      </c>
      <c r="Q610" s="9" t="str">
        <f ca="1">IFERROR(Tabela3[[#This Row],[Vida útil]]-Tabela3[[#This Row],[Idade]],"")</f>
        <v/>
      </c>
      <c r="R610" s="8" t="str">
        <f ca="1">IFERROR(Tabela3[[#This Row],[Valor]]-(Tabela3[[#This Row],[Valor]]*(Tabela3[[#This Row],[Idade]]*VLOOKUP(Tabela3[[#This Row],[Categoria]],Cadastros!A:B,2,0))),"")</f>
        <v/>
      </c>
    </row>
    <row r="611" spans="4:18" x14ac:dyDescent="0.25">
      <c r="D611" s="5"/>
      <c r="N611" s="6" t="str">
        <f>IFERROR(Tabela3[[#This Row],[Última revisão do bem]]+(VLOOKUP(Tabela3[[#This Row],[Categoria]],Cadastros!A:D,4,0)+365),"")</f>
        <v/>
      </c>
      <c r="O611" s="7" t="str">
        <f ca="1">IF(Tabela3[[#This Row],[Data da compra]]&gt;0,(TODAY()-Tabela3[[#This Row],[Data da compra]])/365,"")</f>
        <v/>
      </c>
      <c r="P611" s="7" t="str">
        <f>IFERROR(VLOOKUP(Tabela3[[#This Row],[Categoria]],Cadastros!A:C,3,0),"")</f>
        <v/>
      </c>
      <c r="Q611" s="9" t="str">
        <f ca="1">IFERROR(Tabela3[[#This Row],[Vida útil]]-Tabela3[[#This Row],[Idade]],"")</f>
        <v/>
      </c>
      <c r="R611" s="8" t="str">
        <f ca="1">IFERROR(Tabela3[[#This Row],[Valor]]-(Tabela3[[#This Row],[Valor]]*(Tabela3[[#This Row],[Idade]]*VLOOKUP(Tabela3[[#This Row],[Categoria]],Cadastros!A:B,2,0))),"")</f>
        <v/>
      </c>
    </row>
    <row r="612" spans="4:18" x14ac:dyDescent="0.25">
      <c r="D612" s="5"/>
      <c r="N612" s="6" t="str">
        <f>IFERROR(Tabela3[[#This Row],[Última revisão do bem]]+(VLOOKUP(Tabela3[[#This Row],[Categoria]],Cadastros!A:D,4,0)+365),"")</f>
        <v/>
      </c>
      <c r="O612" s="7" t="str">
        <f ca="1">IF(Tabela3[[#This Row],[Data da compra]]&gt;0,(TODAY()-Tabela3[[#This Row],[Data da compra]])/365,"")</f>
        <v/>
      </c>
      <c r="P612" s="7" t="str">
        <f>IFERROR(VLOOKUP(Tabela3[[#This Row],[Categoria]],Cadastros!A:C,3,0),"")</f>
        <v/>
      </c>
      <c r="Q612" s="9" t="str">
        <f ca="1">IFERROR(Tabela3[[#This Row],[Vida útil]]-Tabela3[[#This Row],[Idade]],"")</f>
        <v/>
      </c>
      <c r="R612" s="8" t="str">
        <f ca="1">IFERROR(Tabela3[[#This Row],[Valor]]-(Tabela3[[#This Row],[Valor]]*(Tabela3[[#This Row],[Idade]]*VLOOKUP(Tabela3[[#This Row],[Categoria]],Cadastros!A:B,2,0))),"")</f>
        <v/>
      </c>
    </row>
    <row r="613" spans="4:18" x14ac:dyDescent="0.25">
      <c r="D613" s="5"/>
      <c r="N613" s="6" t="str">
        <f>IFERROR(Tabela3[[#This Row],[Última revisão do bem]]+(VLOOKUP(Tabela3[[#This Row],[Categoria]],Cadastros!A:D,4,0)+365),"")</f>
        <v/>
      </c>
      <c r="O613" s="7" t="str">
        <f ca="1">IF(Tabela3[[#This Row],[Data da compra]]&gt;0,(TODAY()-Tabela3[[#This Row],[Data da compra]])/365,"")</f>
        <v/>
      </c>
      <c r="P613" s="7" t="str">
        <f>IFERROR(VLOOKUP(Tabela3[[#This Row],[Categoria]],Cadastros!A:C,3,0),"")</f>
        <v/>
      </c>
      <c r="Q613" s="9" t="str">
        <f ca="1">IFERROR(Tabela3[[#This Row],[Vida útil]]-Tabela3[[#This Row],[Idade]],"")</f>
        <v/>
      </c>
      <c r="R613" s="8" t="str">
        <f ca="1">IFERROR(Tabela3[[#This Row],[Valor]]-(Tabela3[[#This Row],[Valor]]*(Tabela3[[#This Row],[Idade]]*VLOOKUP(Tabela3[[#This Row],[Categoria]],Cadastros!A:B,2,0))),"")</f>
        <v/>
      </c>
    </row>
    <row r="614" spans="4:18" x14ac:dyDescent="0.25">
      <c r="D614" s="5"/>
      <c r="N614" s="6" t="str">
        <f>IFERROR(Tabela3[[#This Row],[Última revisão do bem]]+(VLOOKUP(Tabela3[[#This Row],[Categoria]],Cadastros!A:D,4,0)+365),"")</f>
        <v/>
      </c>
      <c r="O614" s="7" t="str">
        <f ca="1">IF(Tabela3[[#This Row],[Data da compra]]&gt;0,(TODAY()-Tabela3[[#This Row],[Data da compra]])/365,"")</f>
        <v/>
      </c>
      <c r="P614" s="7" t="str">
        <f>IFERROR(VLOOKUP(Tabela3[[#This Row],[Categoria]],Cadastros!A:C,3,0),"")</f>
        <v/>
      </c>
      <c r="Q614" s="9" t="str">
        <f ca="1">IFERROR(Tabela3[[#This Row],[Vida útil]]-Tabela3[[#This Row],[Idade]],"")</f>
        <v/>
      </c>
      <c r="R614" s="8" t="str">
        <f ca="1">IFERROR(Tabela3[[#This Row],[Valor]]-(Tabela3[[#This Row],[Valor]]*(Tabela3[[#This Row],[Idade]]*VLOOKUP(Tabela3[[#This Row],[Categoria]],Cadastros!A:B,2,0))),"")</f>
        <v/>
      </c>
    </row>
    <row r="615" spans="4:18" x14ac:dyDescent="0.25">
      <c r="D615" s="5"/>
      <c r="N615" s="6" t="str">
        <f>IFERROR(Tabela3[[#This Row],[Última revisão do bem]]+(VLOOKUP(Tabela3[[#This Row],[Categoria]],Cadastros!A:D,4,0)+365),"")</f>
        <v/>
      </c>
      <c r="O615" s="7" t="str">
        <f ca="1">IF(Tabela3[[#This Row],[Data da compra]]&gt;0,(TODAY()-Tabela3[[#This Row],[Data da compra]])/365,"")</f>
        <v/>
      </c>
      <c r="P615" s="7" t="str">
        <f>IFERROR(VLOOKUP(Tabela3[[#This Row],[Categoria]],Cadastros!A:C,3,0),"")</f>
        <v/>
      </c>
      <c r="Q615" s="9" t="str">
        <f ca="1">IFERROR(Tabela3[[#This Row],[Vida útil]]-Tabela3[[#This Row],[Idade]],"")</f>
        <v/>
      </c>
      <c r="R615" s="8" t="str">
        <f ca="1">IFERROR(Tabela3[[#This Row],[Valor]]-(Tabela3[[#This Row],[Valor]]*(Tabela3[[#This Row],[Idade]]*VLOOKUP(Tabela3[[#This Row],[Categoria]],Cadastros!A:B,2,0))),"")</f>
        <v/>
      </c>
    </row>
    <row r="616" spans="4:18" x14ac:dyDescent="0.25">
      <c r="D616" s="5"/>
      <c r="N616" s="6" t="str">
        <f>IFERROR(Tabela3[[#This Row],[Última revisão do bem]]+(VLOOKUP(Tabela3[[#This Row],[Categoria]],Cadastros!A:D,4,0)+365),"")</f>
        <v/>
      </c>
      <c r="O616" s="7" t="str">
        <f ca="1">IF(Tabela3[[#This Row],[Data da compra]]&gt;0,(TODAY()-Tabela3[[#This Row],[Data da compra]])/365,"")</f>
        <v/>
      </c>
      <c r="P616" s="7" t="str">
        <f>IFERROR(VLOOKUP(Tabela3[[#This Row],[Categoria]],Cadastros!A:C,3,0),"")</f>
        <v/>
      </c>
      <c r="Q616" s="9" t="str">
        <f ca="1">IFERROR(Tabela3[[#This Row],[Vida útil]]-Tabela3[[#This Row],[Idade]],"")</f>
        <v/>
      </c>
      <c r="R616" s="8" t="str">
        <f ca="1">IFERROR(Tabela3[[#This Row],[Valor]]-(Tabela3[[#This Row],[Valor]]*(Tabela3[[#This Row],[Idade]]*VLOOKUP(Tabela3[[#This Row],[Categoria]],Cadastros!A:B,2,0))),"")</f>
        <v/>
      </c>
    </row>
    <row r="617" spans="4:18" x14ac:dyDescent="0.25">
      <c r="D617" s="5"/>
      <c r="N617" s="6" t="str">
        <f>IFERROR(Tabela3[[#This Row],[Última revisão do bem]]+(VLOOKUP(Tabela3[[#This Row],[Categoria]],Cadastros!A:D,4,0)+365),"")</f>
        <v/>
      </c>
      <c r="O617" s="7" t="str">
        <f ca="1">IF(Tabela3[[#This Row],[Data da compra]]&gt;0,(TODAY()-Tabela3[[#This Row],[Data da compra]])/365,"")</f>
        <v/>
      </c>
      <c r="P617" s="7" t="str">
        <f>IFERROR(VLOOKUP(Tabela3[[#This Row],[Categoria]],Cadastros!A:C,3,0),"")</f>
        <v/>
      </c>
      <c r="Q617" s="9" t="str">
        <f ca="1">IFERROR(Tabela3[[#This Row],[Vida útil]]-Tabela3[[#This Row],[Idade]],"")</f>
        <v/>
      </c>
      <c r="R617" s="8" t="str">
        <f ca="1">IFERROR(Tabela3[[#This Row],[Valor]]-(Tabela3[[#This Row],[Valor]]*(Tabela3[[#This Row],[Idade]]*VLOOKUP(Tabela3[[#This Row],[Categoria]],Cadastros!A:B,2,0))),"")</f>
        <v/>
      </c>
    </row>
    <row r="618" spans="4:18" x14ac:dyDescent="0.25">
      <c r="D618" s="22"/>
      <c r="N618" s="6" t="str">
        <f>IFERROR(Tabela3[[#This Row],[Última revisão do bem]]+(VLOOKUP(Tabela3[[#This Row],[Categoria]],Cadastros!A:D,4,0)+365),"")</f>
        <v/>
      </c>
      <c r="O618" s="7" t="str">
        <f ca="1">IF(Tabela3[[#This Row],[Data da compra]]&gt;0,(TODAY()-Tabela3[[#This Row],[Data da compra]])/365,"")</f>
        <v/>
      </c>
      <c r="P618" s="7" t="str">
        <f>IFERROR(VLOOKUP(Tabela3[[#This Row],[Categoria]],Cadastros!A:C,3,0),"")</f>
        <v/>
      </c>
      <c r="Q618" s="9" t="str">
        <f ca="1">IFERROR(Tabela3[[#This Row],[Vida útil]]-Tabela3[[#This Row],[Idade]],"")</f>
        <v/>
      </c>
      <c r="R618" s="23" t="str">
        <f ca="1">IFERROR(Tabela3[[#This Row],[Valor]]-(Tabela3[[#This Row],[Valor]]*(Tabela3[[#This Row],[Idade]]*VLOOKUP(Tabela3[[#This Row],[Categoria]],Cadastros!A:B,2,0))),"")</f>
        <v/>
      </c>
    </row>
    <row r="619" spans="4:18" x14ac:dyDescent="0.25">
      <c r="D619" s="5"/>
      <c r="N619" s="6" t="str">
        <f>IFERROR(Tabela3[[#This Row],[Última revisão do bem]]+(VLOOKUP(Tabela3[[#This Row],[Categoria]],Cadastros!A:D,4,0)+365),"")</f>
        <v/>
      </c>
      <c r="O619" s="7" t="str">
        <f ca="1">IF(Tabela3[[#This Row],[Data da compra]]&gt;0,(TODAY()-Tabela3[[#This Row],[Data da compra]])/365,"")</f>
        <v/>
      </c>
      <c r="P619" s="7" t="str">
        <f>IFERROR(VLOOKUP(Tabela3[[#This Row],[Categoria]],Cadastros!A:C,3,0),"")</f>
        <v/>
      </c>
      <c r="Q619" s="9" t="str">
        <f ca="1">IFERROR(Tabela3[[#This Row],[Vida útil]]-Tabela3[[#This Row],[Idade]],"")</f>
        <v/>
      </c>
      <c r="R619" s="8" t="str">
        <f ca="1">IFERROR(Tabela3[[#This Row],[Valor]]-(Tabela3[[#This Row],[Valor]]*(Tabela3[[#This Row],[Idade]]*VLOOKUP(Tabela3[[#This Row],[Categoria]],Cadastros!A:B,2,0))),"")</f>
        <v/>
      </c>
    </row>
    <row r="620" spans="4:18" x14ac:dyDescent="0.25">
      <c r="D620" s="5"/>
      <c r="N620" s="6" t="str">
        <f>IFERROR(Tabela3[[#This Row],[Última revisão do bem]]+(VLOOKUP(Tabela3[[#This Row],[Categoria]],Cadastros!A:D,4,0)+365),"")</f>
        <v/>
      </c>
      <c r="O620" s="7" t="str">
        <f ca="1">IF(Tabela3[[#This Row],[Data da compra]]&gt;0,(TODAY()-Tabela3[[#This Row],[Data da compra]])/365,"")</f>
        <v/>
      </c>
      <c r="P620" s="7" t="str">
        <f>IFERROR(VLOOKUP(Tabela3[[#This Row],[Categoria]],Cadastros!A:C,3,0),"")</f>
        <v/>
      </c>
      <c r="Q620" s="9" t="str">
        <f ca="1">IFERROR(Tabela3[[#This Row],[Vida útil]]-Tabela3[[#This Row],[Idade]],"")</f>
        <v/>
      </c>
      <c r="R620" s="8" t="str">
        <f ca="1">IFERROR(Tabela3[[#This Row],[Valor]]-(Tabela3[[#This Row],[Valor]]*(Tabela3[[#This Row],[Idade]]*VLOOKUP(Tabela3[[#This Row],[Categoria]],Cadastros!A:B,2,0))),"")</f>
        <v/>
      </c>
    </row>
    <row r="621" spans="4:18" x14ac:dyDescent="0.25">
      <c r="D621" s="5"/>
      <c r="N621" s="6" t="str">
        <f>IFERROR(Tabela3[[#This Row],[Última revisão do bem]]+(VLOOKUP(Tabela3[[#This Row],[Categoria]],Cadastros!A:D,4,0)+365),"")</f>
        <v/>
      </c>
      <c r="O621" s="7" t="str">
        <f ca="1">IF(Tabela3[[#This Row],[Data da compra]]&gt;0,(TODAY()-Tabela3[[#This Row],[Data da compra]])/365,"")</f>
        <v/>
      </c>
      <c r="P621" s="7" t="str">
        <f>IFERROR(VLOOKUP(Tabela3[[#This Row],[Categoria]],Cadastros!A:C,3,0),"")</f>
        <v/>
      </c>
      <c r="Q621" s="9" t="str">
        <f ca="1">IFERROR(Tabela3[[#This Row],[Vida útil]]-Tabela3[[#This Row],[Idade]],"")</f>
        <v/>
      </c>
      <c r="R621" s="8" t="str">
        <f ca="1">IFERROR(Tabela3[[#This Row],[Valor]]-(Tabela3[[#This Row],[Valor]]*(Tabela3[[#This Row],[Idade]]*VLOOKUP(Tabela3[[#This Row],[Categoria]],Cadastros!A:B,2,0))),"")</f>
        <v/>
      </c>
    </row>
    <row r="622" spans="4:18" x14ac:dyDescent="0.25">
      <c r="D622" s="5"/>
      <c r="N622" s="6" t="str">
        <f>IFERROR(Tabela3[[#This Row],[Última revisão do bem]]+(VLOOKUP(Tabela3[[#This Row],[Categoria]],Cadastros!A:D,4,0)+365),"")</f>
        <v/>
      </c>
      <c r="O622" s="7" t="str">
        <f ca="1">IF(Tabela3[[#This Row],[Data da compra]]&gt;0,(TODAY()-Tabela3[[#This Row],[Data da compra]])/365,"")</f>
        <v/>
      </c>
      <c r="P622" s="7" t="str">
        <f>IFERROR(VLOOKUP(Tabela3[[#This Row],[Categoria]],Cadastros!A:C,3,0),"")</f>
        <v/>
      </c>
      <c r="Q622" s="9" t="str">
        <f ca="1">IFERROR(Tabela3[[#This Row],[Vida útil]]-Tabela3[[#This Row],[Idade]],"")</f>
        <v/>
      </c>
      <c r="R622" s="8" t="str">
        <f ca="1">IFERROR(Tabela3[[#This Row],[Valor]]-(Tabela3[[#This Row],[Valor]]*(Tabela3[[#This Row],[Idade]]*VLOOKUP(Tabela3[[#This Row],[Categoria]],Cadastros!A:B,2,0))),"")</f>
        <v/>
      </c>
    </row>
    <row r="623" spans="4:18" x14ac:dyDescent="0.25">
      <c r="D623" s="5"/>
      <c r="N623" s="6" t="str">
        <f>IFERROR(Tabela3[[#This Row],[Última revisão do bem]]+(VLOOKUP(Tabela3[[#This Row],[Categoria]],Cadastros!A:D,4,0)+365),"")</f>
        <v/>
      </c>
      <c r="O623" s="7" t="str">
        <f ca="1">IF(Tabela3[[#This Row],[Data da compra]]&gt;0,(TODAY()-Tabela3[[#This Row],[Data da compra]])/365,"")</f>
        <v/>
      </c>
      <c r="P623" s="7" t="str">
        <f>IFERROR(VLOOKUP(Tabela3[[#This Row],[Categoria]],Cadastros!A:C,3,0),"")</f>
        <v/>
      </c>
      <c r="Q623" s="9" t="str">
        <f ca="1">IFERROR(Tabela3[[#This Row],[Vida útil]]-Tabela3[[#This Row],[Idade]],"")</f>
        <v/>
      </c>
      <c r="R623" s="8" t="str">
        <f ca="1">IFERROR(Tabela3[[#This Row],[Valor]]-(Tabela3[[#This Row],[Valor]]*(Tabela3[[#This Row],[Idade]]*VLOOKUP(Tabela3[[#This Row],[Categoria]],Cadastros!A:B,2,0))),"")</f>
        <v/>
      </c>
    </row>
    <row r="624" spans="4:18" x14ac:dyDescent="0.25">
      <c r="D624" s="5"/>
      <c r="N624" s="6" t="str">
        <f>IFERROR(Tabela3[[#This Row],[Última revisão do bem]]+(VLOOKUP(Tabela3[[#This Row],[Categoria]],Cadastros!A:D,4,0)+365),"")</f>
        <v/>
      </c>
      <c r="O624" s="7" t="str">
        <f ca="1">IF(Tabela3[[#This Row],[Data da compra]]&gt;0,(TODAY()-Tabela3[[#This Row],[Data da compra]])/365,"")</f>
        <v/>
      </c>
      <c r="P624" s="7" t="str">
        <f>IFERROR(VLOOKUP(Tabela3[[#This Row],[Categoria]],Cadastros!A:C,3,0),"")</f>
        <v/>
      </c>
      <c r="Q624" s="9" t="str">
        <f ca="1">IFERROR(Tabela3[[#This Row],[Vida útil]]-Tabela3[[#This Row],[Idade]],"")</f>
        <v/>
      </c>
      <c r="R624" s="8" t="str">
        <f ca="1">IFERROR(Tabela3[[#This Row],[Valor]]-(Tabela3[[#This Row],[Valor]]*(Tabela3[[#This Row],[Idade]]*VLOOKUP(Tabela3[[#This Row],[Categoria]],Cadastros!A:B,2,0))),"")</f>
        <v/>
      </c>
    </row>
    <row r="625" spans="4:18" x14ac:dyDescent="0.25">
      <c r="D625" s="5"/>
      <c r="N625" s="6" t="str">
        <f>IFERROR(Tabela3[[#This Row],[Última revisão do bem]]+(VLOOKUP(Tabela3[[#This Row],[Categoria]],Cadastros!A:D,4,0)+365),"")</f>
        <v/>
      </c>
      <c r="O625" s="7" t="str">
        <f ca="1">IF(Tabela3[[#This Row],[Data da compra]]&gt;0,(TODAY()-Tabela3[[#This Row],[Data da compra]])/365,"")</f>
        <v/>
      </c>
      <c r="P625" s="7" t="str">
        <f>IFERROR(VLOOKUP(Tabela3[[#This Row],[Categoria]],Cadastros!A:C,3,0),"")</f>
        <v/>
      </c>
      <c r="Q625" s="9" t="str">
        <f ca="1">IFERROR(Tabela3[[#This Row],[Vida útil]]-Tabela3[[#This Row],[Idade]],"")</f>
        <v/>
      </c>
      <c r="R625" s="8" t="str">
        <f ca="1">IFERROR(Tabela3[[#This Row],[Valor]]-(Tabela3[[#This Row],[Valor]]*(Tabela3[[#This Row],[Idade]]*VLOOKUP(Tabela3[[#This Row],[Categoria]],Cadastros!A:B,2,0))),"")</f>
        <v/>
      </c>
    </row>
    <row r="626" spans="4:18" x14ac:dyDescent="0.25">
      <c r="D626" s="5"/>
      <c r="N626" s="6" t="str">
        <f>IFERROR(Tabela3[[#This Row],[Última revisão do bem]]+(VLOOKUP(Tabela3[[#This Row],[Categoria]],Cadastros!A:D,4,0)+365),"")</f>
        <v/>
      </c>
      <c r="O626" s="7" t="str">
        <f ca="1">IF(Tabela3[[#This Row],[Data da compra]]&gt;0,(TODAY()-Tabela3[[#This Row],[Data da compra]])/365,"")</f>
        <v/>
      </c>
      <c r="P626" s="7" t="str">
        <f>IFERROR(VLOOKUP(Tabela3[[#This Row],[Categoria]],Cadastros!A:C,3,0),"")</f>
        <v/>
      </c>
      <c r="Q626" s="9" t="str">
        <f ca="1">IFERROR(Tabela3[[#This Row],[Vida útil]]-Tabela3[[#This Row],[Idade]],"")</f>
        <v/>
      </c>
      <c r="R626" s="8" t="str">
        <f ca="1">IFERROR(Tabela3[[#This Row],[Valor]]-(Tabela3[[#This Row],[Valor]]*(Tabela3[[#This Row],[Idade]]*VLOOKUP(Tabela3[[#This Row],[Categoria]],Cadastros!A:B,2,0))),"")</f>
        <v/>
      </c>
    </row>
    <row r="627" spans="4:18" x14ac:dyDescent="0.25">
      <c r="D627" s="5"/>
      <c r="N627" s="6" t="str">
        <f>IFERROR(Tabela3[[#This Row],[Última revisão do bem]]+(VLOOKUP(Tabela3[[#This Row],[Categoria]],Cadastros!A:D,4,0)+365),"")</f>
        <v/>
      </c>
      <c r="O627" s="7" t="str">
        <f ca="1">IF(Tabela3[[#This Row],[Data da compra]]&gt;0,(TODAY()-Tabela3[[#This Row],[Data da compra]])/365,"")</f>
        <v/>
      </c>
      <c r="P627" s="7" t="str">
        <f>IFERROR(VLOOKUP(Tabela3[[#This Row],[Categoria]],Cadastros!A:C,3,0),"")</f>
        <v/>
      </c>
      <c r="Q627" s="9" t="str">
        <f ca="1">IFERROR(Tabela3[[#This Row],[Vida útil]]-Tabela3[[#This Row],[Idade]],"")</f>
        <v/>
      </c>
      <c r="R627" s="8" t="str">
        <f ca="1">IFERROR(Tabela3[[#This Row],[Valor]]-(Tabela3[[#This Row],[Valor]]*(Tabela3[[#This Row],[Idade]]*VLOOKUP(Tabela3[[#This Row],[Categoria]],Cadastros!A:B,2,0))),"")</f>
        <v/>
      </c>
    </row>
    <row r="628" spans="4:18" x14ac:dyDescent="0.25">
      <c r="D628" s="5"/>
      <c r="N628" s="6" t="str">
        <f>IFERROR(Tabela3[[#This Row],[Última revisão do bem]]+(VLOOKUP(Tabela3[[#This Row],[Categoria]],Cadastros!A:D,4,0)+365),"")</f>
        <v/>
      </c>
      <c r="O628" s="7" t="str">
        <f ca="1">IF(Tabela3[[#This Row],[Data da compra]]&gt;0,(TODAY()-Tabela3[[#This Row],[Data da compra]])/365,"")</f>
        <v/>
      </c>
      <c r="P628" s="7" t="str">
        <f>IFERROR(VLOOKUP(Tabela3[[#This Row],[Categoria]],Cadastros!A:C,3,0),"")</f>
        <v/>
      </c>
      <c r="Q628" s="9" t="str">
        <f ca="1">IFERROR(Tabela3[[#This Row],[Vida útil]]-Tabela3[[#This Row],[Idade]],"")</f>
        <v/>
      </c>
      <c r="R628" s="8" t="str">
        <f ca="1">IFERROR(Tabela3[[#This Row],[Valor]]-(Tabela3[[#This Row],[Valor]]*(Tabela3[[#This Row],[Idade]]*VLOOKUP(Tabela3[[#This Row],[Categoria]],Cadastros!A:B,2,0))),"")</f>
        <v/>
      </c>
    </row>
    <row r="629" spans="4:18" x14ac:dyDescent="0.25">
      <c r="D629" s="5"/>
      <c r="N629" s="6" t="str">
        <f>IFERROR(Tabela3[[#This Row],[Última revisão do bem]]+(VLOOKUP(Tabela3[[#This Row],[Categoria]],Cadastros!A:D,4,0)+365),"")</f>
        <v/>
      </c>
      <c r="O629" s="7" t="str">
        <f ca="1">IF(Tabela3[[#This Row],[Data da compra]]&gt;0,(TODAY()-Tabela3[[#This Row],[Data da compra]])/365,"")</f>
        <v/>
      </c>
      <c r="P629" s="7" t="str">
        <f>IFERROR(VLOOKUP(Tabela3[[#This Row],[Categoria]],Cadastros!A:C,3,0),"")</f>
        <v/>
      </c>
      <c r="Q629" s="9" t="str">
        <f ca="1">IFERROR(Tabela3[[#This Row],[Vida útil]]-Tabela3[[#This Row],[Idade]],"")</f>
        <v/>
      </c>
      <c r="R629" s="8" t="str">
        <f ca="1">IFERROR(Tabela3[[#This Row],[Valor]]-(Tabela3[[#This Row],[Valor]]*(Tabela3[[#This Row],[Idade]]*VLOOKUP(Tabela3[[#This Row],[Categoria]],Cadastros!A:B,2,0))),"")</f>
        <v/>
      </c>
    </row>
    <row r="630" spans="4:18" x14ac:dyDescent="0.25">
      <c r="D630" s="5"/>
      <c r="N630" s="6" t="str">
        <f>IFERROR(Tabela3[[#This Row],[Última revisão do bem]]+(VLOOKUP(Tabela3[[#This Row],[Categoria]],Cadastros!A:D,4,0)+365),"")</f>
        <v/>
      </c>
      <c r="O630" s="7" t="str">
        <f ca="1">IF(Tabela3[[#This Row],[Data da compra]]&gt;0,(TODAY()-Tabela3[[#This Row],[Data da compra]])/365,"")</f>
        <v/>
      </c>
      <c r="P630" s="7" t="str">
        <f>IFERROR(VLOOKUP(Tabela3[[#This Row],[Categoria]],Cadastros!A:C,3,0),"")</f>
        <v/>
      </c>
      <c r="Q630" s="9" t="str">
        <f ca="1">IFERROR(Tabela3[[#This Row],[Vida útil]]-Tabela3[[#This Row],[Idade]],"")</f>
        <v/>
      </c>
      <c r="R630" s="8" t="str">
        <f ca="1">IFERROR(Tabela3[[#This Row],[Valor]]-(Tabela3[[#This Row],[Valor]]*(Tabela3[[#This Row],[Idade]]*VLOOKUP(Tabela3[[#This Row],[Categoria]],Cadastros!A:B,2,0))),"")</f>
        <v/>
      </c>
    </row>
    <row r="631" spans="4:18" x14ac:dyDescent="0.25">
      <c r="D631" s="5"/>
      <c r="N631" s="6" t="str">
        <f>IFERROR(Tabela3[[#This Row],[Última revisão do bem]]+(VLOOKUP(Tabela3[[#This Row],[Categoria]],Cadastros!A:D,4,0)+365),"")</f>
        <v/>
      </c>
      <c r="O631" s="7" t="str">
        <f ca="1">IF(Tabela3[[#This Row],[Data da compra]]&gt;0,(TODAY()-Tabela3[[#This Row],[Data da compra]])/365,"")</f>
        <v/>
      </c>
      <c r="P631" s="7" t="str">
        <f>IFERROR(VLOOKUP(Tabela3[[#This Row],[Categoria]],Cadastros!A:C,3,0),"")</f>
        <v/>
      </c>
      <c r="Q631" s="9" t="str">
        <f ca="1">IFERROR(Tabela3[[#This Row],[Vida útil]]-Tabela3[[#This Row],[Idade]],"")</f>
        <v/>
      </c>
      <c r="R631" s="8" t="str">
        <f ca="1">IFERROR(Tabela3[[#This Row],[Valor]]-(Tabela3[[#This Row],[Valor]]*(Tabela3[[#This Row],[Idade]]*VLOOKUP(Tabela3[[#This Row],[Categoria]],Cadastros!A:B,2,0))),"")</f>
        <v/>
      </c>
    </row>
    <row r="632" spans="4:18" x14ac:dyDescent="0.25">
      <c r="D632" s="5"/>
      <c r="N632" s="6" t="str">
        <f>IFERROR(Tabela3[[#This Row],[Última revisão do bem]]+(VLOOKUP(Tabela3[[#This Row],[Categoria]],Cadastros!A:D,4,0)+365),"")</f>
        <v/>
      </c>
      <c r="O632" s="7" t="str">
        <f ca="1">IF(Tabela3[[#This Row],[Data da compra]]&gt;0,(TODAY()-Tabela3[[#This Row],[Data da compra]])/365,"")</f>
        <v/>
      </c>
      <c r="P632" s="7" t="str">
        <f>IFERROR(VLOOKUP(Tabela3[[#This Row],[Categoria]],Cadastros!A:C,3,0),"")</f>
        <v/>
      </c>
      <c r="Q632" s="9" t="str">
        <f ca="1">IFERROR(Tabela3[[#This Row],[Vida útil]]-Tabela3[[#This Row],[Idade]],"")</f>
        <v/>
      </c>
      <c r="R632" s="8" t="str">
        <f ca="1">IFERROR(Tabela3[[#This Row],[Valor]]-(Tabela3[[#This Row],[Valor]]*(Tabela3[[#This Row],[Idade]]*VLOOKUP(Tabela3[[#This Row],[Categoria]],Cadastros!A:B,2,0))),"")</f>
        <v/>
      </c>
    </row>
    <row r="633" spans="4:18" x14ac:dyDescent="0.25">
      <c r="D633" s="5"/>
      <c r="N633" s="6" t="str">
        <f>IFERROR(Tabela3[[#This Row],[Última revisão do bem]]+(VLOOKUP(Tabela3[[#This Row],[Categoria]],Cadastros!A:D,4,0)+365),"")</f>
        <v/>
      </c>
      <c r="O633" s="7" t="str">
        <f ca="1">IF(Tabela3[[#This Row],[Data da compra]]&gt;0,(TODAY()-Tabela3[[#This Row],[Data da compra]])/365,"")</f>
        <v/>
      </c>
      <c r="P633" s="7" t="str">
        <f>IFERROR(VLOOKUP(Tabela3[[#This Row],[Categoria]],Cadastros!A:C,3,0),"")</f>
        <v/>
      </c>
      <c r="Q633" s="9" t="str">
        <f ca="1">IFERROR(Tabela3[[#This Row],[Vida útil]]-Tabela3[[#This Row],[Idade]],"")</f>
        <v/>
      </c>
      <c r="R633" s="8" t="str">
        <f ca="1">IFERROR(Tabela3[[#This Row],[Valor]]-(Tabela3[[#This Row],[Valor]]*(Tabela3[[#This Row],[Idade]]*VLOOKUP(Tabela3[[#This Row],[Categoria]],Cadastros!A:B,2,0))),"")</f>
        <v/>
      </c>
    </row>
    <row r="634" spans="4:18" x14ac:dyDescent="0.25">
      <c r="D634" s="5"/>
      <c r="N634" s="6" t="str">
        <f>IFERROR(Tabela3[[#This Row],[Última revisão do bem]]+(VLOOKUP(Tabela3[[#This Row],[Categoria]],Cadastros!A:D,4,0)+365),"")</f>
        <v/>
      </c>
      <c r="O634" s="7" t="str">
        <f ca="1">IF(Tabela3[[#This Row],[Data da compra]]&gt;0,(TODAY()-Tabela3[[#This Row],[Data da compra]])/365,"")</f>
        <v/>
      </c>
      <c r="P634" s="7" t="str">
        <f>IFERROR(VLOOKUP(Tabela3[[#This Row],[Categoria]],Cadastros!A:C,3,0),"")</f>
        <v/>
      </c>
      <c r="Q634" s="9" t="str">
        <f ca="1">IFERROR(Tabela3[[#This Row],[Vida útil]]-Tabela3[[#This Row],[Idade]],"")</f>
        <v/>
      </c>
      <c r="R634" s="8" t="str">
        <f ca="1">IFERROR(Tabela3[[#This Row],[Valor]]-(Tabela3[[#This Row],[Valor]]*(Tabela3[[#This Row],[Idade]]*VLOOKUP(Tabela3[[#This Row],[Categoria]],Cadastros!A:B,2,0))),"")</f>
        <v/>
      </c>
    </row>
    <row r="635" spans="4:18" x14ac:dyDescent="0.25">
      <c r="D635" s="5"/>
      <c r="N635" s="6" t="str">
        <f>IFERROR(Tabela3[[#This Row],[Última revisão do bem]]+(VLOOKUP(Tabela3[[#This Row],[Categoria]],Cadastros!A:D,4,0)+365),"")</f>
        <v/>
      </c>
      <c r="O635" s="7" t="str">
        <f ca="1">IF(Tabela3[[#This Row],[Data da compra]]&gt;0,(TODAY()-Tabela3[[#This Row],[Data da compra]])/365,"")</f>
        <v/>
      </c>
      <c r="P635" s="7" t="str">
        <f>IFERROR(VLOOKUP(Tabela3[[#This Row],[Categoria]],Cadastros!A:C,3,0),"")</f>
        <v/>
      </c>
      <c r="Q635" s="9" t="str">
        <f ca="1">IFERROR(Tabela3[[#This Row],[Vida útil]]-Tabela3[[#This Row],[Idade]],"")</f>
        <v/>
      </c>
      <c r="R635" s="8" t="str">
        <f ca="1">IFERROR(Tabela3[[#This Row],[Valor]]-(Tabela3[[#This Row],[Valor]]*(Tabela3[[#This Row],[Idade]]*VLOOKUP(Tabela3[[#This Row],[Categoria]],Cadastros!A:B,2,0))),"")</f>
        <v/>
      </c>
    </row>
    <row r="636" spans="4:18" x14ac:dyDescent="0.25">
      <c r="D636" s="22"/>
      <c r="N636" s="6" t="str">
        <f>IFERROR(Tabela3[[#This Row],[Última revisão do bem]]+(VLOOKUP(Tabela3[[#This Row],[Categoria]],Cadastros!A:D,4,0)+365),"")</f>
        <v/>
      </c>
      <c r="O636" s="7" t="str">
        <f ca="1">IF(Tabela3[[#This Row],[Data da compra]]&gt;0,(TODAY()-Tabela3[[#This Row],[Data da compra]])/365,"")</f>
        <v/>
      </c>
      <c r="P636" s="7" t="str">
        <f>IFERROR(VLOOKUP(Tabela3[[#This Row],[Categoria]],Cadastros!A:C,3,0),"")</f>
        <v/>
      </c>
      <c r="Q636" s="9" t="str">
        <f ca="1">IFERROR(Tabela3[[#This Row],[Vida útil]]-Tabela3[[#This Row],[Idade]],"")</f>
        <v/>
      </c>
      <c r="R636" s="23" t="str">
        <f ca="1">IFERROR(Tabela3[[#This Row],[Valor]]-(Tabela3[[#This Row],[Valor]]*(Tabela3[[#This Row],[Idade]]*VLOOKUP(Tabela3[[#This Row],[Categoria]],Cadastros!A:B,2,0))),"")</f>
        <v/>
      </c>
    </row>
    <row r="637" spans="4:18" x14ac:dyDescent="0.25">
      <c r="D637" s="5"/>
      <c r="N637" s="6" t="str">
        <f>IFERROR(Tabela3[[#This Row],[Última revisão do bem]]+(VLOOKUP(Tabela3[[#This Row],[Categoria]],Cadastros!A:D,4,0)+365),"")</f>
        <v/>
      </c>
      <c r="O637" s="7" t="str">
        <f ca="1">IF(Tabela3[[#This Row],[Data da compra]]&gt;0,(TODAY()-Tabela3[[#This Row],[Data da compra]])/365,"")</f>
        <v/>
      </c>
      <c r="P637" s="7" t="str">
        <f>IFERROR(VLOOKUP(Tabela3[[#This Row],[Categoria]],Cadastros!A:C,3,0),"")</f>
        <v/>
      </c>
      <c r="Q637" s="9" t="str">
        <f ca="1">IFERROR(Tabela3[[#This Row],[Vida útil]]-Tabela3[[#This Row],[Idade]],"")</f>
        <v/>
      </c>
      <c r="R637" s="8" t="str">
        <f ca="1">IFERROR(Tabela3[[#This Row],[Valor]]-(Tabela3[[#This Row],[Valor]]*(Tabela3[[#This Row],[Idade]]*VLOOKUP(Tabela3[[#This Row],[Categoria]],Cadastros!A:B,2,0))),"")</f>
        <v/>
      </c>
    </row>
    <row r="638" spans="4:18" x14ac:dyDescent="0.25">
      <c r="D638" s="5"/>
      <c r="N638" s="6" t="str">
        <f>IFERROR(Tabela3[[#This Row],[Última revisão do bem]]+(VLOOKUP(Tabela3[[#This Row],[Categoria]],Cadastros!A:D,4,0)+365),"")</f>
        <v/>
      </c>
      <c r="O638" s="7" t="str">
        <f ca="1">IF(Tabela3[[#This Row],[Data da compra]]&gt;0,(TODAY()-Tabela3[[#This Row],[Data da compra]])/365,"")</f>
        <v/>
      </c>
      <c r="P638" s="7" t="str">
        <f>IFERROR(VLOOKUP(Tabela3[[#This Row],[Categoria]],Cadastros!A:C,3,0),"")</f>
        <v/>
      </c>
      <c r="Q638" s="9" t="str">
        <f ca="1">IFERROR(Tabela3[[#This Row],[Vida útil]]-Tabela3[[#This Row],[Idade]],"")</f>
        <v/>
      </c>
      <c r="R638" s="8" t="str">
        <f ca="1">IFERROR(Tabela3[[#This Row],[Valor]]-(Tabela3[[#This Row],[Valor]]*(Tabela3[[#This Row],[Idade]]*VLOOKUP(Tabela3[[#This Row],[Categoria]],Cadastros!A:B,2,0))),"")</f>
        <v/>
      </c>
    </row>
    <row r="639" spans="4:18" x14ac:dyDescent="0.25">
      <c r="D639" s="5"/>
      <c r="N639" s="6" t="str">
        <f>IFERROR(Tabela3[[#This Row],[Última revisão do bem]]+(VLOOKUP(Tabela3[[#This Row],[Categoria]],Cadastros!A:D,4,0)+365),"")</f>
        <v/>
      </c>
      <c r="O639" s="7" t="str">
        <f ca="1">IF(Tabela3[[#This Row],[Data da compra]]&gt;0,(TODAY()-Tabela3[[#This Row],[Data da compra]])/365,"")</f>
        <v/>
      </c>
      <c r="P639" s="7" t="str">
        <f>IFERROR(VLOOKUP(Tabela3[[#This Row],[Categoria]],Cadastros!A:C,3,0),"")</f>
        <v/>
      </c>
      <c r="Q639" s="9" t="str">
        <f ca="1">IFERROR(Tabela3[[#This Row],[Vida útil]]-Tabela3[[#This Row],[Idade]],"")</f>
        <v/>
      </c>
      <c r="R639" s="8" t="str">
        <f ca="1">IFERROR(Tabela3[[#This Row],[Valor]]-(Tabela3[[#This Row],[Valor]]*(Tabela3[[#This Row],[Idade]]*VLOOKUP(Tabela3[[#This Row],[Categoria]],Cadastros!A:B,2,0))),"")</f>
        <v/>
      </c>
    </row>
    <row r="640" spans="4:18" x14ac:dyDescent="0.25">
      <c r="D640" s="5"/>
      <c r="N640" s="6" t="str">
        <f>IFERROR(Tabela3[[#This Row],[Última revisão do bem]]+(VLOOKUP(Tabela3[[#This Row],[Categoria]],Cadastros!A:D,4,0)+365),"")</f>
        <v/>
      </c>
      <c r="O640" s="7" t="str">
        <f ca="1">IF(Tabela3[[#This Row],[Data da compra]]&gt;0,(TODAY()-Tabela3[[#This Row],[Data da compra]])/365,"")</f>
        <v/>
      </c>
      <c r="P640" s="7" t="str">
        <f>IFERROR(VLOOKUP(Tabela3[[#This Row],[Categoria]],Cadastros!A:C,3,0),"")</f>
        <v/>
      </c>
      <c r="Q640" s="9" t="str">
        <f ca="1">IFERROR(Tabela3[[#This Row],[Vida útil]]-Tabela3[[#This Row],[Idade]],"")</f>
        <v/>
      </c>
      <c r="R640" s="8" t="str">
        <f ca="1">IFERROR(Tabela3[[#This Row],[Valor]]-(Tabela3[[#This Row],[Valor]]*(Tabela3[[#This Row],[Idade]]*VLOOKUP(Tabela3[[#This Row],[Categoria]],Cadastros!A:B,2,0))),"")</f>
        <v/>
      </c>
    </row>
    <row r="641" spans="4:18" x14ac:dyDescent="0.25">
      <c r="D641" s="5"/>
      <c r="N641" s="6" t="str">
        <f>IFERROR(Tabela3[[#This Row],[Última revisão do bem]]+(VLOOKUP(Tabela3[[#This Row],[Categoria]],Cadastros!A:D,4,0)+365),"")</f>
        <v/>
      </c>
      <c r="O641" s="7" t="str">
        <f ca="1">IF(Tabela3[[#This Row],[Data da compra]]&gt;0,(TODAY()-Tabela3[[#This Row],[Data da compra]])/365,"")</f>
        <v/>
      </c>
      <c r="P641" s="7" t="str">
        <f>IFERROR(VLOOKUP(Tabela3[[#This Row],[Categoria]],Cadastros!A:C,3,0),"")</f>
        <v/>
      </c>
      <c r="Q641" s="9" t="str">
        <f ca="1">IFERROR(Tabela3[[#This Row],[Vida útil]]-Tabela3[[#This Row],[Idade]],"")</f>
        <v/>
      </c>
      <c r="R641" s="8" t="str">
        <f ca="1">IFERROR(Tabela3[[#This Row],[Valor]]-(Tabela3[[#This Row],[Valor]]*(Tabela3[[#This Row],[Idade]]*VLOOKUP(Tabela3[[#This Row],[Categoria]],Cadastros!A:B,2,0))),"")</f>
        <v/>
      </c>
    </row>
    <row r="642" spans="4:18" x14ac:dyDescent="0.25">
      <c r="D642" s="5"/>
      <c r="N642" s="6" t="str">
        <f>IFERROR(Tabela3[[#This Row],[Última revisão do bem]]+(VLOOKUP(Tabela3[[#This Row],[Categoria]],Cadastros!A:D,4,0)+365),"")</f>
        <v/>
      </c>
      <c r="O642" s="7" t="str">
        <f ca="1">IF(Tabela3[[#This Row],[Data da compra]]&gt;0,(TODAY()-Tabela3[[#This Row],[Data da compra]])/365,"")</f>
        <v/>
      </c>
      <c r="P642" s="7" t="str">
        <f>IFERROR(VLOOKUP(Tabela3[[#This Row],[Categoria]],Cadastros!A:C,3,0),"")</f>
        <v/>
      </c>
      <c r="Q642" s="9" t="str">
        <f ca="1">IFERROR(Tabela3[[#This Row],[Vida útil]]-Tabela3[[#This Row],[Idade]],"")</f>
        <v/>
      </c>
      <c r="R642" s="8" t="str">
        <f ca="1">IFERROR(Tabela3[[#This Row],[Valor]]-(Tabela3[[#This Row],[Valor]]*(Tabela3[[#This Row],[Idade]]*VLOOKUP(Tabela3[[#This Row],[Categoria]],Cadastros!A:B,2,0))),"")</f>
        <v/>
      </c>
    </row>
    <row r="643" spans="4:18" x14ac:dyDescent="0.25">
      <c r="D643" s="5"/>
      <c r="N643" s="6" t="str">
        <f>IFERROR(Tabela3[[#This Row],[Última revisão do bem]]+(VLOOKUP(Tabela3[[#This Row],[Categoria]],Cadastros!A:D,4,0)+365),"")</f>
        <v/>
      </c>
      <c r="O643" s="7" t="str">
        <f ca="1">IF(Tabela3[[#This Row],[Data da compra]]&gt;0,(TODAY()-Tabela3[[#This Row],[Data da compra]])/365,"")</f>
        <v/>
      </c>
      <c r="P643" s="7" t="str">
        <f>IFERROR(VLOOKUP(Tabela3[[#This Row],[Categoria]],Cadastros!A:C,3,0),"")</f>
        <v/>
      </c>
      <c r="Q643" s="9" t="str">
        <f ca="1">IFERROR(Tabela3[[#This Row],[Vida útil]]-Tabela3[[#This Row],[Idade]],"")</f>
        <v/>
      </c>
      <c r="R643" s="8" t="str">
        <f ca="1">IFERROR(Tabela3[[#This Row],[Valor]]-(Tabela3[[#This Row],[Valor]]*(Tabela3[[#This Row],[Idade]]*VLOOKUP(Tabela3[[#This Row],[Categoria]],Cadastros!A:B,2,0))),"")</f>
        <v/>
      </c>
    </row>
    <row r="644" spans="4:18" x14ac:dyDescent="0.25">
      <c r="D644" s="5"/>
      <c r="N644" s="6" t="str">
        <f>IFERROR(Tabela3[[#This Row],[Última revisão do bem]]+(VLOOKUP(Tabela3[[#This Row],[Categoria]],Cadastros!A:D,4,0)+365),"")</f>
        <v/>
      </c>
      <c r="O644" s="7" t="str">
        <f ca="1">IF(Tabela3[[#This Row],[Data da compra]]&gt;0,(TODAY()-Tabela3[[#This Row],[Data da compra]])/365,"")</f>
        <v/>
      </c>
      <c r="P644" s="7" t="str">
        <f>IFERROR(VLOOKUP(Tabela3[[#This Row],[Categoria]],Cadastros!A:C,3,0),"")</f>
        <v/>
      </c>
      <c r="Q644" s="9" t="str">
        <f ca="1">IFERROR(Tabela3[[#This Row],[Vida útil]]-Tabela3[[#This Row],[Idade]],"")</f>
        <v/>
      </c>
      <c r="R644" s="8" t="str">
        <f ca="1">IFERROR(Tabela3[[#This Row],[Valor]]-(Tabela3[[#This Row],[Valor]]*(Tabela3[[#This Row],[Idade]]*VLOOKUP(Tabela3[[#This Row],[Categoria]],Cadastros!A:B,2,0))),"")</f>
        <v/>
      </c>
    </row>
    <row r="645" spans="4:18" x14ac:dyDescent="0.25">
      <c r="D645" s="5"/>
      <c r="N645" s="6" t="str">
        <f>IFERROR(Tabela3[[#This Row],[Última revisão do bem]]+(VLOOKUP(Tabela3[[#This Row],[Categoria]],Cadastros!A:D,4,0)+365),"")</f>
        <v/>
      </c>
      <c r="O645" s="7" t="str">
        <f ca="1">IF(Tabela3[[#This Row],[Data da compra]]&gt;0,(TODAY()-Tabela3[[#This Row],[Data da compra]])/365,"")</f>
        <v/>
      </c>
      <c r="P645" s="7" t="str">
        <f>IFERROR(VLOOKUP(Tabela3[[#This Row],[Categoria]],Cadastros!A:C,3,0),"")</f>
        <v/>
      </c>
      <c r="Q645" s="9" t="str">
        <f ca="1">IFERROR(Tabela3[[#This Row],[Vida útil]]-Tabela3[[#This Row],[Idade]],"")</f>
        <v/>
      </c>
      <c r="R645" s="8" t="str">
        <f ca="1">IFERROR(Tabela3[[#This Row],[Valor]]-(Tabela3[[#This Row],[Valor]]*(Tabela3[[#This Row],[Idade]]*VLOOKUP(Tabela3[[#This Row],[Categoria]],Cadastros!A:B,2,0))),"")</f>
        <v/>
      </c>
    </row>
    <row r="646" spans="4:18" x14ac:dyDescent="0.25">
      <c r="D646" s="5"/>
      <c r="N646" s="6" t="str">
        <f>IFERROR(Tabela3[[#This Row],[Última revisão do bem]]+(VLOOKUP(Tabela3[[#This Row],[Categoria]],Cadastros!A:D,4,0)+365),"")</f>
        <v/>
      </c>
      <c r="O646" s="7" t="str">
        <f ca="1">IF(Tabela3[[#This Row],[Data da compra]]&gt;0,(TODAY()-Tabela3[[#This Row],[Data da compra]])/365,"")</f>
        <v/>
      </c>
      <c r="P646" s="7" t="str">
        <f>IFERROR(VLOOKUP(Tabela3[[#This Row],[Categoria]],Cadastros!A:C,3,0),"")</f>
        <v/>
      </c>
      <c r="Q646" s="9" t="str">
        <f ca="1">IFERROR(Tabela3[[#This Row],[Vida útil]]-Tabela3[[#This Row],[Idade]],"")</f>
        <v/>
      </c>
      <c r="R646" s="8" t="str">
        <f ca="1">IFERROR(Tabela3[[#This Row],[Valor]]-(Tabela3[[#This Row],[Valor]]*(Tabela3[[#This Row],[Idade]]*VLOOKUP(Tabela3[[#This Row],[Categoria]],Cadastros!A:B,2,0))),"")</f>
        <v/>
      </c>
    </row>
    <row r="647" spans="4:18" x14ac:dyDescent="0.25">
      <c r="D647" s="5"/>
      <c r="N647" s="6" t="str">
        <f>IFERROR(Tabela3[[#This Row],[Última revisão do bem]]+(VLOOKUP(Tabela3[[#This Row],[Categoria]],Cadastros!A:D,4,0)+365),"")</f>
        <v/>
      </c>
      <c r="O647" s="7" t="str">
        <f ca="1">IF(Tabela3[[#This Row],[Data da compra]]&gt;0,(TODAY()-Tabela3[[#This Row],[Data da compra]])/365,"")</f>
        <v/>
      </c>
      <c r="P647" s="7" t="str">
        <f>IFERROR(VLOOKUP(Tabela3[[#This Row],[Categoria]],Cadastros!A:C,3,0),"")</f>
        <v/>
      </c>
      <c r="Q647" s="9" t="str">
        <f ca="1">IFERROR(Tabela3[[#This Row],[Vida útil]]-Tabela3[[#This Row],[Idade]],"")</f>
        <v/>
      </c>
      <c r="R647" s="8" t="str">
        <f ca="1">IFERROR(Tabela3[[#This Row],[Valor]]-(Tabela3[[#This Row],[Valor]]*(Tabela3[[#This Row],[Idade]]*VLOOKUP(Tabela3[[#This Row],[Categoria]],Cadastros!A:B,2,0))),"")</f>
        <v/>
      </c>
    </row>
    <row r="648" spans="4:18" x14ac:dyDescent="0.25">
      <c r="D648" s="5"/>
      <c r="N648" s="6" t="str">
        <f>IFERROR(Tabela3[[#This Row],[Última revisão do bem]]+(VLOOKUP(Tabela3[[#This Row],[Categoria]],Cadastros!A:D,4,0)+365),"")</f>
        <v/>
      </c>
      <c r="O648" s="7" t="str">
        <f ca="1">IF(Tabela3[[#This Row],[Data da compra]]&gt;0,(TODAY()-Tabela3[[#This Row],[Data da compra]])/365,"")</f>
        <v/>
      </c>
      <c r="P648" s="7" t="str">
        <f>IFERROR(VLOOKUP(Tabela3[[#This Row],[Categoria]],Cadastros!A:C,3,0),"")</f>
        <v/>
      </c>
      <c r="Q648" s="9" t="str">
        <f ca="1">IFERROR(Tabela3[[#This Row],[Vida útil]]-Tabela3[[#This Row],[Idade]],"")</f>
        <v/>
      </c>
      <c r="R648" s="8" t="str">
        <f ca="1">IFERROR(Tabela3[[#This Row],[Valor]]-(Tabela3[[#This Row],[Valor]]*(Tabela3[[#This Row],[Idade]]*VLOOKUP(Tabela3[[#This Row],[Categoria]],Cadastros!A:B,2,0))),"")</f>
        <v/>
      </c>
    </row>
    <row r="649" spans="4:18" x14ac:dyDescent="0.25">
      <c r="D649" s="5"/>
      <c r="N649" s="6" t="str">
        <f>IFERROR(Tabela3[[#This Row],[Última revisão do bem]]+(VLOOKUP(Tabela3[[#This Row],[Categoria]],Cadastros!A:D,4,0)+365),"")</f>
        <v/>
      </c>
      <c r="O649" s="7" t="str">
        <f ca="1">IF(Tabela3[[#This Row],[Data da compra]]&gt;0,(TODAY()-Tabela3[[#This Row],[Data da compra]])/365,"")</f>
        <v/>
      </c>
      <c r="P649" s="7" t="str">
        <f>IFERROR(VLOOKUP(Tabela3[[#This Row],[Categoria]],Cadastros!A:C,3,0),"")</f>
        <v/>
      </c>
      <c r="Q649" s="9" t="str">
        <f ca="1">IFERROR(Tabela3[[#This Row],[Vida útil]]-Tabela3[[#This Row],[Idade]],"")</f>
        <v/>
      </c>
      <c r="R649" s="8" t="str">
        <f ca="1">IFERROR(Tabela3[[#This Row],[Valor]]-(Tabela3[[#This Row],[Valor]]*(Tabela3[[#This Row],[Idade]]*VLOOKUP(Tabela3[[#This Row],[Categoria]],Cadastros!A:B,2,0))),"")</f>
        <v/>
      </c>
    </row>
    <row r="650" spans="4:18" x14ac:dyDescent="0.25">
      <c r="D650" s="5"/>
      <c r="N650" s="6" t="str">
        <f>IFERROR(Tabela3[[#This Row],[Última revisão do bem]]+(VLOOKUP(Tabela3[[#This Row],[Categoria]],Cadastros!A:D,4,0)+365),"")</f>
        <v/>
      </c>
      <c r="O650" s="7" t="str">
        <f ca="1">IF(Tabela3[[#This Row],[Data da compra]]&gt;0,(TODAY()-Tabela3[[#This Row],[Data da compra]])/365,"")</f>
        <v/>
      </c>
      <c r="P650" s="7" t="str">
        <f>IFERROR(VLOOKUP(Tabela3[[#This Row],[Categoria]],Cadastros!A:C,3,0),"")</f>
        <v/>
      </c>
      <c r="Q650" s="9" t="str">
        <f ca="1">IFERROR(Tabela3[[#This Row],[Vida útil]]-Tabela3[[#This Row],[Idade]],"")</f>
        <v/>
      </c>
      <c r="R650" s="8" t="str">
        <f ca="1">IFERROR(Tabela3[[#This Row],[Valor]]-(Tabela3[[#This Row],[Valor]]*(Tabela3[[#This Row],[Idade]]*VLOOKUP(Tabela3[[#This Row],[Categoria]],Cadastros!A:B,2,0))),"")</f>
        <v/>
      </c>
    </row>
    <row r="651" spans="4:18" x14ac:dyDescent="0.25">
      <c r="D651" s="5"/>
      <c r="N651" s="6" t="str">
        <f>IFERROR(Tabela3[[#This Row],[Última revisão do bem]]+(VLOOKUP(Tabela3[[#This Row],[Categoria]],Cadastros!A:D,4,0)+365),"")</f>
        <v/>
      </c>
      <c r="O651" s="7" t="str">
        <f ca="1">IF(Tabela3[[#This Row],[Data da compra]]&gt;0,(TODAY()-Tabela3[[#This Row],[Data da compra]])/365,"")</f>
        <v/>
      </c>
      <c r="P651" s="7" t="str">
        <f>IFERROR(VLOOKUP(Tabela3[[#This Row],[Categoria]],Cadastros!A:C,3,0),"")</f>
        <v/>
      </c>
      <c r="Q651" s="9" t="str">
        <f ca="1">IFERROR(Tabela3[[#This Row],[Vida útil]]-Tabela3[[#This Row],[Idade]],"")</f>
        <v/>
      </c>
      <c r="R651" s="8" t="str">
        <f ca="1">IFERROR(Tabela3[[#This Row],[Valor]]-(Tabela3[[#This Row],[Valor]]*(Tabela3[[#This Row],[Idade]]*VLOOKUP(Tabela3[[#This Row],[Categoria]],Cadastros!A:B,2,0))),"")</f>
        <v/>
      </c>
    </row>
    <row r="652" spans="4:18" x14ac:dyDescent="0.25">
      <c r="D652" s="5"/>
      <c r="N652" s="6" t="str">
        <f>IFERROR(Tabela3[[#This Row],[Última revisão do bem]]+(VLOOKUP(Tabela3[[#This Row],[Categoria]],Cadastros!A:D,4,0)+365),"")</f>
        <v/>
      </c>
      <c r="O652" s="7" t="str">
        <f ca="1">IF(Tabela3[[#This Row],[Data da compra]]&gt;0,(TODAY()-Tabela3[[#This Row],[Data da compra]])/365,"")</f>
        <v/>
      </c>
      <c r="P652" s="7" t="str">
        <f>IFERROR(VLOOKUP(Tabela3[[#This Row],[Categoria]],Cadastros!A:C,3,0),"")</f>
        <v/>
      </c>
      <c r="Q652" s="9" t="str">
        <f ca="1">IFERROR(Tabela3[[#This Row],[Vida útil]]-Tabela3[[#This Row],[Idade]],"")</f>
        <v/>
      </c>
      <c r="R652" s="8" t="str">
        <f ca="1">IFERROR(Tabela3[[#This Row],[Valor]]-(Tabela3[[#This Row],[Valor]]*(Tabela3[[#This Row],[Idade]]*VLOOKUP(Tabela3[[#This Row],[Categoria]],Cadastros!A:B,2,0))),"")</f>
        <v/>
      </c>
    </row>
    <row r="653" spans="4:18" x14ac:dyDescent="0.25">
      <c r="D653" s="5"/>
      <c r="N653" s="6" t="str">
        <f>IFERROR(Tabela3[[#This Row],[Última revisão do bem]]+(VLOOKUP(Tabela3[[#This Row],[Categoria]],Cadastros!A:D,4,0)+365),"")</f>
        <v/>
      </c>
      <c r="O653" s="7" t="str">
        <f ca="1">IF(Tabela3[[#This Row],[Data da compra]]&gt;0,(TODAY()-Tabela3[[#This Row],[Data da compra]])/365,"")</f>
        <v/>
      </c>
      <c r="P653" s="7" t="str">
        <f>IFERROR(VLOOKUP(Tabela3[[#This Row],[Categoria]],Cadastros!A:C,3,0),"")</f>
        <v/>
      </c>
      <c r="Q653" s="9" t="str">
        <f ca="1">IFERROR(Tabela3[[#This Row],[Vida útil]]-Tabela3[[#This Row],[Idade]],"")</f>
        <v/>
      </c>
      <c r="R653" s="8" t="str">
        <f ca="1">IFERROR(Tabela3[[#This Row],[Valor]]-(Tabela3[[#This Row],[Valor]]*(Tabela3[[#This Row],[Idade]]*VLOOKUP(Tabela3[[#This Row],[Categoria]],Cadastros!A:B,2,0))),"")</f>
        <v/>
      </c>
    </row>
    <row r="654" spans="4:18" x14ac:dyDescent="0.25">
      <c r="D654" s="22"/>
      <c r="N654" s="6" t="str">
        <f>IFERROR(Tabela3[[#This Row],[Última revisão do bem]]+(VLOOKUP(Tabela3[[#This Row],[Categoria]],Cadastros!A:D,4,0)+365),"")</f>
        <v/>
      </c>
      <c r="O654" s="7" t="str">
        <f ca="1">IF(Tabela3[[#This Row],[Data da compra]]&gt;0,(TODAY()-Tabela3[[#This Row],[Data da compra]])/365,"")</f>
        <v/>
      </c>
      <c r="P654" s="7" t="str">
        <f>IFERROR(VLOOKUP(Tabela3[[#This Row],[Categoria]],Cadastros!A:C,3,0),"")</f>
        <v/>
      </c>
      <c r="Q654" s="9" t="str">
        <f ca="1">IFERROR(Tabela3[[#This Row],[Vida útil]]-Tabela3[[#This Row],[Idade]],"")</f>
        <v/>
      </c>
      <c r="R654" s="23" t="str">
        <f ca="1">IFERROR(Tabela3[[#This Row],[Valor]]-(Tabela3[[#This Row],[Valor]]*(Tabela3[[#This Row],[Idade]]*VLOOKUP(Tabela3[[#This Row],[Categoria]],Cadastros!A:B,2,0))),"")</f>
        <v/>
      </c>
    </row>
    <row r="655" spans="4:18" x14ac:dyDescent="0.25">
      <c r="D655" s="5"/>
      <c r="N655" s="6" t="str">
        <f>IFERROR(Tabela3[[#This Row],[Última revisão do bem]]+(VLOOKUP(Tabela3[[#This Row],[Categoria]],Cadastros!A:D,4,0)+365),"")</f>
        <v/>
      </c>
      <c r="O655" s="7" t="str">
        <f ca="1">IF(Tabela3[[#This Row],[Data da compra]]&gt;0,(TODAY()-Tabela3[[#This Row],[Data da compra]])/365,"")</f>
        <v/>
      </c>
      <c r="P655" s="7" t="str">
        <f>IFERROR(VLOOKUP(Tabela3[[#This Row],[Categoria]],Cadastros!A:C,3,0),"")</f>
        <v/>
      </c>
      <c r="Q655" s="9" t="str">
        <f ca="1">IFERROR(Tabela3[[#This Row],[Vida útil]]-Tabela3[[#This Row],[Idade]],"")</f>
        <v/>
      </c>
      <c r="R655" s="8" t="str">
        <f ca="1">IFERROR(Tabela3[[#This Row],[Valor]]-(Tabela3[[#This Row],[Valor]]*(Tabela3[[#This Row],[Idade]]*VLOOKUP(Tabela3[[#This Row],[Categoria]],Cadastros!A:B,2,0))),"")</f>
        <v/>
      </c>
    </row>
    <row r="656" spans="4:18" x14ac:dyDescent="0.25">
      <c r="D656" s="5"/>
      <c r="N656" s="6" t="str">
        <f>IFERROR(Tabela3[[#This Row],[Última revisão do bem]]+(VLOOKUP(Tabela3[[#This Row],[Categoria]],Cadastros!A:D,4,0)+365),"")</f>
        <v/>
      </c>
      <c r="O656" s="7" t="str">
        <f ca="1">IF(Tabela3[[#This Row],[Data da compra]]&gt;0,(TODAY()-Tabela3[[#This Row],[Data da compra]])/365,"")</f>
        <v/>
      </c>
      <c r="P656" s="7" t="str">
        <f>IFERROR(VLOOKUP(Tabela3[[#This Row],[Categoria]],Cadastros!A:C,3,0),"")</f>
        <v/>
      </c>
      <c r="Q656" s="9" t="str">
        <f ca="1">IFERROR(Tabela3[[#This Row],[Vida útil]]-Tabela3[[#This Row],[Idade]],"")</f>
        <v/>
      </c>
      <c r="R656" s="8" t="str">
        <f ca="1">IFERROR(Tabela3[[#This Row],[Valor]]-(Tabela3[[#This Row],[Valor]]*(Tabela3[[#This Row],[Idade]]*VLOOKUP(Tabela3[[#This Row],[Categoria]],Cadastros!A:B,2,0))),"")</f>
        <v/>
      </c>
    </row>
    <row r="657" spans="4:18" x14ac:dyDescent="0.25">
      <c r="D657" s="5"/>
      <c r="N657" s="6" t="str">
        <f>IFERROR(Tabela3[[#This Row],[Última revisão do bem]]+(VLOOKUP(Tabela3[[#This Row],[Categoria]],Cadastros!A:D,4,0)+365),"")</f>
        <v/>
      </c>
      <c r="O657" s="7" t="str">
        <f ca="1">IF(Tabela3[[#This Row],[Data da compra]]&gt;0,(TODAY()-Tabela3[[#This Row],[Data da compra]])/365,"")</f>
        <v/>
      </c>
      <c r="P657" s="7" t="str">
        <f>IFERROR(VLOOKUP(Tabela3[[#This Row],[Categoria]],Cadastros!A:C,3,0),"")</f>
        <v/>
      </c>
      <c r="Q657" s="9" t="str">
        <f ca="1">IFERROR(Tabela3[[#This Row],[Vida útil]]-Tabela3[[#This Row],[Idade]],"")</f>
        <v/>
      </c>
      <c r="R657" s="8" t="str">
        <f ca="1">IFERROR(Tabela3[[#This Row],[Valor]]-(Tabela3[[#This Row],[Valor]]*(Tabela3[[#This Row],[Idade]]*VLOOKUP(Tabela3[[#This Row],[Categoria]],Cadastros!A:B,2,0))),"")</f>
        <v/>
      </c>
    </row>
    <row r="658" spans="4:18" x14ac:dyDescent="0.25">
      <c r="D658" s="5"/>
      <c r="N658" s="6" t="str">
        <f>IFERROR(Tabela3[[#This Row],[Última revisão do bem]]+(VLOOKUP(Tabela3[[#This Row],[Categoria]],Cadastros!A:D,4,0)+365),"")</f>
        <v/>
      </c>
      <c r="O658" s="7" t="str">
        <f ca="1">IF(Tabela3[[#This Row],[Data da compra]]&gt;0,(TODAY()-Tabela3[[#This Row],[Data da compra]])/365,"")</f>
        <v/>
      </c>
      <c r="P658" s="7" t="str">
        <f>IFERROR(VLOOKUP(Tabela3[[#This Row],[Categoria]],Cadastros!A:C,3,0),"")</f>
        <v/>
      </c>
      <c r="Q658" s="9" t="str">
        <f ca="1">IFERROR(Tabela3[[#This Row],[Vida útil]]-Tabela3[[#This Row],[Idade]],"")</f>
        <v/>
      </c>
      <c r="R658" s="8" t="str">
        <f ca="1">IFERROR(Tabela3[[#This Row],[Valor]]-(Tabela3[[#This Row],[Valor]]*(Tabela3[[#This Row],[Idade]]*VLOOKUP(Tabela3[[#This Row],[Categoria]],Cadastros!A:B,2,0))),"")</f>
        <v/>
      </c>
    </row>
    <row r="659" spans="4:18" x14ac:dyDescent="0.25">
      <c r="D659" s="5"/>
      <c r="N659" s="6" t="str">
        <f>IFERROR(Tabela3[[#This Row],[Última revisão do bem]]+(VLOOKUP(Tabela3[[#This Row],[Categoria]],Cadastros!A:D,4,0)+365),"")</f>
        <v/>
      </c>
      <c r="O659" s="7" t="str">
        <f ca="1">IF(Tabela3[[#This Row],[Data da compra]]&gt;0,(TODAY()-Tabela3[[#This Row],[Data da compra]])/365,"")</f>
        <v/>
      </c>
      <c r="P659" s="7" t="str">
        <f>IFERROR(VLOOKUP(Tabela3[[#This Row],[Categoria]],Cadastros!A:C,3,0),"")</f>
        <v/>
      </c>
      <c r="Q659" s="9" t="str">
        <f ca="1">IFERROR(Tabela3[[#This Row],[Vida útil]]-Tabela3[[#This Row],[Idade]],"")</f>
        <v/>
      </c>
      <c r="R659" s="8" t="str">
        <f ca="1">IFERROR(Tabela3[[#This Row],[Valor]]-(Tabela3[[#This Row],[Valor]]*(Tabela3[[#This Row],[Idade]]*VLOOKUP(Tabela3[[#This Row],[Categoria]],Cadastros!A:B,2,0))),"")</f>
        <v/>
      </c>
    </row>
    <row r="660" spans="4:18" x14ac:dyDescent="0.25">
      <c r="D660" s="5"/>
      <c r="N660" s="6" t="str">
        <f>IFERROR(Tabela3[[#This Row],[Última revisão do bem]]+(VLOOKUP(Tabela3[[#This Row],[Categoria]],Cadastros!A:D,4,0)+365),"")</f>
        <v/>
      </c>
      <c r="O660" s="7" t="str">
        <f ca="1">IF(Tabela3[[#This Row],[Data da compra]]&gt;0,(TODAY()-Tabela3[[#This Row],[Data da compra]])/365,"")</f>
        <v/>
      </c>
      <c r="P660" s="7" t="str">
        <f>IFERROR(VLOOKUP(Tabela3[[#This Row],[Categoria]],Cadastros!A:C,3,0),"")</f>
        <v/>
      </c>
      <c r="Q660" s="9" t="str">
        <f ca="1">IFERROR(Tabela3[[#This Row],[Vida útil]]-Tabela3[[#This Row],[Idade]],"")</f>
        <v/>
      </c>
      <c r="R660" s="8" t="str">
        <f ca="1">IFERROR(Tabela3[[#This Row],[Valor]]-(Tabela3[[#This Row],[Valor]]*(Tabela3[[#This Row],[Idade]]*VLOOKUP(Tabela3[[#This Row],[Categoria]],Cadastros!A:B,2,0))),"")</f>
        <v/>
      </c>
    </row>
    <row r="661" spans="4:18" x14ac:dyDescent="0.25">
      <c r="D661" s="5"/>
      <c r="N661" s="6" t="str">
        <f>IFERROR(Tabela3[[#This Row],[Última revisão do bem]]+(VLOOKUP(Tabela3[[#This Row],[Categoria]],Cadastros!A:D,4,0)+365),"")</f>
        <v/>
      </c>
      <c r="O661" s="7" t="str">
        <f ca="1">IF(Tabela3[[#This Row],[Data da compra]]&gt;0,(TODAY()-Tabela3[[#This Row],[Data da compra]])/365,"")</f>
        <v/>
      </c>
      <c r="P661" s="7" t="str">
        <f>IFERROR(VLOOKUP(Tabela3[[#This Row],[Categoria]],Cadastros!A:C,3,0),"")</f>
        <v/>
      </c>
      <c r="Q661" s="9" t="str">
        <f ca="1">IFERROR(Tabela3[[#This Row],[Vida útil]]-Tabela3[[#This Row],[Idade]],"")</f>
        <v/>
      </c>
      <c r="R661" s="8" t="str">
        <f ca="1">IFERROR(Tabela3[[#This Row],[Valor]]-(Tabela3[[#This Row],[Valor]]*(Tabela3[[#This Row],[Idade]]*VLOOKUP(Tabela3[[#This Row],[Categoria]],Cadastros!A:B,2,0))),"")</f>
        <v/>
      </c>
    </row>
    <row r="662" spans="4:18" x14ac:dyDescent="0.25">
      <c r="D662" s="5"/>
      <c r="N662" s="6" t="str">
        <f>IFERROR(Tabela3[[#This Row],[Última revisão do bem]]+(VLOOKUP(Tabela3[[#This Row],[Categoria]],Cadastros!A:D,4,0)+365),"")</f>
        <v/>
      </c>
      <c r="O662" s="7" t="str">
        <f ca="1">IF(Tabela3[[#This Row],[Data da compra]]&gt;0,(TODAY()-Tabela3[[#This Row],[Data da compra]])/365,"")</f>
        <v/>
      </c>
      <c r="P662" s="7" t="str">
        <f>IFERROR(VLOOKUP(Tabela3[[#This Row],[Categoria]],Cadastros!A:C,3,0),"")</f>
        <v/>
      </c>
      <c r="Q662" s="9" t="str">
        <f ca="1">IFERROR(Tabela3[[#This Row],[Vida útil]]-Tabela3[[#This Row],[Idade]],"")</f>
        <v/>
      </c>
      <c r="R662" s="8" t="str">
        <f ca="1">IFERROR(Tabela3[[#This Row],[Valor]]-(Tabela3[[#This Row],[Valor]]*(Tabela3[[#This Row],[Idade]]*VLOOKUP(Tabela3[[#This Row],[Categoria]],Cadastros!A:B,2,0))),"")</f>
        <v/>
      </c>
    </row>
    <row r="663" spans="4:18" x14ac:dyDescent="0.25">
      <c r="D663" s="5"/>
      <c r="N663" s="6" t="str">
        <f>IFERROR(Tabela3[[#This Row],[Última revisão do bem]]+(VLOOKUP(Tabela3[[#This Row],[Categoria]],Cadastros!A:D,4,0)+365),"")</f>
        <v/>
      </c>
      <c r="O663" s="7" t="str">
        <f ca="1">IF(Tabela3[[#This Row],[Data da compra]]&gt;0,(TODAY()-Tabela3[[#This Row],[Data da compra]])/365,"")</f>
        <v/>
      </c>
      <c r="P663" s="7" t="str">
        <f>IFERROR(VLOOKUP(Tabela3[[#This Row],[Categoria]],Cadastros!A:C,3,0),"")</f>
        <v/>
      </c>
      <c r="Q663" s="9" t="str">
        <f ca="1">IFERROR(Tabela3[[#This Row],[Vida útil]]-Tabela3[[#This Row],[Idade]],"")</f>
        <v/>
      </c>
      <c r="R663" s="8" t="str">
        <f ca="1">IFERROR(Tabela3[[#This Row],[Valor]]-(Tabela3[[#This Row],[Valor]]*(Tabela3[[#This Row],[Idade]]*VLOOKUP(Tabela3[[#This Row],[Categoria]],Cadastros!A:B,2,0))),"")</f>
        <v/>
      </c>
    </row>
    <row r="664" spans="4:18" x14ac:dyDescent="0.25">
      <c r="D664" s="5"/>
      <c r="N664" s="6" t="str">
        <f>IFERROR(Tabela3[[#This Row],[Última revisão do bem]]+(VLOOKUP(Tabela3[[#This Row],[Categoria]],Cadastros!A:D,4,0)+365),"")</f>
        <v/>
      </c>
      <c r="O664" s="7" t="str">
        <f ca="1">IF(Tabela3[[#This Row],[Data da compra]]&gt;0,(TODAY()-Tabela3[[#This Row],[Data da compra]])/365,"")</f>
        <v/>
      </c>
      <c r="P664" s="7" t="str">
        <f>IFERROR(VLOOKUP(Tabela3[[#This Row],[Categoria]],Cadastros!A:C,3,0),"")</f>
        <v/>
      </c>
      <c r="Q664" s="9" t="str">
        <f ca="1">IFERROR(Tabela3[[#This Row],[Vida útil]]-Tabela3[[#This Row],[Idade]],"")</f>
        <v/>
      </c>
      <c r="R664" s="8" t="str">
        <f ca="1">IFERROR(Tabela3[[#This Row],[Valor]]-(Tabela3[[#This Row],[Valor]]*(Tabela3[[#This Row],[Idade]]*VLOOKUP(Tabela3[[#This Row],[Categoria]],Cadastros!A:B,2,0))),"")</f>
        <v/>
      </c>
    </row>
    <row r="665" spans="4:18" x14ac:dyDescent="0.25">
      <c r="D665" s="5"/>
      <c r="N665" s="6" t="str">
        <f>IFERROR(Tabela3[[#This Row],[Última revisão do bem]]+(VLOOKUP(Tabela3[[#This Row],[Categoria]],Cadastros!A:D,4,0)+365),"")</f>
        <v/>
      </c>
      <c r="O665" s="7" t="str">
        <f ca="1">IF(Tabela3[[#This Row],[Data da compra]]&gt;0,(TODAY()-Tabela3[[#This Row],[Data da compra]])/365,"")</f>
        <v/>
      </c>
      <c r="P665" s="7" t="str">
        <f>IFERROR(VLOOKUP(Tabela3[[#This Row],[Categoria]],Cadastros!A:C,3,0),"")</f>
        <v/>
      </c>
      <c r="Q665" s="9" t="str">
        <f ca="1">IFERROR(Tabela3[[#This Row],[Vida útil]]-Tabela3[[#This Row],[Idade]],"")</f>
        <v/>
      </c>
      <c r="R665" s="8" t="str">
        <f ca="1">IFERROR(Tabela3[[#This Row],[Valor]]-(Tabela3[[#This Row],[Valor]]*(Tabela3[[#This Row],[Idade]]*VLOOKUP(Tabela3[[#This Row],[Categoria]],Cadastros!A:B,2,0))),"")</f>
        <v/>
      </c>
    </row>
    <row r="666" spans="4:18" x14ac:dyDescent="0.25">
      <c r="D666" s="5"/>
      <c r="N666" s="6" t="str">
        <f>IFERROR(Tabela3[[#This Row],[Última revisão do bem]]+(VLOOKUP(Tabela3[[#This Row],[Categoria]],Cadastros!A:D,4,0)+365),"")</f>
        <v/>
      </c>
      <c r="O666" s="7" t="str">
        <f ca="1">IF(Tabela3[[#This Row],[Data da compra]]&gt;0,(TODAY()-Tabela3[[#This Row],[Data da compra]])/365,"")</f>
        <v/>
      </c>
      <c r="P666" s="7" t="str">
        <f>IFERROR(VLOOKUP(Tabela3[[#This Row],[Categoria]],Cadastros!A:C,3,0),"")</f>
        <v/>
      </c>
      <c r="Q666" s="9" t="str">
        <f ca="1">IFERROR(Tabela3[[#This Row],[Vida útil]]-Tabela3[[#This Row],[Idade]],"")</f>
        <v/>
      </c>
      <c r="R666" s="8" t="str">
        <f ca="1">IFERROR(Tabela3[[#This Row],[Valor]]-(Tabela3[[#This Row],[Valor]]*(Tabela3[[#This Row],[Idade]]*VLOOKUP(Tabela3[[#This Row],[Categoria]],Cadastros!A:B,2,0))),"")</f>
        <v/>
      </c>
    </row>
    <row r="667" spans="4:18" x14ac:dyDescent="0.25">
      <c r="D667" s="5"/>
      <c r="N667" s="6" t="str">
        <f>IFERROR(Tabela3[[#This Row],[Última revisão do bem]]+(VLOOKUP(Tabela3[[#This Row],[Categoria]],Cadastros!A:D,4,0)+365),"")</f>
        <v/>
      </c>
      <c r="O667" s="7" t="str">
        <f ca="1">IF(Tabela3[[#This Row],[Data da compra]]&gt;0,(TODAY()-Tabela3[[#This Row],[Data da compra]])/365,"")</f>
        <v/>
      </c>
      <c r="P667" s="7" t="str">
        <f>IFERROR(VLOOKUP(Tabela3[[#This Row],[Categoria]],Cadastros!A:C,3,0),"")</f>
        <v/>
      </c>
      <c r="Q667" s="9" t="str">
        <f ca="1">IFERROR(Tabela3[[#This Row],[Vida útil]]-Tabela3[[#This Row],[Idade]],"")</f>
        <v/>
      </c>
      <c r="R667" s="8" t="str">
        <f ca="1">IFERROR(Tabela3[[#This Row],[Valor]]-(Tabela3[[#This Row],[Valor]]*(Tabela3[[#This Row],[Idade]]*VLOOKUP(Tabela3[[#This Row],[Categoria]],Cadastros!A:B,2,0))),"")</f>
        <v/>
      </c>
    </row>
    <row r="668" spans="4:18" x14ac:dyDescent="0.25">
      <c r="D668" s="5"/>
      <c r="N668" s="6" t="str">
        <f>IFERROR(Tabela3[[#This Row],[Última revisão do bem]]+(VLOOKUP(Tabela3[[#This Row],[Categoria]],Cadastros!A:D,4,0)+365),"")</f>
        <v/>
      </c>
      <c r="O668" s="7" t="str">
        <f ca="1">IF(Tabela3[[#This Row],[Data da compra]]&gt;0,(TODAY()-Tabela3[[#This Row],[Data da compra]])/365,"")</f>
        <v/>
      </c>
      <c r="P668" s="7" t="str">
        <f>IFERROR(VLOOKUP(Tabela3[[#This Row],[Categoria]],Cadastros!A:C,3,0),"")</f>
        <v/>
      </c>
      <c r="Q668" s="9" t="str">
        <f ca="1">IFERROR(Tabela3[[#This Row],[Vida útil]]-Tabela3[[#This Row],[Idade]],"")</f>
        <v/>
      </c>
      <c r="R668" s="8" t="str">
        <f ca="1">IFERROR(Tabela3[[#This Row],[Valor]]-(Tabela3[[#This Row],[Valor]]*(Tabela3[[#This Row],[Idade]]*VLOOKUP(Tabela3[[#This Row],[Categoria]],Cadastros!A:B,2,0))),"")</f>
        <v/>
      </c>
    </row>
    <row r="669" spans="4:18" x14ac:dyDescent="0.25">
      <c r="D669" s="5"/>
      <c r="N669" s="6" t="str">
        <f>IFERROR(Tabela3[[#This Row],[Última revisão do bem]]+(VLOOKUP(Tabela3[[#This Row],[Categoria]],Cadastros!A:D,4,0)+365),"")</f>
        <v/>
      </c>
      <c r="O669" s="7" t="str">
        <f ca="1">IF(Tabela3[[#This Row],[Data da compra]]&gt;0,(TODAY()-Tabela3[[#This Row],[Data da compra]])/365,"")</f>
        <v/>
      </c>
      <c r="P669" s="7" t="str">
        <f>IFERROR(VLOOKUP(Tabela3[[#This Row],[Categoria]],Cadastros!A:C,3,0),"")</f>
        <v/>
      </c>
      <c r="Q669" s="9" t="str">
        <f ca="1">IFERROR(Tabela3[[#This Row],[Vida útil]]-Tabela3[[#This Row],[Idade]],"")</f>
        <v/>
      </c>
      <c r="R669" s="8" t="str">
        <f ca="1">IFERROR(Tabela3[[#This Row],[Valor]]-(Tabela3[[#This Row],[Valor]]*(Tabela3[[#This Row],[Idade]]*VLOOKUP(Tabela3[[#This Row],[Categoria]],Cadastros!A:B,2,0))),"")</f>
        <v/>
      </c>
    </row>
    <row r="670" spans="4:18" x14ac:dyDescent="0.25">
      <c r="D670" s="5"/>
      <c r="N670" s="6" t="str">
        <f>IFERROR(Tabela3[[#This Row],[Última revisão do bem]]+(VLOOKUP(Tabela3[[#This Row],[Categoria]],Cadastros!A:D,4,0)+365),"")</f>
        <v/>
      </c>
      <c r="O670" s="7" t="str">
        <f ca="1">IF(Tabela3[[#This Row],[Data da compra]]&gt;0,(TODAY()-Tabela3[[#This Row],[Data da compra]])/365,"")</f>
        <v/>
      </c>
      <c r="P670" s="7" t="str">
        <f>IFERROR(VLOOKUP(Tabela3[[#This Row],[Categoria]],Cadastros!A:C,3,0),"")</f>
        <v/>
      </c>
      <c r="Q670" s="9" t="str">
        <f ca="1">IFERROR(Tabela3[[#This Row],[Vida útil]]-Tabela3[[#This Row],[Idade]],"")</f>
        <v/>
      </c>
      <c r="R670" s="8" t="str">
        <f ca="1">IFERROR(Tabela3[[#This Row],[Valor]]-(Tabela3[[#This Row],[Valor]]*(Tabela3[[#This Row],[Idade]]*VLOOKUP(Tabela3[[#This Row],[Categoria]],Cadastros!A:B,2,0))),"")</f>
        <v/>
      </c>
    </row>
    <row r="671" spans="4:18" x14ac:dyDescent="0.25">
      <c r="D671" s="5"/>
      <c r="N671" s="6" t="str">
        <f>IFERROR(Tabela3[[#This Row],[Última revisão do bem]]+(VLOOKUP(Tabela3[[#This Row],[Categoria]],Cadastros!A:D,4,0)+365),"")</f>
        <v/>
      </c>
      <c r="O671" s="7" t="str">
        <f ca="1">IF(Tabela3[[#This Row],[Data da compra]]&gt;0,(TODAY()-Tabela3[[#This Row],[Data da compra]])/365,"")</f>
        <v/>
      </c>
      <c r="P671" s="7" t="str">
        <f>IFERROR(VLOOKUP(Tabela3[[#This Row],[Categoria]],Cadastros!A:C,3,0),"")</f>
        <v/>
      </c>
      <c r="Q671" s="9" t="str">
        <f ca="1">IFERROR(Tabela3[[#This Row],[Vida útil]]-Tabela3[[#This Row],[Idade]],"")</f>
        <v/>
      </c>
      <c r="R671" s="8" t="str">
        <f ca="1">IFERROR(Tabela3[[#This Row],[Valor]]-(Tabela3[[#This Row],[Valor]]*(Tabela3[[#This Row],[Idade]]*VLOOKUP(Tabela3[[#This Row],[Categoria]],Cadastros!A:B,2,0))),"")</f>
        <v/>
      </c>
    </row>
    <row r="672" spans="4:18" x14ac:dyDescent="0.25">
      <c r="D672" s="22"/>
      <c r="N672" s="6" t="str">
        <f>IFERROR(Tabela3[[#This Row],[Última revisão do bem]]+(VLOOKUP(Tabela3[[#This Row],[Categoria]],Cadastros!A:D,4,0)+365),"")</f>
        <v/>
      </c>
      <c r="O672" s="7" t="str">
        <f ca="1">IF(Tabela3[[#This Row],[Data da compra]]&gt;0,(TODAY()-Tabela3[[#This Row],[Data da compra]])/365,"")</f>
        <v/>
      </c>
      <c r="P672" s="7" t="str">
        <f>IFERROR(VLOOKUP(Tabela3[[#This Row],[Categoria]],Cadastros!A:C,3,0),"")</f>
        <v/>
      </c>
      <c r="Q672" s="9" t="str">
        <f ca="1">IFERROR(Tabela3[[#This Row],[Vida útil]]-Tabela3[[#This Row],[Idade]],"")</f>
        <v/>
      </c>
      <c r="R672" s="23" t="str">
        <f ca="1">IFERROR(Tabela3[[#This Row],[Valor]]-(Tabela3[[#This Row],[Valor]]*(Tabela3[[#This Row],[Idade]]*VLOOKUP(Tabela3[[#This Row],[Categoria]],Cadastros!A:B,2,0))),"")</f>
        <v/>
      </c>
    </row>
    <row r="673" spans="4:18" x14ac:dyDescent="0.25">
      <c r="D673" s="5"/>
      <c r="N673" s="6" t="str">
        <f>IFERROR(Tabela3[[#This Row],[Última revisão do bem]]+(VLOOKUP(Tabela3[[#This Row],[Categoria]],Cadastros!A:D,4,0)+365),"")</f>
        <v/>
      </c>
      <c r="O673" s="7" t="str">
        <f ca="1">IF(Tabela3[[#This Row],[Data da compra]]&gt;0,(TODAY()-Tabela3[[#This Row],[Data da compra]])/365,"")</f>
        <v/>
      </c>
      <c r="P673" s="7" t="str">
        <f>IFERROR(VLOOKUP(Tabela3[[#This Row],[Categoria]],Cadastros!A:C,3,0),"")</f>
        <v/>
      </c>
      <c r="Q673" s="9" t="str">
        <f ca="1">IFERROR(Tabela3[[#This Row],[Vida útil]]-Tabela3[[#This Row],[Idade]],"")</f>
        <v/>
      </c>
      <c r="R673" s="8" t="str">
        <f ca="1">IFERROR(Tabela3[[#This Row],[Valor]]-(Tabela3[[#This Row],[Valor]]*(Tabela3[[#This Row],[Idade]]*VLOOKUP(Tabela3[[#This Row],[Categoria]],Cadastros!A:B,2,0))),"")</f>
        <v/>
      </c>
    </row>
    <row r="674" spans="4:18" x14ac:dyDescent="0.25">
      <c r="D674" s="5"/>
      <c r="N674" s="6" t="str">
        <f>IFERROR(Tabela3[[#This Row],[Última revisão do bem]]+(VLOOKUP(Tabela3[[#This Row],[Categoria]],Cadastros!A:D,4,0)+365),"")</f>
        <v/>
      </c>
      <c r="O674" s="7" t="str">
        <f ca="1">IF(Tabela3[[#This Row],[Data da compra]]&gt;0,(TODAY()-Tabela3[[#This Row],[Data da compra]])/365,"")</f>
        <v/>
      </c>
      <c r="P674" s="7" t="str">
        <f>IFERROR(VLOOKUP(Tabela3[[#This Row],[Categoria]],Cadastros!A:C,3,0),"")</f>
        <v/>
      </c>
      <c r="Q674" s="9" t="str">
        <f ca="1">IFERROR(Tabela3[[#This Row],[Vida útil]]-Tabela3[[#This Row],[Idade]],"")</f>
        <v/>
      </c>
      <c r="R674" s="8" t="str">
        <f ca="1">IFERROR(Tabela3[[#This Row],[Valor]]-(Tabela3[[#This Row],[Valor]]*(Tabela3[[#This Row],[Idade]]*VLOOKUP(Tabela3[[#This Row],[Categoria]],Cadastros!A:B,2,0))),"")</f>
        <v/>
      </c>
    </row>
    <row r="675" spans="4:18" x14ac:dyDescent="0.25">
      <c r="D675" s="5"/>
      <c r="N675" s="6" t="str">
        <f>IFERROR(Tabela3[[#This Row],[Última revisão do bem]]+(VLOOKUP(Tabela3[[#This Row],[Categoria]],Cadastros!A:D,4,0)+365),"")</f>
        <v/>
      </c>
      <c r="O675" s="7" t="str">
        <f ca="1">IF(Tabela3[[#This Row],[Data da compra]]&gt;0,(TODAY()-Tabela3[[#This Row],[Data da compra]])/365,"")</f>
        <v/>
      </c>
      <c r="P675" s="7" t="str">
        <f>IFERROR(VLOOKUP(Tabela3[[#This Row],[Categoria]],Cadastros!A:C,3,0),"")</f>
        <v/>
      </c>
      <c r="Q675" s="9" t="str">
        <f ca="1">IFERROR(Tabela3[[#This Row],[Vida útil]]-Tabela3[[#This Row],[Idade]],"")</f>
        <v/>
      </c>
      <c r="R675" s="8" t="str">
        <f ca="1">IFERROR(Tabela3[[#This Row],[Valor]]-(Tabela3[[#This Row],[Valor]]*(Tabela3[[#This Row],[Idade]]*VLOOKUP(Tabela3[[#This Row],[Categoria]],Cadastros!A:B,2,0))),"")</f>
        <v/>
      </c>
    </row>
    <row r="676" spans="4:18" x14ac:dyDescent="0.25">
      <c r="D676" s="5"/>
      <c r="N676" s="6" t="str">
        <f>IFERROR(Tabela3[[#This Row],[Última revisão do bem]]+(VLOOKUP(Tabela3[[#This Row],[Categoria]],Cadastros!A:D,4,0)+365),"")</f>
        <v/>
      </c>
      <c r="O676" s="7" t="str">
        <f ca="1">IF(Tabela3[[#This Row],[Data da compra]]&gt;0,(TODAY()-Tabela3[[#This Row],[Data da compra]])/365,"")</f>
        <v/>
      </c>
      <c r="P676" s="7" t="str">
        <f>IFERROR(VLOOKUP(Tabela3[[#This Row],[Categoria]],Cadastros!A:C,3,0),"")</f>
        <v/>
      </c>
      <c r="Q676" s="9" t="str">
        <f ca="1">IFERROR(Tabela3[[#This Row],[Vida útil]]-Tabela3[[#This Row],[Idade]],"")</f>
        <v/>
      </c>
      <c r="R676" s="8" t="str">
        <f ca="1">IFERROR(Tabela3[[#This Row],[Valor]]-(Tabela3[[#This Row],[Valor]]*(Tabela3[[#This Row],[Idade]]*VLOOKUP(Tabela3[[#This Row],[Categoria]],Cadastros!A:B,2,0))),"")</f>
        <v/>
      </c>
    </row>
    <row r="677" spans="4:18" x14ac:dyDescent="0.25">
      <c r="D677" s="5"/>
      <c r="N677" s="6" t="str">
        <f>IFERROR(Tabela3[[#This Row],[Última revisão do bem]]+(VLOOKUP(Tabela3[[#This Row],[Categoria]],Cadastros!A:D,4,0)+365),"")</f>
        <v/>
      </c>
      <c r="O677" s="7" t="str">
        <f ca="1">IF(Tabela3[[#This Row],[Data da compra]]&gt;0,(TODAY()-Tabela3[[#This Row],[Data da compra]])/365,"")</f>
        <v/>
      </c>
      <c r="P677" s="7" t="str">
        <f>IFERROR(VLOOKUP(Tabela3[[#This Row],[Categoria]],Cadastros!A:C,3,0),"")</f>
        <v/>
      </c>
      <c r="Q677" s="9" t="str">
        <f ca="1">IFERROR(Tabela3[[#This Row],[Vida útil]]-Tabela3[[#This Row],[Idade]],"")</f>
        <v/>
      </c>
      <c r="R677" s="8" t="str">
        <f ca="1">IFERROR(Tabela3[[#This Row],[Valor]]-(Tabela3[[#This Row],[Valor]]*(Tabela3[[#This Row],[Idade]]*VLOOKUP(Tabela3[[#This Row],[Categoria]],Cadastros!A:B,2,0))),"")</f>
        <v/>
      </c>
    </row>
    <row r="678" spans="4:18" x14ac:dyDescent="0.25">
      <c r="D678" s="5"/>
      <c r="N678" s="6" t="str">
        <f>IFERROR(Tabela3[[#This Row],[Última revisão do bem]]+(VLOOKUP(Tabela3[[#This Row],[Categoria]],Cadastros!A:D,4,0)+365),"")</f>
        <v/>
      </c>
      <c r="O678" s="7" t="str">
        <f ca="1">IF(Tabela3[[#This Row],[Data da compra]]&gt;0,(TODAY()-Tabela3[[#This Row],[Data da compra]])/365,"")</f>
        <v/>
      </c>
      <c r="P678" s="7" t="str">
        <f>IFERROR(VLOOKUP(Tabela3[[#This Row],[Categoria]],Cadastros!A:C,3,0),"")</f>
        <v/>
      </c>
      <c r="Q678" s="9" t="str">
        <f ca="1">IFERROR(Tabela3[[#This Row],[Vida útil]]-Tabela3[[#This Row],[Idade]],"")</f>
        <v/>
      </c>
      <c r="R678" s="8" t="str">
        <f ca="1">IFERROR(Tabela3[[#This Row],[Valor]]-(Tabela3[[#This Row],[Valor]]*(Tabela3[[#This Row],[Idade]]*VLOOKUP(Tabela3[[#This Row],[Categoria]],Cadastros!A:B,2,0))),"")</f>
        <v/>
      </c>
    </row>
    <row r="679" spans="4:18" x14ac:dyDescent="0.25">
      <c r="D679" s="5"/>
      <c r="N679" s="6" t="str">
        <f>IFERROR(Tabela3[[#This Row],[Última revisão do bem]]+(VLOOKUP(Tabela3[[#This Row],[Categoria]],Cadastros!A:D,4,0)+365),"")</f>
        <v/>
      </c>
      <c r="O679" s="7" t="str">
        <f ca="1">IF(Tabela3[[#This Row],[Data da compra]]&gt;0,(TODAY()-Tabela3[[#This Row],[Data da compra]])/365,"")</f>
        <v/>
      </c>
      <c r="P679" s="7" t="str">
        <f>IFERROR(VLOOKUP(Tabela3[[#This Row],[Categoria]],Cadastros!A:C,3,0),"")</f>
        <v/>
      </c>
      <c r="Q679" s="9" t="str">
        <f ca="1">IFERROR(Tabela3[[#This Row],[Vida útil]]-Tabela3[[#This Row],[Idade]],"")</f>
        <v/>
      </c>
      <c r="R679" s="8" t="str">
        <f ca="1">IFERROR(Tabela3[[#This Row],[Valor]]-(Tabela3[[#This Row],[Valor]]*(Tabela3[[#This Row],[Idade]]*VLOOKUP(Tabela3[[#This Row],[Categoria]],Cadastros!A:B,2,0))),"")</f>
        <v/>
      </c>
    </row>
    <row r="680" spans="4:18" x14ac:dyDescent="0.25">
      <c r="D680" s="5"/>
      <c r="N680" s="6" t="str">
        <f>IFERROR(Tabela3[[#This Row],[Última revisão do bem]]+(VLOOKUP(Tabela3[[#This Row],[Categoria]],Cadastros!A:D,4,0)+365),"")</f>
        <v/>
      </c>
      <c r="O680" s="7" t="str">
        <f ca="1">IF(Tabela3[[#This Row],[Data da compra]]&gt;0,(TODAY()-Tabela3[[#This Row],[Data da compra]])/365,"")</f>
        <v/>
      </c>
      <c r="P680" s="7" t="str">
        <f>IFERROR(VLOOKUP(Tabela3[[#This Row],[Categoria]],Cadastros!A:C,3,0),"")</f>
        <v/>
      </c>
      <c r="Q680" s="9" t="str">
        <f ca="1">IFERROR(Tabela3[[#This Row],[Vida útil]]-Tabela3[[#This Row],[Idade]],"")</f>
        <v/>
      </c>
      <c r="R680" s="8" t="str">
        <f ca="1">IFERROR(Tabela3[[#This Row],[Valor]]-(Tabela3[[#This Row],[Valor]]*(Tabela3[[#This Row],[Idade]]*VLOOKUP(Tabela3[[#This Row],[Categoria]],Cadastros!A:B,2,0))),"")</f>
        <v/>
      </c>
    </row>
    <row r="681" spans="4:18" x14ac:dyDescent="0.25">
      <c r="D681" s="5"/>
      <c r="N681" s="6" t="str">
        <f>IFERROR(Tabela3[[#This Row],[Última revisão do bem]]+(VLOOKUP(Tabela3[[#This Row],[Categoria]],Cadastros!A:D,4,0)+365),"")</f>
        <v/>
      </c>
      <c r="O681" s="7" t="str">
        <f ca="1">IF(Tabela3[[#This Row],[Data da compra]]&gt;0,(TODAY()-Tabela3[[#This Row],[Data da compra]])/365,"")</f>
        <v/>
      </c>
      <c r="P681" s="7" t="str">
        <f>IFERROR(VLOOKUP(Tabela3[[#This Row],[Categoria]],Cadastros!A:C,3,0),"")</f>
        <v/>
      </c>
      <c r="Q681" s="9" t="str">
        <f ca="1">IFERROR(Tabela3[[#This Row],[Vida útil]]-Tabela3[[#This Row],[Idade]],"")</f>
        <v/>
      </c>
      <c r="R681" s="8" t="str">
        <f ca="1">IFERROR(Tabela3[[#This Row],[Valor]]-(Tabela3[[#This Row],[Valor]]*(Tabela3[[#This Row],[Idade]]*VLOOKUP(Tabela3[[#This Row],[Categoria]],Cadastros!A:B,2,0))),"")</f>
        <v/>
      </c>
    </row>
    <row r="682" spans="4:18" x14ac:dyDescent="0.25">
      <c r="D682" s="5"/>
      <c r="N682" s="6" t="str">
        <f>IFERROR(Tabela3[[#This Row],[Última revisão do bem]]+(VLOOKUP(Tabela3[[#This Row],[Categoria]],Cadastros!A:D,4,0)+365),"")</f>
        <v/>
      </c>
      <c r="O682" s="7" t="str">
        <f ca="1">IF(Tabela3[[#This Row],[Data da compra]]&gt;0,(TODAY()-Tabela3[[#This Row],[Data da compra]])/365,"")</f>
        <v/>
      </c>
      <c r="P682" s="7" t="str">
        <f>IFERROR(VLOOKUP(Tabela3[[#This Row],[Categoria]],Cadastros!A:C,3,0),"")</f>
        <v/>
      </c>
      <c r="Q682" s="9" t="str">
        <f ca="1">IFERROR(Tabela3[[#This Row],[Vida útil]]-Tabela3[[#This Row],[Idade]],"")</f>
        <v/>
      </c>
      <c r="R682" s="8" t="str">
        <f ca="1">IFERROR(Tabela3[[#This Row],[Valor]]-(Tabela3[[#This Row],[Valor]]*(Tabela3[[#This Row],[Idade]]*VLOOKUP(Tabela3[[#This Row],[Categoria]],Cadastros!A:B,2,0))),"")</f>
        <v/>
      </c>
    </row>
    <row r="683" spans="4:18" x14ac:dyDescent="0.25">
      <c r="D683" s="5"/>
      <c r="N683" s="6" t="str">
        <f>IFERROR(Tabela3[[#This Row],[Última revisão do bem]]+(VLOOKUP(Tabela3[[#This Row],[Categoria]],Cadastros!A:D,4,0)+365),"")</f>
        <v/>
      </c>
      <c r="O683" s="7" t="str">
        <f ca="1">IF(Tabela3[[#This Row],[Data da compra]]&gt;0,(TODAY()-Tabela3[[#This Row],[Data da compra]])/365,"")</f>
        <v/>
      </c>
      <c r="P683" s="7" t="str">
        <f>IFERROR(VLOOKUP(Tabela3[[#This Row],[Categoria]],Cadastros!A:C,3,0),"")</f>
        <v/>
      </c>
      <c r="Q683" s="9" t="str">
        <f ca="1">IFERROR(Tabela3[[#This Row],[Vida útil]]-Tabela3[[#This Row],[Idade]],"")</f>
        <v/>
      </c>
      <c r="R683" s="8" t="str">
        <f ca="1">IFERROR(Tabela3[[#This Row],[Valor]]-(Tabela3[[#This Row],[Valor]]*(Tabela3[[#This Row],[Idade]]*VLOOKUP(Tabela3[[#This Row],[Categoria]],Cadastros!A:B,2,0))),"")</f>
        <v/>
      </c>
    </row>
    <row r="684" spans="4:18" x14ac:dyDescent="0.25">
      <c r="D684" s="5"/>
      <c r="N684" s="6" t="str">
        <f>IFERROR(Tabela3[[#This Row],[Última revisão do bem]]+(VLOOKUP(Tabela3[[#This Row],[Categoria]],Cadastros!A:D,4,0)+365),"")</f>
        <v/>
      </c>
      <c r="O684" s="7" t="str">
        <f ca="1">IF(Tabela3[[#This Row],[Data da compra]]&gt;0,(TODAY()-Tabela3[[#This Row],[Data da compra]])/365,"")</f>
        <v/>
      </c>
      <c r="P684" s="7" t="str">
        <f>IFERROR(VLOOKUP(Tabela3[[#This Row],[Categoria]],Cadastros!A:C,3,0),"")</f>
        <v/>
      </c>
      <c r="Q684" s="9" t="str">
        <f ca="1">IFERROR(Tabela3[[#This Row],[Vida útil]]-Tabela3[[#This Row],[Idade]],"")</f>
        <v/>
      </c>
      <c r="R684" s="8" t="str">
        <f ca="1">IFERROR(Tabela3[[#This Row],[Valor]]-(Tabela3[[#This Row],[Valor]]*(Tabela3[[#This Row],[Idade]]*VLOOKUP(Tabela3[[#This Row],[Categoria]],Cadastros!A:B,2,0))),"")</f>
        <v/>
      </c>
    </row>
    <row r="685" spans="4:18" x14ac:dyDescent="0.25">
      <c r="D685" s="5"/>
      <c r="N685" s="6" t="str">
        <f>IFERROR(Tabela3[[#This Row],[Última revisão do bem]]+(VLOOKUP(Tabela3[[#This Row],[Categoria]],Cadastros!A:D,4,0)+365),"")</f>
        <v/>
      </c>
      <c r="O685" s="7" t="str">
        <f ca="1">IF(Tabela3[[#This Row],[Data da compra]]&gt;0,(TODAY()-Tabela3[[#This Row],[Data da compra]])/365,"")</f>
        <v/>
      </c>
      <c r="P685" s="7" t="str">
        <f>IFERROR(VLOOKUP(Tabela3[[#This Row],[Categoria]],Cadastros!A:C,3,0),"")</f>
        <v/>
      </c>
      <c r="Q685" s="9" t="str">
        <f ca="1">IFERROR(Tabela3[[#This Row],[Vida útil]]-Tabela3[[#This Row],[Idade]],"")</f>
        <v/>
      </c>
      <c r="R685" s="8" t="str">
        <f ca="1">IFERROR(Tabela3[[#This Row],[Valor]]-(Tabela3[[#This Row],[Valor]]*(Tabela3[[#This Row],[Idade]]*VLOOKUP(Tabela3[[#This Row],[Categoria]],Cadastros!A:B,2,0))),"")</f>
        <v/>
      </c>
    </row>
    <row r="686" spans="4:18" x14ac:dyDescent="0.25">
      <c r="D686" s="5"/>
      <c r="N686" s="6" t="str">
        <f>IFERROR(Tabela3[[#This Row],[Última revisão do bem]]+(VLOOKUP(Tabela3[[#This Row],[Categoria]],Cadastros!A:D,4,0)+365),"")</f>
        <v/>
      </c>
      <c r="O686" s="7" t="str">
        <f ca="1">IF(Tabela3[[#This Row],[Data da compra]]&gt;0,(TODAY()-Tabela3[[#This Row],[Data da compra]])/365,"")</f>
        <v/>
      </c>
      <c r="P686" s="7" t="str">
        <f>IFERROR(VLOOKUP(Tabela3[[#This Row],[Categoria]],Cadastros!A:C,3,0),"")</f>
        <v/>
      </c>
      <c r="Q686" s="9" t="str">
        <f ca="1">IFERROR(Tabela3[[#This Row],[Vida útil]]-Tabela3[[#This Row],[Idade]],"")</f>
        <v/>
      </c>
      <c r="R686" s="8" t="str">
        <f ca="1">IFERROR(Tabela3[[#This Row],[Valor]]-(Tabela3[[#This Row],[Valor]]*(Tabela3[[#This Row],[Idade]]*VLOOKUP(Tabela3[[#This Row],[Categoria]],Cadastros!A:B,2,0))),"")</f>
        <v/>
      </c>
    </row>
    <row r="687" spans="4:18" x14ac:dyDescent="0.25">
      <c r="D687" s="5"/>
      <c r="N687" s="6" t="str">
        <f>IFERROR(Tabela3[[#This Row],[Última revisão do bem]]+(VLOOKUP(Tabela3[[#This Row],[Categoria]],Cadastros!A:D,4,0)+365),"")</f>
        <v/>
      </c>
      <c r="O687" s="7" t="str">
        <f ca="1">IF(Tabela3[[#This Row],[Data da compra]]&gt;0,(TODAY()-Tabela3[[#This Row],[Data da compra]])/365,"")</f>
        <v/>
      </c>
      <c r="P687" s="7" t="str">
        <f>IFERROR(VLOOKUP(Tabela3[[#This Row],[Categoria]],Cadastros!A:C,3,0),"")</f>
        <v/>
      </c>
      <c r="Q687" s="9" t="str">
        <f ca="1">IFERROR(Tabela3[[#This Row],[Vida útil]]-Tabela3[[#This Row],[Idade]],"")</f>
        <v/>
      </c>
      <c r="R687" s="8" t="str">
        <f ca="1">IFERROR(Tabela3[[#This Row],[Valor]]-(Tabela3[[#This Row],[Valor]]*(Tabela3[[#This Row],[Idade]]*VLOOKUP(Tabela3[[#This Row],[Categoria]],Cadastros!A:B,2,0))),"")</f>
        <v/>
      </c>
    </row>
    <row r="688" spans="4:18" x14ac:dyDescent="0.25">
      <c r="D688" s="5"/>
      <c r="N688" s="6" t="str">
        <f>IFERROR(Tabela3[[#This Row],[Última revisão do bem]]+(VLOOKUP(Tabela3[[#This Row],[Categoria]],Cadastros!A:D,4,0)+365),"")</f>
        <v/>
      </c>
      <c r="O688" s="7" t="str">
        <f ca="1">IF(Tabela3[[#This Row],[Data da compra]]&gt;0,(TODAY()-Tabela3[[#This Row],[Data da compra]])/365,"")</f>
        <v/>
      </c>
      <c r="P688" s="7" t="str">
        <f>IFERROR(VLOOKUP(Tabela3[[#This Row],[Categoria]],Cadastros!A:C,3,0),"")</f>
        <v/>
      </c>
      <c r="Q688" s="9" t="str">
        <f ca="1">IFERROR(Tabela3[[#This Row],[Vida útil]]-Tabela3[[#This Row],[Idade]],"")</f>
        <v/>
      </c>
      <c r="R688" s="8" t="str">
        <f ca="1">IFERROR(Tabela3[[#This Row],[Valor]]-(Tabela3[[#This Row],[Valor]]*(Tabela3[[#This Row],[Idade]]*VLOOKUP(Tabela3[[#This Row],[Categoria]],Cadastros!A:B,2,0))),"")</f>
        <v/>
      </c>
    </row>
    <row r="689" spans="4:18" x14ac:dyDescent="0.25">
      <c r="D689" s="5"/>
      <c r="N689" s="6" t="str">
        <f>IFERROR(Tabela3[[#This Row],[Última revisão do bem]]+(VLOOKUP(Tabela3[[#This Row],[Categoria]],Cadastros!A:D,4,0)+365),"")</f>
        <v/>
      </c>
      <c r="O689" s="7" t="str">
        <f ca="1">IF(Tabela3[[#This Row],[Data da compra]]&gt;0,(TODAY()-Tabela3[[#This Row],[Data da compra]])/365,"")</f>
        <v/>
      </c>
      <c r="P689" s="7" t="str">
        <f>IFERROR(VLOOKUP(Tabela3[[#This Row],[Categoria]],Cadastros!A:C,3,0),"")</f>
        <v/>
      </c>
      <c r="Q689" s="9" t="str">
        <f ca="1">IFERROR(Tabela3[[#This Row],[Vida útil]]-Tabela3[[#This Row],[Idade]],"")</f>
        <v/>
      </c>
      <c r="R689" s="8" t="str">
        <f ca="1">IFERROR(Tabela3[[#This Row],[Valor]]-(Tabela3[[#This Row],[Valor]]*(Tabela3[[#This Row],[Idade]]*VLOOKUP(Tabela3[[#This Row],[Categoria]],Cadastros!A:B,2,0))),"")</f>
        <v/>
      </c>
    </row>
    <row r="690" spans="4:18" x14ac:dyDescent="0.25">
      <c r="D690" s="22"/>
      <c r="N690" s="6" t="str">
        <f>IFERROR(Tabela3[[#This Row],[Última revisão do bem]]+(VLOOKUP(Tabela3[[#This Row],[Categoria]],Cadastros!A:D,4,0)+365),"")</f>
        <v/>
      </c>
      <c r="O690" s="7" t="str">
        <f ca="1">IF(Tabela3[[#This Row],[Data da compra]]&gt;0,(TODAY()-Tabela3[[#This Row],[Data da compra]])/365,"")</f>
        <v/>
      </c>
      <c r="P690" s="7" t="str">
        <f>IFERROR(VLOOKUP(Tabela3[[#This Row],[Categoria]],Cadastros!A:C,3,0),"")</f>
        <v/>
      </c>
      <c r="Q690" s="9" t="str">
        <f ca="1">IFERROR(Tabela3[[#This Row],[Vida útil]]-Tabela3[[#This Row],[Idade]],"")</f>
        <v/>
      </c>
      <c r="R690" s="23" t="str">
        <f ca="1">IFERROR(Tabela3[[#This Row],[Valor]]-(Tabela3[[#This Row],[Valor]]*(Tabela3[[#This Row],[Idade]]*VLOOKUP(Tabela3[[#This Row],[Categoria]],Cadastros!A:B,2,0))),"")</f>
        <v/>
      </c>
    </row>
    <row r="691" spans="4:18" x14ac:dyDescent="0.25">
      <c r="D691" s="5"/>
      <c r="N691" s="6" t="str">
        <f>IFERROR(Tabela3[[#This Row],[Última revisão do bem]]+(VLOOKUP(Tabela3[[#This Row],[Categoria]],Cadastros!A:D,4,0)+365),"")</f>
        <v/>
      </c>
      <c r="O691" s="7" t="str">
        <f ca="1">IF(Tabela3[[#This Row],[Data da compra]]&gt;0,(TODAY()-Tabela3[[#This Row],[Data da compra]])/365,"")</f>
        <v/>
      </c>
      <c r="P691" s="7" t="str">
        <f>IFERROR(VLOOKUP(Tabela3[[#This Row],[Categoria]],Cadastros!A:C,3,0),"")</f>
        <v/>
      </c>
      <c r="Q691" s="9" t="str">
        <f ca="1">IFERROR(Tabela3[[#This Row],[Vida útil]]-Tabela3[[#This Row],[Idade]],"")</f>
        <v/>
      </c>
      <c r="R691" s="8" t="str">
        <f ca="1">IFERROR(Tabela3[[#This Row],[Valor]]-(Tabela3[[#This Row],[Valor]]*(Tabela3[[#This Row],[Idade]]*VLOOKUP(Tabela3[[#This Row],[Categoria]],Cadastros!A:B,2,0))),"")</f>
        <v/>
      </c>
    </row>
    <row r="692" spans="4:18" x14ac:dyDescent="0.25">
      <c r="D692" s="5"/>
      <c r="N692" s="6" t="str">
        <f>IFERROR(Tabela3[[#This Row],[Última revisão do bem]]+(VLOOKUP(Tabela3[[#This Row],[Categoria]],Cadastros!A:D,4,0)+365),"")</f>
        <v/>
      </c>
      <c r="O692" s="7" t="str">
        <f ca="1">IF(Tabela3[[#This Row],[Data da compra]]&gt;0,(TODAY()-Tabela3[[#This Row],[Data da compra]])/365,"")</f>
        <v/>
      </c>
      <c r="P692" s="7" t="str">
        <f>IFERROR(VLOOKUP(Tabela3[[#This Row],[Categoria]],Cadastros!A:C,3,0),"")</f>
        <v/>
      </c>
      <c r="Q692" s="9" t="str">
        <f ca="1">IFERROR(Tabela3[[#This Row],[Vida útil]]-Tabela3[[#This Row],[Idade]],"")</f>
        <v/>
      </c>
      <c r="R692" s="8" t="str">
        <f ca="1">IFERROR(Tabela3[[#This Row],[Valor]]-(Tabela3[[#This Row],[Valor]]*(Tabela3[[#This Row],[Idade]]*VLOOKUP(Tabela3[[#This Row],[Categoria]],Cadastros!A:B,2,0))),"")</f>
        <v/>
      </c>
    </row>
    <row r="693" spans="4:18" x14ac:dyDescent="0.25">
      <c r="D693" s="5"/>
      <c r="N693" s="6" t="str">
        <f>IFERROR(Tabela3[[#This Row],[Última revisão do bem]]+(VLOOKUP(Tabela3[[#This Row],[Categoria]],Cadastros!A:D,4,0)+365),"")</f>
        <v/>
      </c>
      <c r="O693" s="7" t="str">
        <f ca="1">IF(Tabela3[[#This Row],[Data da compra]]&gt;0,(TODAY()-Tabela3[[#This Row],[Data da compra]])/365,"")</f>
        <v/>
      </c>
      <c r="P693" s="7" t="str">
        <f>IFERROR(VLOOKUP(Tabela3[[#This Row],[Categoria]],Cadastros!A:C,3,0),"")</f>
        <v/>
      </c>
      <c r="Q693" s="9" t="str">
        <f ca="1">IFERROR(Tabela3[[#This Row],[Vida útil]]-Tabela3[[#This Row],[Idade]],"")</f>
        <v/>
      </c>
      <c r="R693" s="8" t="str">
        <f ca="1">IFERROR(Tabela3[[#This Row],[Valor]]-(Tabela3[[#This Row],[Valor]]*(Tabela3[[#This Row],[Idade]]*VLOOKUP(Tabela3[[#This Row],[Categoria]],Cadastros!A:B,2,0))),"")</f>
        <v/>
      </c>
    </row>
    <row r="694" spans="4:18" x14ac:dyDescent="0.25">
      <c r="D694" s="5"/>
      <c r="N694" s="6" t="str">
        <f>IFERROR(Tabela3[[#This Row],[Última revisão do bem]]+(VLOOKUP(Tabela3[[#This Row],[Categoria]],Cadastros!A:D,4,0)+365),"")</f>
        <v/>
      </c>
      <c r="O694" s="7" t="str">
        <f ca="1">IF(Tabela3[[#This Row],[Data da compra]]&gt;0,(TODAY()-Tabela3[[#This Row],[Data da compra]])/365,"")</f>
        <v/>
      </c>
      <c r="P694" s="7" t="str">
        <f>IFERROR(VLOOKUP(Tabela3[[#This Row],[Categoria]],Cadastros!A:C,3,0),"")</f>
        <v/>
      </c>
      <c r="Q694" s="9" t="str">
        <f ca="1">IFERROR(Tabela3[[#This Row],[Vida útil]]-Tabela3[[#This Row],[Idade]],"")</f>
        <v/>
      </c>
      <c r="R694" s="8" t="str">
        <f ca="1">IFERROR(Tabela3[[#This Row],[Valor]]-(Tabela3[[#This Row],[Valor]]*(Tabela3[[#This Row],[Idade]]*VLOOKUP(Tabela3[[#This Row],[Categoria]],Cadastros!A:B,2,0))),"")</f>
        <v/>
      </c>
    </row>
    <row r="695" spans="4:18" x14ac:dyDescent="0.25">
      <c r="D695" s="5"/>
      <c r="N695" s="6" t="str">
        <f>IFERROR(Tabela3[[#This Row],[Última revisão do bem]]+(VLOOKUP(Tabela3[[#This Row],[Categoria]],Cadastros!A:D,4,0)+365),"")</f>
        <v/>
      </c>
      <c r="O695" s="7" t="str">
        <f ca="1">IF(Tabela3[[#This Row],[Data da compra]]&gt;0,(TODAY()-Tabela3[[#This Row],[Data da compra]])/365,"")</f>
        <v/>
      </c>
      <c r="P695" s="7" t="str">
        <f>IFERROR(VLOOKUP(Tabela3[[#This Row],[Categoria]],Cadastros!A:C,3,0),"")</f>
        <v/>
      </c>
      <c r="Q695" s="9" t="str">
        <f ca="1">IFERROR(Tabela3[[#This Row],[Vida útil]]-Tabela3[[#This Row],[Idade]],"")</f>
        <v/>
      </c>
      <c r="R695" s="8" t="str">
        <f ca="1">IFERROR(Tabela3[[#This Row],[Valor]]-(Tabela3[[#This Row],[Valor]]*(Tabela3[[#This Row],[Idade]]*VLOOKUP(Tabela3[[#This Row],[Categoria]],Cadastros!A:B,2,0))),"")</f>
        <v/>
      </c>
    </row>
    <row r="696" spans="4:18" x14ac:dyDescent="0.25">
      <c r="D696" s="5"/>
      <c r="N696" s="6" t="str">
        <f>IFERROR(Tabela3[[#This Row],[Última revisão do bem]]+(VLOOKUP(Tabela3[[#This Row],[Categoria]],Cadastros!A:D,4,0)+365),"")</f>
        <v/>
      </c>
      <c r="O696" s="7" t="str">
        <f ca="1">IF(Tabela3[[#This Row],[Data da compra]]&gt;0,(TODAY()-Tabela3[[#This Row],[Data da compra]])/365,"")</f>
        <v/>
      </c>
      <c r="P696" s="7" t="str">
        <f>IFERROR(VLOOKUP(Tabela3[[#This Row],[Categoria]],Cadastros!A:C,3,0),"")</f>
        <v/>
      </c>
      <c r="Q696" s="9" t="str">
        <f ca="1">IFERROR(Tabela3[[#This Row],[Vida útil]]-Tabela3[[#This Row],[Idade]],"")</f>
        <v/>
      </c>
      <c r="R696" s="8" t="str">
        <f ca="1">IFERROR(Tabela3[[#This Row],[Valor]]-(Tabela3[[#This Row],[Valor]]*(Tabela3[[#This Row],[Idade]]*VLOOKUP(Tabela3[[#This Row],[Categoria]],Cadastros!A:B,2,0))),"")</f>
        <v/>
      </c>
    </row>
    <row r="697" spans="4:18" x14ac:dyDescent="0.25">
      <c r="D697" s="5"/>
      <c r="N697" s="6" t="str">
        <f>IFERROR(Tabela3[[#This Row],[Última revisão do bem]]+(VLOOKUP(Tabela3[[#This Row],[Categoria]],Cadastros!A:D,4,0)+365),"")</f>
        <v/>
      </c>
      <c r="O697" s="7" t="str">
        <f ca="1">IF(Tabela3[[#This Row],[Data da compra]]&gt;0,(TODAY()-Tabela3[[#This Row],[Data da compra]])/365,"")</f>
        <v/>
      </c>
      <c r="P697" s="7" t="str">
        <f>IFERROR(VLOOKUP(Tabela3[[#This Row],[Categoria]],Cadastros!A:C,3,0),"")</f>
        <v/>
      </c>
      <c r="Q697" s="9" t="str">
        <f ca="1">IFERROR(Tabela3[[#This Row],[Vida útil]]-Tabela3[[#This Row],[Idade]],"")</f>
        <v/>
      </c>
      <c r="R697" s="8" t="str">
        <f ca="1">IFERROR(Tabela3[[#This Row],[Valor]]-(Tabela3[[#This Row],[Valor]]*(Tabela3[[#This Row],[Idade]]*VLOOKUP(Tabela3[[#This Row],[Categoria]],Cadastros!A:B,2,0))),"")</f>
        <v/>
      </c>
    </row>
    <row r="698" spans="4:18" x14ac:dyDescent="0.25">
      <c r="D698" s="5"/>
      <c r="N698" s="6" t="str">
        <f>IFERROR(Tabela3[[#This Row],[Última revisão do bem]]+(VLOOKUP(Tabela3[[#This Row],[Categoria]],Cadastros!A:D,4,0)+365),"")</f>
        <v/>
      </c>
      <c r="O698" s="7" t="str">
        <f ca="1">IF(Tabela3[[#This Row],[Data da compra]]&gt;0,(TODAY()-Tabela3[[#This Row],[Data da compra]])/365,"")</f>
        <v/>
      </c>
      <c r="P698" s="7" t="str">
        <f>IFERROR(VLOOKUP(Tabela3[[#This Row],[Categoria]],Cadastros!A:C,3,0),"")</f>
        <v/>
      </c>
      <c r="Q698" s="9" t="str">
        <f ca="1">IFERROR(Tabela3[[#This Row],[Vida útil]]-Tabela3[[#This Row],[Idade]],"")</f>
        <v/>
      </c>
      <c r="R698" s="8" t="str">
        <f ca="1">IFERROR(Tabela3[[#This Row],[Valor]]-(Tabela3[[#This Row],[Valor]]*(Tabela3[[#This Row],[Idade]]*VLOOKUP(Tabela3[[#This Row],[Categoria]],Cadastros!A:B,2,0))),"")</f>
        <v/>
      </c>
    </row>
    <row r="699" spans="4:18" x14ac:dyDescent="0.25">
      <c r="D699" s="5"/>
      <c r="N699" s="6" t="str">
        <f>IFERROR(Tabela3[[#This Row],[Última revisão do bem]]+(VLOOKUP(Tabela3[[#This Row],[Categoria]],Cadastros!A:D,4,0)+365),"")</f>
        <v/>
      </c>
      <c r="O699" s="7" t="str">
        <f ca="1">IF(Tabela3[[#This Row],[Data da compra]]&gt;0,(TODAY()-Tabela3[[#This Row],[Data da compra]])/365,"")</f>
        <v/>
      </c>
      <c r="P699" s="7" t="str">
        <f>IFERROR(VLOOKUP(Tabela3[[#This Row],[Categoria]],Cadastros!A:C,3,0),"")</f>
        <v/>
      </c>
      <c r="Q699" s="9" t="str">
        <f ca="1">IFERROR(Tabela3[[#This Row],[Vida útil]]-Tabela3[[#This Row],[Idade]],"")</f>
        <v/>
      </c>
      <c r="R699" s="8" t="str">
        <f ca="1">IFERROR(Tabela3[[#This Row],[Valor]]-(Tabela3[[#This Row],[Valor]]*(Tabela3[[#This Row],[Idade]]*VLOOKUP(Tabela3[[#This Row],[Categoria]],Cadastros!A:B,2,0))),"")</f>
        <v/>
      </c>
    </row>
    <row r="700" spans="4:18" x14ac:dyDescent="0.25">
      <c r="D700" s="5"/>
      <c r="N700" s="6" t="str">
        <f>IFERROR(Tabela3[[#This Row],[Última revisão do bem]]+(VLOOKUP(Tabela3[[#This Row],[Categoria]],Cadastros!A:D,4,0)+365),"")</f>
        <v/>
      </c>
      <c r="O700" s="7" t="str">
        <f ca="1">IF(Tabela3[[#This Row],[Data da compra]]&gt;0,(TODAY()-Tabela3[[#This Row],[Data da compra]])/365,"")</f>
        <v/>
      </c>
      <c r="P700" s="7" t="str">
        <f>IFERROR(VLOOKUP(Tabela3[[#This Row],[Categoria]],Cadastros!A:C,3,0),"")</f>
        <v/>
      </c>
      <c r="Q700" s="9" t="str">
        <f ca="1">IFERROR(Tabela3[[#This Row],[Vida útil]]-Tabela3[[#This Row],[Idade]],"")</f>
        <v/>
      </c>
      <c r="R700" s="8" t="str">
        <f ca="1">IFERROR(Tabela3[[#This Row],[Valor]]-(Tabela3[[#This Row],[Valor]]*(Tabela3[[#This Row],[Idade]]*VLOOKUP(Tabela3[[#This Row],[Categoria]],Cadastros!A:B,2,0))),"")</f>
        <v/>
      </c>
    </row>
    <row r="701" spans="4:18" x14ac:dyDescent="0.25">
      <c r="D701" s="5"/>
      <c r="N701" s="6" t="str">
        <f>IFERROR(Tabela3[[#This Row],[Última revisão do bem]]+(VLOOKUP(Tabela3[[#This Row],[Categoria]],Cadastros!A:D,4,0)+365),"")</f>
        <v/>
      </c>
      <c r="O701" s="7" t="str">
        <f ca="1">IF(Tabela3[[#This Row],[Data da compra]]&gt;0,(TODAY()-Tabela3[[#This Row],[Data da compra]])/365,"")</f>
        <v/>
      </c>
      <c r="P701" s="7" t="str">
        <f>IFERROR(VLOOKUP(Tabela3[[#This Row],[Categoria]],Cadastros!A:C,3,0),"")</f>
        <v/>
      </c>
      <c r="Q701" s="9" t="str">
        <f ca="1">IFERROR(Tabela3[[#This Row],[Vida útil]]-Tabela3[[#This Row],[Idade]],"")</f>
        <v/>
      </c>
      <c r="R701" s="8" t="str">
        <f ca="1">IFERROR(Tabela3[[#This Row],[Valor]]-(Tabela3[[#This Row],[Valor]]*(Tabela3[[#This Row],[Idade]]*VLOOKUP(Tabela3[[#This Row],[Categoria]],Cadastros!A:B,2,0))),"")</f>
        <v/>
      </c>
    </row>
    <row r="702" spans="4:18" x14ac:dyDescent="0.25">
      <c r="D702" s="5"/>
      <c r="N702" s="6" t="str">
        <f>IFERROR(Tabela3[[#This Row],[Última revisão do bem]]+(VLOOKUP(Tabela3[[#This Row],[Categoria]],Cadastros!A:D,4,0)+365),"")</f>
        <v/>
      </c>
      <c r="O702" s="7" t="str">
        <f ca="1">IF(Tabela3[[#This Row],[Data da compra]]&gt;0,(TODAY()-Tabela3[[#This Row],[Data da compra]])/365,"")</f>
        <v/>
      </c>
      <c r="P702" s="7" t="str">
        <f>IFERROR(VLOOKUP(Tabela3[[#This Row],[Categoria]],Cadastros!A:C,3,0),"")</f>
        <v/>
      </c>
      <c r="Q702" s="9" t="str">
        <f ca="1">IFERROR(Tabela3[[#This Row],[Vida útil]]-Tabela3[[#This Row],[Idade]],"")</f>
        <v/>
      </c>
      <c r="R702" s="8" t="str">
        <f ca="1">IFERROR(Tabela3[[#This Row],[Valor]]-(Tabela3[[#This Row],[Valor]]*(Tabela3[[#This Row],[Idade]]*VLOOKUP(Tabela3[[#This Row],[Categoria]],Cadastros!A:B,2,0))),"")</f>
        <v/>
      </c>
    </row>
    <row r="703" spans="4:18" x14ac:dyDescent="0.25">
      <c r="D703" s="5"/>
      <c r="N703" s="6" t="str">
        <f>IFERROR(Tabela3[[#This Row],[Última revisão do bem]]+(VLOOKUP(Tabela3[[#This Row],[Categoria]],Cadastros!A:D,4,0)+365),"")</f>
        <v/>
      </c>
      <c r="O703" s="7" t="str">
        <f ca="1">IF(Tabela3[[#This Row],[Data da compra]]&gt;0,(TODAY()-Tabela3[[#This Row],[Data da compra]])/365,"")</f>
        <v/>
      </c>
      <c r="P703" s="7" t="str">
        <f>IFERROR(VLOOKUP(Tabela3[[#This Row],[Categoria]],Cadastros!A:C,3,0),"")</f>
        <v/>
      </c>
      <c r="Q703" s="9" t="str">
        <f ca="1">IFERROR(Tabela3[[#This Row],[Vida útil]]-Tabela3[[#This Row],[Idade]],"")</f>
        <v/>
      </c>
      <c r="R703" s="8" t="str">
        <f ca="1">IFERROR(Tabela3[[#This Row],[Valor]]-(Tabela3[[#This Row],[Valor]]*(Tabela3[[#This Row],[Idade]]*VLOOKUP(Tabela3[[#This Row],[Categoria]],Cadastros!A:B,2,0))),"")</f>
        <v/>
      </c>
    </row>
    <row r="704" spans="4:18" x14ac:dyDescent="0.25">
      <c r="D704" s="5"/>
      <c r="N704" s="6" t="str">
        <f>IFERROR(Tabela3[[#This Row],[Última revisão do bem]]+(VLOOKUP(Tabela3[[#This Row],[Categoria]],Cadastros!A:D,4,0)+365),"")</f>
        <v/>
      </c>
      <c r="O704" s="7" t="str">
        <f ca="1">IF(Tabela3[[#This Row],[Data da compra]]&gt;0,(TODAY()-Tabela3[[#This Row],[Data da compra]])/365,"")</f>
        <v/>
      </c>
      <c r="P704" s="7" t="str">
        <f>IFERROR(VLOOKUP(Tabela3[[#This Row],[Categoria]],Cadastros!A:C,3,0),"")</f>
        <v/>
      </c>
      <c r="Q704" s="9" t="str">
        <f ca="1">IFERROR(Tabela3[[#This Row],[Vida útil]]-Tabela3[[#This Row],[Idade]],"")</f>
        <v/>
      </c>
      <c r="R704" s="8" t="str">
        <f ca="1">IFERROR(Tabela3[[#This Row],[Valor]]-(Tabela3[[#This Row],[Valor]]*(Tabela3[[#This Row],[Idade]]*VLOOKUP(Tabela3[[#This Row],[Categoria]],Cadastros!A:B,2,0))),"")</f>
        <v/>
      </c>
    </row>
    <row r="705" spans="4:18" x14ac:dyDescent="0.25">
      <c r="D705" s="5"/>
      <c r="N705" s="6" t="str">
        <f>IFERROR(Tabela3[[#This Row],[Última revisão do bem]]+(VLOOKUP(Tabela3[[#This Row],[Categoria]],Cadastros!A:D,4,0)+365),"")</f>
        <v/>
      </c>
      <c r="O705" s="7" t="str">
        <f ca="1">IF(Tabela3[[#This Row],[Data da compra]]&gt;0,(TODAY()-Tabela3[[#This Row],[Data da compra]])/365,"")</f>
        <v/>
      </c>
      <c r="P705" s="7" t="str">
        <f>IFERROR(VLOOKUP(Tabela3[[#This Row],[Categoria]],Cadastros!A:C,3,0),"")</f>
        <v/>
      </c>
      <c r="Q705" s="9" t="str">
        <f ca="1">IFERROR(Tabela3[[#This Row],[Vida útil]]-Tabela3[[#This Row],[Idade]],"")</f>
        <v/>
      </c>
      <c r="R705" s="8" t="str">
        <f ca="1">IFERROR(Tabela3[[#This Row],[Valor]]-(Tabela3[[#This Row],[Valor]]*(Tabela3[[#This Row],[Idade]]*VLOOKUP(Tabela3[[#This Row],[Categoria]],Cadastros!A:B,2,0))),"")</f>
        <v/>
      </c>
    </row>
    <row r="706" spans="4:18" x14ac:dyDescent="0.25">
      <c r="D706" s="5"/>
      <c r="N706" s="6" t="str">
        <f>IFERROR(Tabela3[[#This Row],[Última revisão do bem]]+(VLOOKUP(Tabela3[[#This Row],[Categoria]],Cadastros!A:D,4,0)+365),"")</f>
        <v/>
      </c>
      <c r="O706" s="7" t="str">
        <f ca="1">IF(Tabela3[[#This Row],[Data da compra]]&gt;0,(TODAY()-Tabela3[[#This Row],[Data da compra]])/365,"")</f>
        <v/>
      </c>
      <c r="P706" s="7" t="str">
        <f>IFERROR(VLOOKUP(Tabela3[[#This Row],[Categoria]],Cadastros!A:C,3,0),"")</f>
        <v/>
      </c>
      <c r="Q706" s="9" t="str">
        <f ca="1">IFERROR(Tabela3[[#This Row],[Vida útil]]-Tabela3[[#This Row],[Idade]],"")</f>
        <v/>
      </c>
      <c r="R706" s="8" t="str">
        <f ca="1">IFERROR(Tabela3[[#This Row],[Valor]]-(Tabela3[[#This Row],[Valor]]*(Tabela3[[#This Row],[Idade]]*VLOOKUP(Tabela3[[#This Row],[Categoria]],Cadastros!A:B,2,0))),"")</f>
        <v/>
      </c>
    </row>
    <row r="707" spans="4:18" x14ac:dyDescent="0.25">
      <c r="D707" s="5"/>
      <c r="N707" s="6" t="str">
        <f>IFERROR(Tabela3[[#This Row],[Última revisão do bem]]+(VLOOKUP(Tabela3[[#This Row],[Categoria]],Cadastros!A:D,4,0)+365),"")</f>
        <v/>
      </c>
      <c r="O707" s="7" t="str">
        <f ca="1">IF(Tabela3[[#This Row],[Data da compra]]&gt;0,(TODAY()-Tabela3[[#This Row],[Data da compra]])/365,"")</f>
        <v/>
      </c>
      <c r="P707" s="7" t="str">
        <f>IFERROR(VLOOKUP(Tabela3[[#This Row],[Categoria]],Cadastros!A:C,3,0),"")</f>
        <v/>
      </c>
      <c r="Q707" s="9" t="str">
        <f ca="1">IFERROR(Tabela3[[#This Row],[Vida útil]]-Tabela3[[#This Row],[Idade]],"")</f>
        <v/>
      </c>
      <c r="R707" s="8" t="str">
        <f ca="1">IFERROR(Tabela3[[#This Row],[Valor]]-(Tabela3[[#This Row],[Valor]]*(Tabela3[[#This Row],[Idade]]*VLOOKUP(Tabela3[[#This Row],[Categoria]],Cadastros!A:B,2,0))),"")</f>
        <v/>
      </c>
    </row>
    <row r="708" spans="4:18" x14ac:dyDescent="0.25">
      <c r="D708" s="22"/>
      <c r="N708" s="6" t="str">
        <f>IFERROR(Tabela3[[#This Row],[Última revisão do bem]]+(VLOOKUP(Tabela3[[#This Row],[Categoria]],Cadastros!A:D,4,0)+365),"")</f>
        <v/>
      </c>
      <c r="O708" s="7" t="str">
        <f ca="1">IF(Tabela3[[#This Row],[Data da compra]]&gt;0,(TODAY()-Tabela3[[#This Row],[Data da compra]])/365,"")</f>
        <v/>
      </c>
      <c r="P708" s="7" t="str">
        <f>IFERROR(VLOOKUP(Tabela3[[#This Row],[Categoria]],Cadastros!A:C,3,0),"")</f>
        <v/>
      </c>
      <c r="Q708" s="9" t="str">
        <f ca="1">IFERROR(Tabela3[[#This Row],[Vida útil]]-Tabela3[[#This Row],[Idade]],"")</f>
        <v/>
      </c>
      <c r="R708" s="23" t="str">
        <f ca="1">IFERROR(Tabela3[[#This Row],[Valor]]-(Tabela3[[#This Row],[Valor]]*(Tabela3[[#This Row],[Idade]]*VLOOKUP(Tabela3[[#This Row],[Categoria]],Cadastros!A:B,2,0))),"")</f>
        <v/>
      </c>
    </row>
    <row r="709" spans="4:18" x14ac:dyDescent="0.25">
      <c r="D709" s="5"/>
      <c r="N709" s="6" t="str">
        <f>IFERROR(Tabela3[[#This Row],[Última revisão do bem]]+(VLOOKUP(Tabela3[[#This Row],[Categoria]],Cadastros!A:D,4,0)+365),"")</f>
        <v/>
      </c>
      <c r="O709" s="7" t="str">
        <f ca="1">IF(Tabela3[[#This Row],[Data da compra]]&gt;0,(TODAY()-Tabela3[[#This Row],[Data da compra]])/365,"")</f>
        <v/>
      </c>
      <c r="P709" s="7" t="str">
        <f>IFERROR(VLOOKUP(Tabela3[[#This Row],[Categoria]],Cadastros!A:C,3,0),"")</f>
        <v/>
      </c>
      <c r="Q709" s="9" t="str">
        <f ca="1">IFERROR(Tabela3[[#This Row],[Vida útil]]-Tabela3[[#This Row],[Idade]],"")</f>
        <v/>
      </c>
      <c r="R709" s="8" t="str">
        <f ca="1">IFERROR(Tabela3[[#This Row],[Valor]]-(Tabela3[[#This Row],[Valor]]*(Tabela3[[#This Row],[Idade]]*VLOOKUP(Tabela3[[#This Row],[Categoria]],Cadastros!A:B,2,0))),"")</f>
        <v/>
      </c>
    </row>
    <row r="710" spans="4:18" x14ac:dyDescent="0.25">
      <c r="D710" s="5"/>
      <c r="N710" s="6" t="str">
        <f>IFERROR(Tabela3[[#This Row],[Última revisão do bem]]+(VLOOKUP(Tabela3[[#This Row],[Categoria]],Cadastros!A:D,4,0)+365),"")</f>
        <v/>
      </c>
      <c r="O710" s="7" t="str">
        <f ca="1">IF(Tabela3[[#This Row],[Data da compra]]&gt;0,(TODAY()-Tabela3[[#This Row],[Data da compra]])/365,"")</f>
        <v/>
      </c>
      <c r="P710" s="7" t="str">
        <f>IFERROR(VLOOKUP(Tabela3[[#This Row],[Categoria]],Cadastros!A:C,3,0),"")</f>
        <v/>
      </c>
      <c r="Q710" s="9" t="str">
        <f ca="1">IFERROR(Tabela3[[#This Row],[Vida útil]]-Tabela3[[#This Row],[Idade]],"")</f>
        <v/>
      </c>
      <c r="R710" s="8" t="str">
        <f ca="1">IFERROR(Tabela3[[#This Row],[Valor]]-(Tabela3[[#This Row],[Valor]]*(Tabela3[[#This Row],[Idade]]*VLOOKUP(Tabela3[[#This Row],[Categoria]],Cadastros!A:B,2,0))),"")</f>
        <v/>
      </c>
    </row>
    <row r="711" spans="4:18" x14ac:dyDescent="0.25">
      <c r="D711" s="5"/>
      <c r="N711" s="6" t="str">
        <f>IFERROR(Tabela3[[#This Row],[Última revisão do bem]]+(VLOOKUP(Tabela3[[#This Row],[Categoria]],Cadastros!A:D,4,0)+365),"")</f>
        <v/>
      </c>
      <c r="O711" s="7" t="str">
        <f ca="1">IF(Tabela3[[#This Row],[Data da compra]]&gt;0,(TODAY()-Tabela3[[#This Row],[Data da compra]])/365,"")</f>
        <v/>
      </c>
      <c r="P711" s="7" t="str">
        <f>IFERROR(VLOOKUP(Tabela3[[#This Row],[Categoria]],Cadastros!A:C,3,0),"")</f>
        <v/>
      </c>
      <c r="Q711" s="9" t="str">
        <f ca="1">IFERROR(Tabela3[[#This Row],[Vida útil]]-Tabela3[[#This Row],[Idade]],"")</f>
        <v/>
      </c>
      <c r="R711" s="8" t="str">
        <f ca="1">IFERROR(Tabela3[[#This Row],[Valor]]-(Tabela3[[#This Row],[Valor]]*(Tabela3[[#This Row],[Idade]]*VLOOKUP(Tabela3[[#This Row],[Categoria]],Cadastros!A:B,2,0))),"")</f>
        <v/>
      </c>
    </row>
    <row r="712" spans="4:18" x14ac:dyDescent="0.25">
      <c r="D712" s="5"/>
      <c r="N712" s="6" t="str">
        <f>IFERROR(Tabela3[[#This Row],[Última revisão do bem]]+(VLOOKUP(Tabela3[[#This Row],[Categoria]],Cadastros!A:D,4,0)+365),"")</f>
        <v/>
      </c>
      <c r="O712" s="7" t="str">
        <f ca="1">IF(Tabela3[[#This Row],[Data da compra]]&gt;0,(TODAY()-Tabela3[[#This Row],[Data da compra]])/365,"")</f>
        <v/>
      </c>
      <c r="P712" s="7" t="str">
        <f>IFERROR(VLOOKUP(Tabela3[[#This Row],[Categoria]],Cadastros!A:C,3,0),"")</f>
        <v/>
      </c>
      <c r="Q712" s="9" t="str">
        <f ca="1">IFERROR(Tabela3[[#This Row],[Vida útil]]-Tabela3[[#This Row],[Idade]],"")</f>
        <v/>
      </c>
      <c r="R712" s="8" t="str">
        <f ca="1">IFERROR(Tabela3[[#This Row],[Valor]]-(Tabela3[[#This Row],[Valor]]*(Tabela3[[#This Row],[Idade]]*VLOOKUP(Tabela3[[#This Row],[Categoria]],Cadastros!A:B,2,0))),"")</f>
        <v/>
      </c>
    </row>
    <row r="713" spans="4:18" x14ac:dyDescent="0.25">
      <c r="D713" s="5"/>
      <c r="N713" s="6" t="str">
        <f>IFERROR(Tabela3[[#This Row],[Última revisão do bem]]+(VLOOKUP(Tabela3[[#This Row],[Categoria]],Cadastros!A:D,4,0)+365),"")</f>
        <v/>
      </c>
      <c r="O713" s="7" t="str">
        <f ca="1">IF(Tabela3[[#This Row],[Data da compra]]&gt;0,(TODAY()-Tabela3[[#This Row],[Data da compra]])/365,"")</f>
        <v/>
      </c>
      <c r="P713" s="7" t="str">
        <f>IFERROR(VLOOKUP(Tabela3[[#This Row],[Categoria]],Cadastros!A:C,3,0),"")</f>
        <v/>
      </c>
      <c r="Q713" s="9" t="str">
        <f ca="1">IFERROR(Tabela3[[#This Row],[Vida útil]]-Tabela3[[#This Row],[Idade]],"")</f>
        <v/>
      </c>
      <c r="R713" s="8" t="str">
        <f ca="1">IFERROR(Tabela3[[#This Row],[Valor]]-(Tabela3[[#This Row],[Valor]]*(Tabela3[[#This Row],[Idade]]*VLOOKUP(Tabela3[[#This Row],[Categoria]],Cadastros!A:B,2,0))),"")</f>
        <v/>
      </c>
    </row>
    <row r="714" spans="4:18" x14ac:dyDescent="0.25">
      <c r="D714" s="5"/>
      <c r="N714" s="6" t="str">
        <f>IFERROR(Tabela3[[#This Row],[Última revisão do bem]]+(VLOOKUP(Tabela3[[#This Row],[Categoria]],Cadastros!A:D,4,0)+365),"")</f>
        <v/>
      </c>
      <c r="O714" s="7" t="str">
        <f ca="1">IF(Tabela3[[#This Row],[Data da compra]]&gt;0,(TODAY()-Tabela3[[#This Row],[Data da compra]])/365,"")</f>
        <v/>
      </c>
      <c r="P714" s="7" t="str">
        <f>IFERROR(VLOOKUP(Tabela3[[#This Row],[Categoria]],Cadastros!A:C,3,0),"")</f>
        <v/>
      </c>
      <c r="Q714" s="9" t="str">
        <f ca="1">IFERROR(Tabela3[[#This Row],[Vida útil]]-Tabela3[[#This Row],[Idade]],"")</f>
        <v/>
      </c>
      <c r="R714" s="8" t="str">
        <f ca="1">IFERROR(Tabela3[[#This Row],[Valor]]-(Tabela3[[#This Row],[Valor]]*(Tabela3[[#This Row],[Idade]]*VLOOKUP(Tabela3[[#This Row],[Categoria]],Cadastros!A:B,2,0))),"")</f>
        <v/>
      </c>
    </row>
    <row r="715" spans="4:18" x14ac:dyDescent="0.25">
      <c r="D715" s="5"/>
      <c r="N715" s="6" t="str">
        <f>IFERROR(Tabela3[[#This Row],[Última revisão do bem]]+(VLOOKUP(Tabela3[[#This Row],[Categoria]],Cadastros!A:D,4,0)+365),"")</f>
        <v/>
      </c>
      <c r="O715" s="7" t="str">
        <f ca="1">IF(Tabela3[[#This Row],[Data da compra]]&gt;0,(TODAY()-Tabela3[[#This Row],[Data da compra]])/365,"")</f>
        <v/>
      </c>
      <c r="P715" s="7" t="str">
        <f>IFERROR(VLOOKUP(Tabela3[[#This Row],[Categoria]],Cadastros!A:C,3,0),"")</f>
        <v/>
      </c>
      <c r="Q715" s="9" t="str">
        <f ca="1">IFERROR(Tabela3[[#This Row],[Vida útil]]-Tabela3[[#This Row],[Idade]],"")</f>
        <v/>
      </c>
      <c r="R715" s="8" t="str">
        <f ca="1">IFERROR(Tabela3[[#This Row],[Valor]]-(Tabela3[[#This Row],[Valor]]*(Tabela3[[#This Row],[Idade]]*VLOOKUP(Tabela3[[#This Row],[Categoria]],Cadastros!A:B,2,0))),"")</f>
        <v/>
      </c>
    </row>
    <row r="716" spans="4:18" x14ac:dyDescent="0.25">
      <c r="D716" s="5"/>
      <c r="N716" s="6" t="str">
        <f>IFERROR(Tabela3[[#This Row],[Última revisão do bem]]+(VLOOKUP(Tabela3[[#This Row],[Categoria]],Cadastros!A:D,4,0)+365),"")</f>
        <v/>
      </c>
      <c r="O716" s="7" t="str">
        <f ca="1">IF(Tabela3[[#This Row],[Data da compra]]&gt;0,(TODAY()-Tabela3[[#This Row],[Data da compra]])/365,"")</f>
        <v/>
      </c>
      <c r="P716" s="7" t="str">
        <f>IFERROR(VLOOKUP(Tabela3[[#This Row],[Categoria]],Cadastros!A:C,3,0),"")</f>
        <v/>
      </c>
      <c r="Q716" s="9" t="str">
        <f ca="1">IFERROR(Tabela3[[#This Row],[Vida útil]]-Tabela3[[#This Row],[Idade]],"")</f>
        <v/>
      </c>
      <c r="R716" s="8" t="str">
        <f ca="1">IFERROR(Tabela3[[#This Row],[Valor]]-(Tabela3[[#This Row],[Valor]]*(Tabela3[[#This Row],[Idade]]*VLOOKUP(Tabela3[[#This Row],[Categoria]],Cadastros!A:B,2,0))),"")</f>
        <v/>
      </c>
    </row>
    <row r="717" spans="4:18" x14ac:dyDescent="0.25">
      <c r="D717" s="5"/>
      <c r="N717" s="6" t="str">
        <f>IFERROR(Tabela3[[#This Row],[Última revisão do bem]]+(VLOOKUP(Tabela3[[#This Row],[Categoria]],Cadastros!A:D,4,0)+365),"")</f>
        <v/>
      </c>
      <c r="O717" s="7" t="str">
        <f ca="1">IF(Tabela3[[#This Row],[Data da compra]]&gt;0,(TODAY()-Tabela3[[#This Row],[Data da compra]])/365,"")</f>
        <v/>
      </c>
      <c r="P717" s="7" t="str">
        <f>IFERROR(VLOOKUP(Tabela3[[#This Row],[Categoria]],Cadastros!A:C,3,0),"")</f>
        <v/>
      </c>
      <c r="Q717" s="9" t="str">
        <f ca="1">IFERROR(Tabela3[[#This Row],[Vida útil]]-Tabela3[[#This Row],[Idade]],"")</f>
        <v/>
      </c>
      <c r="R717" s="8" t="str">
        <f ca="1">IFERROR(Tabela3[[#This Row],[Valor]]-(Tabela3[[#This Row],[Valor]]*(Tabela3[[#This Row],[Idade]]*VLOOKUP(Tabela3[[#This Row],[Categoria]],Cadastros!A:B,2,0))),"")</f>
        <v/>
      </c>
    </row>
    <row r="718" spans="4:18" x14ac:dyDescent="0.25">
      <c r="D718" s="5"/>
      <c r="N718" s="6" t="str">
        <f>IFERROR(Tabela3[[#This Row],[Última revisão do bem]]+(VLOOKUP(Tabela3[[#This Row],[Categoria]],Cadastros!A:D,4,0)+365),"")</f>
        <v/>
      </c>
      <c r="O718" s="7" t="str">
        <f ca="1">IF(Tabela3[[#This Row],[Data da compra]]&gt;0,(TODAY()-Tabela3[[#This Row],[Data da compra]])/365,"")</f>
        <v/>
      </c>
      <c r="P718" s="7" t="str">
        <f>IFERROR(VLOOKUP(Tabela3[[#This Row],[Categoria]],Cadastros!A:C,3,0),"")</f>
        <v/>
      </c>
      <c r="Q718" s="9" t="str">
        <f ca="1">IFERROR(Tabela3[[#This Row],[Vida útil]]-Tabela3[[#This Row],[Idade]],"")</f>
        <v/>
      </c>
      <c r="R718" s="8" t="str">
        <f ca="1">IFERROR(Tabela3[[#This Row],[Valor]]-(Tabela3[[#This Row],[Valor]]*(Tabela3[[#This Row],[Idade]]*VLOOKUP(Tabela3[[#This Row],[Categoria]],Cadastros!A:B,2,0))),"")</f>
        <v/>
      </c>
    </row>
    <row r="719" spans="4:18" x14ac:dyDescent="0.25">
      <c r="D719" s="5"/>
      <c r="N719" s="6" t="str">
        <f>IFERROR(Tabela3[[#This Row],[Última revisão do bem]]+(VLOOKUP(Tabela3[[#This Row],[Categoria]],Cadastros!A:D,4,0)+365),"")</f>
        <v/>
      </c>
      <c r="O719" s="7" t="str">
        <f ca="1">IF(Tabela3[[#This Row],[Data da compra]]&gt;0,(TODAY()-Tabela3[[#This Row],[Data da compra]])/365,"")</f>
        <v/>
      </c>
      <c r="P719" s="7" t="str">
        <f>IFERROR(VLOOKUP(Tabela3[[#This Row],[Categoria]],Cadastros!A:C,3,0),"")</f>
        <v/>
      </c>
      <c r="Q719" s="9" t="str">
        <f ca="1">IFERROR(Tabela3[[#This Row],[Vida útil]]-Tabela3[[#This Row],[Idade]],"")</f>
        <v/>
      </c>
      <c r="R719" s="8" t="str">
        <f ca="1">IFERROR(Tabela3[[#This Row],[Valor]]-(Tabela3[[#This Row],[Valor]]*(Tabela3[[#This Row],[Idade]]*VLOOKUP(Tabela3[[#This Row],[Categoria]],Cadastros!A:B,2,0))),"")</f>
        <v/>
      </c>
    </row>
    <row r="720" spans="4:18" x14ac:dyDescent="0.25">
      <c r="D720" s="5"/>
      <c r="N720" s="6" t="str">
        <f>IFERROR(Tabela3[[#This Row],[Última revisão do bem]]+(VLOOKUP(Tabela3[[#This Row],[Categoria]],Cadastros!A:D,4,0)+365),"")</f>
        <v/>
      </c>
      <c r="O720" s="7" t="str">
        <f ca="1">IF(Tabela3[[#This Row],[Data da compra]]&gt;0,(TODAY()-Tabela3[[#This Row],[Data da compra]])/365,"")</f>
        <v/>
      </c>
      <c r="P720" s="7" t="str">
        <f>IFERROR(VLOOKUP(Tabela3[[#This Row],[Categoria]],Cadastros!A:C,3,0),"")</f>
        <v/>
      </c>
      <c r="Q720" s="9" t="str">
        <f ca="1">IFERROR(Tabela3[[#This Row],[Vida útil]]-Tabela3[[#This Row],[Idade]],"")</f>
        <v/>
      </c>
      <c r="R720" s="8" t="str">
        <f ca="1">IFERROR(Tabela3[[#This Row],[Valor]]-(Tabela3[[#This Row],[Valor]]*(Tabela3[[#This Row],[Idade]]*VLOOKUP(Tabela3[[#This Row],[Categoria]],Cadastros!A:B,2,0))),"")</f>
        <v/>
      </c>
    </row>
    <row r="721" spans="4:18" x14ac:dyDescent="0.25">
      <c r="D721" s="5"/>
      <c r="N721" s="6" t="str">
        <f>IFERROR(Tabela3[[#This Row],[Última revisão do bem]]+(VLOOKUP(Tabela3[[#This Row],[Categoria]],Cadastros!A:D,4,0)+365),"")</f>
        <v/>
      </c>
      <c r="O721" s="7" t="str">
        <f ca="1">IF(Tabela3[[#This Row],[Data da compra]]&gt;0,(TODAY()-Tabela3[[#This Row],[Data da compra]])/365,"")</f>
        <v/>
      </c>
      <c r="P721" s="7" t="str">
        <f>IFERROR(VLOOKUP(Tabela3[[#This Row],[Categoria]],Cadastros!A:C,3,0),"")</f>
        <v/>
      </c>
      <c r="Q721" s="9" t="str">
        <f ca="1">IFERROR(Tabela3[[#This Row],[Vida útil]]-Tabela3[[#This Row],[Idade]],"")</f>
        <v/>
      </c>
      <c r="R721" s="8" t="str">
        <f ca="1">IFERROR(Tabela3[[#This Row],[Valor]]-(Tabela3[[#This Row],[Valor]]*(Tabela3[[#This Row],[Idade]]*VLOOKUP(Tabela3[[#This Row],[Categoria]],Cadastros!A:B,2,0))),"")</f>
        <v/>
      </c>
    </row>
    <row r="722" spans="4:18" x14ac:dyDescent="0.25">
      <c r="D722" s="5"/>
      <c r="N722" s="6" t="str">
        <f>IFERROR(Tabela3[[#This Row],[Última revisão do bem]]+(VLOOKUP(Tabela3[[#This Row],[Categoria]],Cadastros!A:D,4,0)+365),"")</f>
        <v/>
      </c>
      <c r="O722" s="7" t="str">
        <f ca="1">IF(Tabela3[[#This Row],[Data da compra]]&gt;0,(TODAY()-Tabela3[[#This Row],[Data da compra]])/365,"")</f>
        <v/>
      </c>
      <c r="P722" s="7" t="str">
        <f>IFERROR(VLOOKUP(Tabela3[[#This Row],[Categoria]],Cadastros!A:C,3,0),"")</f>
        <v/>
      </c>
      <c r="Q722" s="9" t="str">
        <f ca="1">IFERROR(Tabela3[[#This Row],[Vida útil]]-Tabela3[[#This Row],[Idade]],"")</f>
        <v/>
      </c>
      <c r="R722" s="8" t="str">
        <f ca="1">IFERROR(Tabela3[[#This Row],[Valor]]-(Tabela3[[#This Row],[Valor]]*(Tabela3[[#This Row],[Idade]]*VLOOKUP(Tabela3[[#This Row],[Categoria]],Cadastros!A:B,2,0))),"")</f>
        <v/>
      </c>
    </row>
    <row r="723" spans="4:18" x14ac:dyDescent="0.25">
      <c r="D723" s="5"/>
      <c r="N723" s="6" t="str">
        <f>IFERROR(Tabela3[[#This Row],[Última revisão do bem]]+(VLOOKUP(Tabela3[[#This Row],[Categoria]],Cadastros!A:D,4,0)+365),"")</f>
        <v/>
      </c>
      <c r="O723" s="7" t="str">
        <f ca="1">IF(Tabela3[[#This Row],[Data da compra]]&gt;0,(TODAY()-Tabela3[[#This Row],[Data da compra]])/365,"")</f>
        <v/>
      </c>
      <c r="P723" s="7" t="str">
        <f>IFERROR(VLOOKUP(Tabela3[[#This Row],[Categoria]],Cadastros!A:C,3,0),"")</f>
        <v/>
      </c>
      <c r="Q723" s="9" t="str">
        <f ca="1">IFERROR(Tabela3[[#This Row],[Vida útil]]-Tabela3[[#This Row],[Idade]],"")</f>
        <v/>
      </c>
      <c r="R723" s="8" t="str">
        <f ca="1">IFERROR(Tabela3[[#This Row],[Valor]]-(Tabela3[[#This Row],[Valor]]*(Tabela3[[#This Row],[Idade]]*VLOOKUP(Tabela3[[#This Row],[Categoria]],Cadastros!A:B,2,0))),"")</f>
        <v/>
      </c>
    </row>
    <row r="724" spans="4:18" x14ac:dyDescent="0.25">
      <c r="D724" s="5"/>
      <c r="N724" s="6" t="str">
        <f>IFERROR(Tabela3[[#This Row],[Última revisão do bem]]+(VLOOKUP(Tabela3[[#This Row],[Categoria]],Cadastros!A:D,4,0)+365),"")</f>
        <v/>
      </c>
      <c r="O724" s="7" t="str">
        <f ca="1">IF(Tabela3[[#This Row],[Data da compra]]&gt;0,(TODAY()-Tabela3[[#This Row],[Data da compra]])/365,"")</f>
        <v/>
      </c>
      <c r="P724" s="7" t="str">
        <f>IFERROR(VLOOKUP(Tabela3[[#This Row],[Categoria]],Cadastros!A:C,3,0),"")</f>
        <v/>
      </c>
      <c r="Q724" s="9" t="str">
        <f ca="1">IFERROR(Tabela3[[#This Row],[Vida útil]]-Tabela3[[#This Row],[Idade]],"")</f>
        <v/>
      </c>
      <c r="R724" s="8" t="str">
        <f ca="1">IFERROR(Tabela3[[#This Row],[Valor]]-(Tabela3[[#This Row],[Valor]]*(Tabela3[[#This Row],[Idade]]*VLOOKUP(Tabela3[[#This Row],[Categoria]],Cadastros!A:B,2,0))),"")</f>
        <v/>
      </c>
    </row>
    <row r="725" spans="4:18" x14ac:dyDescent="0.25">
      <c r="D725" s="5"/>
      <c r="N725" s="6" t="str">
        <f>IFERROR(Tabela3[[#This Row],[Última revisão do bem]]+(VLOOKUP(Tabela3[[#This Row],[Categoria]],Cadastros!A:D,4,0)+365),"")</f>
        <v/>
      </c>
      <c r="O725" s="7" t="str">
        <f ca="1">IF(Tabela3[[#This Row],[Data da compra]]&gt;0,(TODAY()-Tabela3[[#This Row],[Data da compra]])/365,"")</f>
        <v/>
      </c>
      <c r="P725" s="7" t="str">
        <f>IFERROR(VLOOKUP(Tabela3[[#This Row],[Categoria]],Cadastros!A:C,3,0),"")</f>
        <v/>
      </c>
      <c r="Q725" s="9" t="str">
        <f ca="1">IFERROR(Tabela3[[#This Row],[Vida útil]]-Tabela3[[#This Row],[Idade]],"")</f>
        <v/>
      </c>
      <c r="R725" s="8" t="str">
        <f ca="1">IFERROR(Tabela3[[#This Row],[Valor]]-(Tabela3[[#This Row],[Valor]]*(Tabela3[[#This Row],[Idade]]*VLOOKUP(Tabela3[[#This Row],[Categoria]],Cadastros!A:B,2,0))),"")</f>
        <v/>
      </c>
    </row>
    <row r="726" spans="4:18" x14ac:dyDescent="0.25">
      <c r="D726" s="5"/>
      <c r="N726" s="6" t="str">
        <f>IFERROR(Tabela3[[#This Row],[Última revisão do bem]]+(VLOOKUP(Tabela3[[#This Row],[Categoria]],Cadastros!A:D,4,0)+365),"")</f>
        <v/>
      </c>
      <c r="O726" s="7" t="str">
        <f ca="1">IF(Tabela3[[#This Row],[Data da compra]]&gt;0,(TODAY()-Tabela3[[#This Row],[Data da compra]])/365,"")</f>
        <v/>
      </c>
      <c r="P726" s="7" t="str">
        <f>IFERROR(VLOOKUP(Tabela3[[#This Row],[Categoria]],Cadastros!A:C,3,0),"")</f>
        <v/>
      </c>
      <c r="Q726" s="9" t="str">
        <f ca="1">IFERROR(Tabela3[[#This Row],[Vida útil]]-Tabela3[[#This Row],[Idade]],"")</f>
        <v/>
      </c>
      <c r="R726" s="8" t="str">
        <f ca="1">IFERROR(Tabela3[[#This Row],[Valor]]-(Tabela3[[#This Row],[Valor]]*(Tabela3[[#This Row],[Idade]]*VLOOKUP(Tabela3[[#This Row],[Categoria]],Cadastros!A:B,2,0))),"")</f>
        <v/>
      </c>
    </row>
    <row r="727" spans="4:18" x14ac:dyDescent="0.25">
      <c r="D727" s="5"/>
      <c r="N727" s="6" t="str">
        <f>IFERROR(Tabela3[[#This Row],[Última revisão do bem]]+(VLOOKUP(Tabela3[[#This Row],[Categoria]],Cadastros!A:D,4,0)+365),"")</f>
        <v/>
      </c>
      <c r="O727" s="7" t="str">
        <f ca="1">IF(Tabela3[[#This Row],[Data da compra]]&gt;0,(TODAY()-Tabela3[[#This Row],[Data da compra]])/365,"")</f>
        <v/>
      </c>
      <c r="P727" s="7" t="str">
        <f>IFERROR(VLOOKUP(Tabela3[[#This Row],[Categoria]],Cadastros!A:C,3,0),"")</f>
        <v/>
      </c>
      <c r="Q727" s="9" t="str">
        <f ca="1">IFERROR(Tabela3[[#This Row],[Vida útil]]-Tabela3[[#This Row],[Idade]],"")</f>
        <v/>
      </c>
      <c r="R727" s="8" t="str">
        <f ca="1">IFERROR(Tabela3[[#This Row],[Valor]]-(Tabela3[[#This Row],[Valor]]*(Tabela3[[#This Row],[Idade]]*VLOOKUP(Tabela3[[#This Row],[Categoria]],Cadastros!A:B,2,0))),"")</f>
        <v/>
      </c>
    </row>
    <row r="728" spans="4:18" x14ac:dyDescent="0.25">
      <c r="D728" s="5"/>
      <c r="N728" s="6" t="str">
        <f>IFERROR(Tabela3[[#This Row],[Última revisão do bem]]+(VLOOKUP(Tabela3[[#This Row],[Categoria]],Cadastros!A:D,4,0)+365),"")</f>
        <v/>
      </c>
      <c r="O728" s="7" t="str">
        <f ca="1">IF(Tabela3[[#This Row],[Data da compra]]&gt;0,(TODAY()-Tabela3[[#This Row],[Data da compra]])/365,"")</f>
        <v/>
      </c>
      <c r="P728" s="7" t="str">
        <f>IFERROR(VLOOKUP(Tabela3[[#This Row],[Categoria]],Cadastros!A:C,3,0),"")</f>
        <v/>
      </c>
      <c r="Q728" s="9" t="str">
        <f ca="1">IFERROR(Tabela3[[#This Row],[Vida útil]]-Tabela3[[#This Row],[Idade]],"")</f>
        <v/>
      </c>
      <c r="R728" s="8" t="str">
        <f ca="1">IFERROR(Tabela3[[#This Row],[Valor]]-(Tabela3[[#This Row],[Valor]]*(Tabela3[[#This Row],[Idade]]*VLOOKUP(Tabela3[[#This Row],[Categoria]],Cadastros!A:B,2,0))),"")</f>
        <v/>
      </c>
    </row>
    <row r="729" spans="4:18" x14ac:dyDescent="0.25">
      <c r="D729" s="5"/>
      <c r="N729" s="6" t="str">
        <f>IFERROR(Tabela3[[#This Row],[Última revisão do bem]]+(VLOOKUP(Tabela3[[#This Row],[Categoria]],Cadastros!A:D,4,0)+365),"")</f>
        <v/>
      </c>
      <c r="O729" s="7" t="str">
        <f ca="1">IF(Tabela3[[#This Row],[Data da compra]]&gt;0,(TODAY()-Tabela3[[#This Row],[Data da compra]])/365,"")</f>
        <v/>
      </c>
      <c r="P729" s="7" t="str">
        <f>IFERROR(VLOOKUP(Tabela3[[#This Row],[Categoria]],Cadastros!A:C,3,0),"")</f>
        <v/>
      </c>
      <c r="Q729" s="9" t="str">
        <f ca="1">IFERROR(Tabela3[[#This Row],[Vida útil]]-Tabela3[[#This Row],[Idade]],"")</f>
        <v/>
      </c>
      <c r="R729" s="8" t="str">
        <f ca="1">IFERROR(Tabela3[[#This Row],[Valor]]-(Tabela3[[#This Row],[Valor]]*(Tabela3[[#This Row],[Idade]]*VLOOKUP(Tabela3[[#This Row],[Categoria]],Cadastros!A:B,2,0))),"")</f>
        <v/>
      </c>
    </row>
    <row r="730" spans="4:18" x14ac:dyDescent="0.25">
      <c r="D730" s="5"/>
      <c r="N730" s="6" t="str">
        <f>IFERROR(Tabela3[[#This Row],[Última revisão do bem]]+(VLOOKUP(Tabela3[[#This Row],[Categoria]],Cadastros!A:D,4,0)+365),"")</f>
        <v/>
      </c>
      <c r="O730" s="7" t="str">
        <f ca="1">IF(Tabela3[[#This Row],[Data da compra]]&gt;0,(TODAY()-Tabela3[[#This Row],[Data da compra]])/365,"")</f>
        <v/>
      </c>
      <c r="P730" s="7" t="str">
        <f>IFERROR(VLOOKUP(Tabela3[[#This Row],[Categoria]],Cadastros!A:C,3,0),"")</f>
        <v/>
      </c>
      <c r="Q730" s="9" t="str">
        <f ca="1">IFERROR(Tabela3[[#This Row],[Vida útil]]-Tabela3[[#This Row],[Idade]],"")</f>
        <v/>
      </c>
      <c r="R730" s="8" t="str">
        <f ca="1">IFERROR(Tabela3[[#This Row],[Valor]]-(Tabela3[[#This Row],[Valor]]*(Tabela3[[#This Row],[Idade]]*VLOOKUP(Tabela3[[#This Row],[Categoria]],Cadastros!A:B,2,0))),"")</f>
        <v/>
      </c>
    </row>
    <row r="731" spans="4:18" x14ac:dyDescent="0.25">
      <c r="D731" s="5"/>
      <c r="N731" s="6" t="str">
        <f>IFERROR(Tabela3[[#This Row],[Última revisão do bem]]+(VLOOKUP(Tabela3[[#This Row],[Categoria]],Cadastros!A:D,4,0)+365),"")</f>
        <v/>
      </c>
      <c r="O731" s="7" t="str">
        <f ca="1">IF(Tabela3[[#This Row],[Data da compra]]&gt;0,(TODAY()-Tabela3[[#This Row],[Data da compra]])/365,"")</f>
        <v/>
      </c>
      <c r="P731" s="7" t="str">
        <f>IFERROR(VLOOKUP(Tabela3[[#This Row],[Categoria]],Cadastros!A:C,3,0),"")</f>
        <v/>
      </c>
      <c r="Q731" s="9" t="str">
        <f ca="1">IFERROR(Tabela3[[#This Row],[Vida útil]]-Tabela3[[#This Row],[Idade]],"")</f>
        <v/>
      </c>
      <c r="R731" s="8" t="str">
        <f ca="1">IFERROR(Tabela3[[#This Row],[Valor]]-(Tabela3[[#This Row],[Valor]]*(Tabela3[[#This Row],[Idade]]*VLOOKUP(Tabela3[[#This Row],[Categoria]],Cadastros!A:B,2,0))),"")</f>
        <v/>
      </c>
    </row>
    <row r="732" spans="4:18" x14ac:dyDescent="0.25">
      <c r="D732" s="5"/>
      <c r="N732" s="6" t="str">
        <f>IFERROR(Tabela3[[#This Row],[Última revisão do bem]]+(VLOOKUP(Tabela3[[#This Row],[Categoria]],Cadastros!A:D,4,0)+365),"")</f>
        <v/>
      </c>
      <c r="O732" s="7" t="str">
        <f ca="1">IF(Tabela3[[#This Row],[Data da compra]]&gt;0,(TODAY()-Tabela3[[#This Row],[Data da compra]])/365,"")</f>
        <v/>
      </c>
      <c r="P732" s="7" t="str">
        <f>IFERROR(VLOOKUP(Tabela3[[#This Row],[Categoria]],Cadastros!A:C,3,0),"")</f>
        <v/>
      </c>
      <c r="Q732" s="9" t="str">
        <f ca="1">IFERROR(Tabela3[[#This Row],[Vida útil]]-Tabela3[[#This Row],[Idade]],"")</f>
        <v/>
      </c>
      <c r="R732" s="8" t="str">
        <f ca="1">IFERROR(Tabela3[[#This Row],[Valor]]-(Tabela3[[#This Row],[Valor]]*(Tabela3[[#This Row],[Idade]]*VLOOKUP(Tabela3[[#This Row],[Categoria]],Cadastros!A:B,2,0))),"")</f>
        <v/>
      </c>
    </row>
    <row r="733" spans="4:18" x14ac:dyDescent="0.25">
      <c r="D733" s="5"/>
      <c r="N733" s="6" t="str">
        <f>IFERROR(Tabela3[[#This Row],[Última revisão do bem]]+(VLOOKUP(Tabela3[[#This Row],[Categoria]],Cadastros!A:D,4,0)+365),"")</f>
        <v/>
      </c>
      <c r="O733" s="7" t="str">
        <f ca="1">IF(Tabela3[[#This Row],[Data da compra]]&gt;0,(TODAY()-Tabela3[[#This Row],[Data da compra]])/365,"")</f>
        <v/>
      </c>
      <c r="P733" s="7" t="str">
        <f>IFERROR(VLOOKUP(Tabela3[[#This Row],[Categoria]],Cadastros!A:C,3,0),"")</f>
        <v/>
      </c>
      <c r="Q733" s="9" t="str">
        <f ca="1">IFERROR(Tabela3[[#This Row],[Vida útil]]-Tabela3[[#This Row],[Idade]],"")</f>
        <v/>
      </c>
      <c r="R733" s="8" t="str">
        <f ca="1">IFERROR(Tabela3[[#This Row],[Valor]]-(Tabela3[[#This Row],[Valor]]*(Tabela3[[#This Row],[Idade]]*VLOOKUP(Tabela3[[#This Row],[Categoria]],Cadastros!A:B,2,0))),"")</f>
        <v/>
      </c>
    </row>
    <row r="734" spans="4:18" x14ac:dyDescent="0.25">
      <c r="D734" s="5"/>
      <c r="N734" s="6" t="str">
        <f>IFERROR(Tabela3[[#This Row],[Última revisão do bem]]+(VLOOKUP(Tabela3[[#This Row],[Categoria]],Cadastros!A:D,4,0)+365),"")</f>
        <v/>
      </c>
      <c r="O734" s="7" t="str">
        <f ca="1">IF(Tabela3[[#This Row],[Data da compra]]&gt;0,(TODAY()-Tabela3[[#This Row],[Data da compra]])/365,"")</f>
        <v/>
      </c>
      <c r="P734" s="7" t="str">
        <f>IFERROR(VLOOKUP(Tabela3[[#This Row],[Categoria]],Cadastros!A:C,3,0),"")</f>
        <v/>
      </c>
      <c r="Q734" s="9" t="str">
        <f ca="1">IFERROR(Tabela3[[#This Row],[Vida útil]]-Tabela3[[#This Row],[Idade]],"")</f>
        <v/>
      </c>
      <c r="R734" s="8" t="str">
        <f ca="1">IFERROR(Tabela3[[#This Row],[Valor]]-(Tabela3[[#This Row],[Valor]]*(Tabela3[[#This Row],[Idade]]*VLOOKUP(Tabela3[[#This Row],[Categoria]],Cadastros!A:B,2,0))),"")</f>
        <v/>
      </c>
    </row>
    <row r="735" spans="4:18" x14ac:dyDescent="0.25">
      <c r="D735" s="5"/>
      <c r="N735" s="6" t="str">
        <f>IFERROR(Tabela3[[#This Row],[Última revisão do bem]]+(VLOOKUP(Tabela3[[#This Row],[Categoria]],Cadastros!A:D,4,0)+365),"")</f>
        <v/>
      </c>
      <c r="O735" s="7" t="str">
        <f ca="1">IF(Tabela3[[#This Row],[Data da compra]]&gt;0,(TODAY()-Tabela3[[#This Row],[Data da compra]])/365,"")</f>
        <v/>
      </c>
      <c r="P735" s="7" t="str">
        <f>IFERROR(VLOOKUP(Tabela3[[#This Row],[Categoria]],Cadastros!A:C,3,0),"")</f>
        <v/>
      </c>
      <c r="Q735" s="9" t="str">
        <f ca="1">IFERROR(Tabela3[[#This Row],[Vida útil]]-Tabela3[[#This Row],[Idade]],"")</f>
        <v/>
      </c>
      <c r="R735" s="8" t="str">
        <f ca="1">IFERROR(Tabela3[[#This Row],[Valor]]-(Tabela3[[#This Row],[Valor]]*(Tabela3[[#This Row],[Idade]]*VLOOKUP(Tabela3[[#This Row],[Categoria]],Cadastros!A:B,2,0))),"")</f>
        <v/>
      </c>
    </row>
    <row r="736" spans="4:18" x14ac:dyDescent="0.25">
      <c r="D736" s="5"/>
      <c r="N736" s="6" t="str">
        <f>IFERROR(Tabela3[[#This Row],[Última revisão do bem]]+(VLOOKUP(Tabela3[[#This Row],[Categoria]],Cadastros!A:D,4,0)+365),"")</f>
        <v/>
      </c>
      <c r="O736" s="7" t="str">
        <f ca="1">IF(Tabela3[[#This Row],[Data da compra]]&gt;0,(TODAY()-Tabela3[[#This Row],[Data da compra]])/365,"")</f>
        <v/>
      </c>
      <c r="P736" s="7" t="str">
        <f>IFERROR(VLOOKUP(Tabela3[[#This Row],[Categoria]],Cadastros!A:C,3,0),"")</f>
        <v/>
      </c>
      <c r="Q736" s="9" t="str">
        <f ca="1">IFERROR(Tabela3[[#This Row],[Vida útil]]-Tabela3[[#This Row],[Idade]],"")</f>
        <v/>
      </c>
      <c r="R736" s="8" t="str">
        <f ca="1">IFERROR(Tabela3[[#This Row],[Valor]]-(Tabela3[[#This Row],[Valor]]*(Tabela3[[#This Row],[Idade]]*VLOOKUP(Tabela3[[#This Row],[Categoria]],Cadastros!A:B,2,0))),"")</f>
        <v/>
      </c>
    </row>
    <row r="737" spans="4:18" x14ac:dyDescent="0.25">
      <c r="D737" s="5"/>
      <c r="N737" s="6" t="str">
        <f>IFERROR(Tabela3[[#This Row],[Última revisão do bem]]+(VLOOKUP(Tabela3[[#This Row],[Categoria]],Cadastros!A:D,4,0)+365),"")</f>
        <v/>
      </c>
      <c r="O737" s="7" t="str">
        <f ca="1">IF(Tabela3[[#This Row],[Data da compra]]&gt;0,(TODAY()-Tabela3[[#This Row],[Data da compra]])/365,"")</f>
        <v/>
      </c>
      <c r="P737" s="7" t="str">
        <f>IFERROR(VLOOKUP(Tabela3[[#This Row],[Categoria]],Cadastros!A:C,3,0),"")</f>
        <v/>
      </c>
      <c r="Q737" s="9" t="str">
        <f ca="1">IFERROR(Tabela3[[#This Row],[Vida útil]]-Tabela3[[#This Row],[Idade]],"")</f>
        <v/>
      </c>
      <c r="R737" s="8" t="str">
        <f ca="1">IFERROR(Tabela3[[#This Row],[Valor]]-(Tabela3[[#This Row],[Valor]]*(Tabela3[[#This Row],[Idade]]*VLOOKUP(Tabela3[[#This Row],[Categoria]],Cadastros!A:B,2,0))),"")</f>
        <v/>
      </c>
    </row>
    <row r="738" spans="4:18" x14ac:dyDescent="0.25">
      <c r="D738" s="5"/>
      <c r="N738" s="6" t="str">
        <f>IFERROR(Tabela3[[#This Row],[Última revisão do bem]]+(VLOOKUP(Tabela3[[#This Row],[Categoria]],Cadastros!A:D,4,0)+365),"")</f>
        <v/>
      </c>
      <c r="O738" s="7" t="str">
        <f ca="1">IF(Tabela3[[#This Row],[Data da compra]]&gt;0,(TODAY()-Tabela3[[#This Row],[Data da compra]])/365,"")</f>
        <v/>
      </c>
      <c r="P738" s="7" t="str">
        <f>IFERROR(VLOOKUP(Tabela3[[#This Row],[Categoria]],Cadastros!A:C,3,0),"")</f>
        <v/>
      </c>
      <c r="Q738" s="9" t="str">
        <f ca="1">IFERROR(Tabela3[[#This Row],[Vida útil]]-Tabela3[[#This Row],[Idade]],"")</f>
        <v/>
      </c>
      <c r="R738" s="8" t="str">
        <f ca="1">IFERROR(Tabela3[[#This Row],[Valor]]-(Tabela3[[#This Row],[Valor]]*(Tabela3[[#This Row],[Idade]]*VLOOKUP(Tabela3[[#This Row],[Categoria]],Cadastros!A:B,2,0))),"")</f>
        <v/>
      </c>
    </row>
    <row r="739" spans="4:18" x14ac:dyDescent="0.25">
      <c r="D739" s="5"/>
      <c r="N739" s="6" t="str">
        <f>IFERROR(Tabela3[[#This Row],[Última revisão do bem]]+(VLOOKUP(Tabela3[[#This Row],[Categoria]],Cadastros!A:D,4,0)+365),"")</f>
        <v/>
      </c>
      <c r="O739" s="7" t="str">
        <f ca="1">IF(Tabela3[[#This Row],[Data da compra]]&gt;0,(TODAY()-Tabela3[[#This Row],[Data da compra]])/365,"")</f>
        <v/>
      </c>
      <c r="P739" s="7" t="str">
        <f>IFERROR(VLOOKUP(Tabela3[[#This Row],[Categoria]],Cadastros!A:C,3,0),"")</f>
        <v/>
      </c>
      <c r="Q739" s="9" t="str">
        <f ca="1">IFERROR(Tabela3[[#This Row],[Vida útil]]-Tabela3[[#This Row],[Idade]],"")</f>
        <v/>
      </c>
      <c r="R739" s="8" t="str">
        <f ca="1">IFERROR(Tabela3[[#This Row],[Valor]]-(Tabela3[[#This Row],[Valor]]*(Tabela3[[#This Row],[Idade]]*VLOOKUP(Tabela3[[#This Row],[Categoria]],Cadastros!A:B,2,0))),"")</f>
        <v/>
      </c>
    </row>
    <row r="740" spans="4:18" x14ac:dyDescent="0.25">
      <c r="D740" s="5"/>
      <c r="N740" s="6" t="str">
        <f>IFERROR(Tabela3[[#This Row],[Última revisão do bem]]+(VLOOKUP(Tabela3[[#This Row],[Categoria]],Cadastros!A:D,4,0)+365),"")</f>
        <v/>
      </c>
      <c r="O740" s="7" t="str">
        <f ca="1">IF(Tabela3[[#This Row],[Data da compra]]&gt;0,(TODAY()-Tabela3[[#This Row],[Data da compra]])/365,"")</f>
        <v/>
      </c>
      <c r="P740" s="7" t="str">
        <f>IFERROR(VLOOKUP(Tabela3[[#This Row],[Categoria]],Cadastros!A:C,3,0),"")</f>
        <v/>
      </c>
      <c r="Q740" s="9" t="str">
        <f ca="1">IFERROR(Tabela3[[#This Row],[Vida útil]]-Tabela3[[#This Row],[Idade]],"")</f>
        <v/>
      </c>
      <c r="R740" s="8" t="str">
        <f ca="1">IFERROR(Tabela3[[#This Row],[Valor]]-(Tabela3[[#This Row],[Valor]]*(Tabela3[[#This Row],[Idade]]*VLOOKUP(Tabela3[[#This Row],[Categoria]],Cadastros!A:B,2,0))),"")</f>
        <v/>
      </c>
    </row>
    <row r="741" spans="4:18" x14ac:dyDescent="0.25">
      <c r="D741" s="5"/>
      <c r="N741" s="6" t="str">
        <f>IFERROR(Tabela3[[#This Row],[Última revisão do bem]]+(VLOOKUP(Tabela3[[#This Row],[Categoria]],Cadastros!A:D,4,0)+365),"")</f>
        <v/>
      </c>
      <c r="O741" s="7" t="str">
        <f ca="1">IF(Tabela3[[#This Row],[Data da compra]]&gt;0,(TODAY()-Tabela3[[#This Row],[Data da compra]])/365,"")</f>
        <v/>
      </c>
      <c r="P741" s="7" t="str">
        <f>IFERROR(VLOOKUP(Tabela3[[#This Row],[Categoria]],Cadastros!A:C,3,0),"")</f>
        <v/>
      </c>
      <c r="Q741" s="9" t="str">
        <f ca="1">IFERROR(Tabela3[[#This Row],[Vida útil]]-Tabela3[[#This Row],[Idade]],"")</f>
        <v/>
      </c>
      <c r="R741" s="8" t="str">
        <f ca="1">IFERROR(Tabela3[[#This Row],[Valor]]-(Tabela3[[#This Row],[Valor]]*(Tabela3[[#This Row],[Idade]]*VLOOKUP(Tabela3[[#This Row],[Categoria]],Cadastros!A:B,2,0))),"")</f>
        <v/>
      </c>
    </row>
    <row r="742" spans="4:18" x14ac:dyDescent="0.25">
      <c r="D742" s="5"/>
      <c r="N742" s="6" t="str">
        <f>IFERROR(Tabela3[[#This Row],[Última revisão do bem]]+(VLOOKUP(Tabela3[[#This Row],[Categoria]],Cadastros!A:D,4,0)+365),"")</f>
        <v/>
      </c>
      <c r="O742" s="7" t="str">
        <f ca="1">IF(Tabela3[[#This Row],[Data da compra]]&gt;0,(TODAY()-Tabela3[[#This Row],[Data da compra]])/365,"")</f>
        <v/>
      </c>
      <c r="P742" s="7" t="str">
        <f>IFERROR(VLOOKUP(Tabela3[[#This Row],[Categoria]],Cadastros!A:C,3,0),"")</f>
        <v/>
      </c>
      <c r="Q742" s="9" t="str">
        <f ca="1">IFERROR(Tabela3[[#This Row],[Vida útil]]-Tabela3[[#This Row],[Idade]],"")</f>
        <v/>
      </c>
      <c r="R742" s="8" t="str">
        <f ca="1">IFERROR(Tabela3[[#This Row],[Valor]]-(Tabela3[[#This Row],[Valor]]*(Tabela3[[#This Row],[Idade]]*VLOOKUP(Tabela3[[#This Row],[Categoria]],Cadastros!A:B,2,0))),"")</f>
        <v/>
      </c>
    </row>
    <row r="743" spans="4:18" x14ac:dyDescent="0.25">
      <c r="D743" s="5"/>
      <c r="N743" s="6" t="str">
        <f>IFERROR(Tabela3[[#This Row],[Última revisão do bem]]+(VLOOKUP(Tabela3[[#This Row],[Categoria]],Cadastros!A:D,4,0)+365),"")</f>
        <v/>
      </c>
      <c r="O743" s="7" t="str">
        <f ca="1">IF(Tabela3[[#This Row],[Data da compra]]&gt;0,(TODAY()-Tabela3[[#This Row],[Data da compra]])/365,"")</f>
        <v/>
      </c>
      <c r="P743" s="7" t="str">
        <f>IFERROR(VLOOKUP(Tabela3[[#This Row],[Categoria]],Cadastros!A:C,3,0),"")</f>
        <v/>
      </c>
      <c r="Q743" s="9" t="str">
        <f ca="1">IFERROR(Tabela3[[#This Row],[Vida útil]]-Tabela3[[#This Row],[Idade]],"")</f>
        <v/>
      </c>
      <c r="R743" s="8" t="str">
        <f ca="1">IFERROR(Tabela3[[#This Row],[Valor]]-(Tabela3[[#This Row],[Valor]]*(Tabela3[[#This Row],[Idade]]*VLOOKUP(Tabela3[[#This Row],[Categoria]],Cadastros!A:B,2,0))),"")</f>
        <v/>
      </c>
    </row>
    <row r="744" spans="4:18" x14ac:dyDescent="0.25">
      <c r="D744" s="5"/>
      <c r="N744" s="6" t="str">
        <f>IFERROR(Tabela3[[#This Row],[Última revisão do bem]]+(VLOOKUP(Tabela3[[#This Row],[Categoria]],Cadastros!A:D,4,0)+365),"")</f>
        <v/>
      </c>
      <c r="O744" s="7" t="str">
        <f ca="1">IF(Tabela3[[#This Row],[Data da compra]]&gt;0,(TODAY()-Tabela3[[#This Row],[Data da compra]])/365,"")</f>
        <v/>
      </c>
      <c r="P744" s="7" t="str">
        <f>IFERROR(VLOOKUP(Tabela3[[#This Row],[Categoria]],Cadastros!A:C,3,0),"")</f>
        <v/>
      </c>
      <c r="Q744" s="9" t="str">
        <f ca="1">IFERROR(Tabela3[[#This Row],[Vida útil]]-Tabela3[[#This Row],[Idade]],"")</f>
        <v/>
      </c>
      <c r="R744" s="8" t="str">
        <f ca="1">IFERROR(Tabela3[[#This Row],[Valor]]-(Tabela3[[#This Row],[Valor]]*(Tabela3[[#This Row],[Idade]]*VLOOKUP(Tabela3[[#This Row],[Categoria]],Cadastros!A:B,2,0))),"")</f>
        <v/>
      </c>
    </row>
    <row r="745" spans="4:18" x14ac:dyDescent="0.25">
      <c r="D745" s="5"/>
      <c r="N745" s="6" t="str">
        <f>IFERROR(Tabela3[[#This Row],[Última revisão do bem]]+(VLOOKUP(Tabela3[[#This Row],[Categoria]],Cadastros!A:D,4,0)+365),"")</f>
        <v/>
      </c>
      <c r="O745" s="7" t="str">
        <f ca="1">IF(Tabela3[[#This Row],[Data da compra]]&gt;0,(TODAY()-Tabela3[[#This Row],[Data da compra]])/365,"")</f>
        <v/>
      </c>
      <c r="P745" s="7" t="str">
        <f>IFERROR(VLOOKUP(Tabela3[[#This Row],[Categoria]],Cadastros!A:C,3,0),"")</f>
        <v/>
      </c>
      <c r="Q745" s="9" t="str">
        <f ca="1">IFERROR(Tabela3[[#This Row],[Vida útil]]-Tabela3[[#This Row],[Idade]],"")</f>
        <v/>
      </c>
      <c r="R745" s="8" t="str">
        <f ca="1">IFERROR(Tabela3[[#This Row],[Valor]]-(Tabela3[[#This Row],[Valor]]*(Tabela3[[#This Row],[Idade]]*VLOOKUP(Tabela3[[#This Row],[Categoria]],Cadastros!A:B,2,0))),"")</f>
        <v/>
      </c>
    </row>
    <row r="746" spans="4:18" x14ac:dyDescent="0.25">
      <c r="D746" s="5"/>
      <c r="N746" s="6" t="str">
        <f>IFERROR(Tabela3[[#This Row],[Última revisão do bem]]+(VLOOKUP(Tabela3[[#This Row],[Categoria]],Cadastros!A:D,4,0)+365),"")</f>
        <v/>
      </c>
      <c r="O746" s="7" t="str">
        <f ca="1">IF(Tabela3[[#This Row],[Data da compra]]&gt;0,(TODAY()-Tabela3[[#This Row],[Data da compra]])/365,"")</f>
        <v/>
      </c>
      <c r="P746" s="7" t="str">
        <f>IFERROR(VLOOKUP(Tabela3[[#This Row],[Categoria]],Cadastros!A:C,3,0),"")</f>
        <v/>
      </c>
      <c r="Q746" s="9" t="str">
        <f ca="1">IFERROR(Tabela3[[#This Row],[Vida útil]]-Tabela3[[#This Row],[Idade]],"")</f>
        <v/>
      </c>
      <c r="R746" s="8" t="str">
        <f ca="1">IFERROR(Tabela3[[#This Row],[Valor]]-(Tabela3[[#This Row],[Valor]]*(Tabela3[[#This Row],[Idade]]*VLOOKUP(Tabela3[[#This Row],[Categoria]],Cadastros!A:B,2,0))),"")</f>
        <v/>
      </c>
    </row>
    <row r="747" spans="4:18" x14ac:dyDescent="0.25">
      <c r="D747" s="5"/>
      <c r="N747" s="6" t="str">
        <f>IFERROR(Tabela3[[#This Row],[Última revisão do bem]]+(VLOOKUP(Tabela3[[#This Row],[Categoria]],Cadastros!A:D,4,0)+365),"")</f>
        <v/>
      </c>
      <c r="O747" s="7" t="str">
        <f ca="1">IF(Tabela3[[#This Row],[Data da compra]]&gt;0,(TODAY()-Tabela3[[#This Row],[Data da compra]])/365,"")</f>
        <v/>
      </c>
      <c r="P747" s="7" t="str">
        <f>IFERROR(VLOOKUP(Tabela3[[#This Row],[Categoria]],Cadastros!A:C,3,0),"")</f>
        <v/>
      </c>
      <c r="Q747" s="9" t="str">
        <f ca="1">IFERROR(Tabela3[[#This Row],[Vida útil]]-Tabela3[[#This Row],[Idade]],"")</f>
        <v/>
      </c>
      <c r="R747" s="8" t="str">
        <f ca="1">IFERROR(Tabela3[[#This Row],[Valor]]-(Tabela3[[#This Row],[Valor]]*(Tabela3[[#This Row],[Idade]]*VLOOKUP(Tabela3[[#This Row],[Categoria]],Cadastros!A:B,2,0))),"")</f>
        <v/>
      </c>
    </row>
    <row r="748" spans="4:18" x14ac:dyDescent="0.25">
      <c r="D748" s="5"/>
      <c r="N748" s="6" t="str">
        <f>IFERROR(Tabela3[[#This Row],[Última revisão do bem]]+(VLOOKUP(Tabela3[[#This Row],[Categoria]],Cadastros!A:D,4,0)+365),"")</f>
        <v/>
      </c>
      <c r="O748" s="7" t="str">
        <f ca="1">IF(Tabela3[[#This Row],[Data da compra]]&gt;0,(TODAY()-Tabela3[[#This Row],[Data da compra]])/365,"")</f>
        <v/>
      </c>
      <c r="P748" s="7" t="str">
        <f>IFERROR(VLOOKUP(Tabela3[[#This Row],[Categoria]],Cadastros!A:C,3,0),"")</f>
        <v/>
      </c>
      <c r="Q748" s="9" t="str">
        <f ca="1">IFERROR(Tabela3[[#This Row],[Vida útil]]-Tabela3[[#This Row],[Idade]],"")</f>
        <v/>
      </c>
      <c r="R748" s="8" t="str">
        <f ca="1">IFERROR(Tabela3[[#This Row],[Valor]]-(Tabela3[[#This Row],[Valor]]*(Tabela3[[#This Row],[Idade]]*VLOOKUP(Tabela3[[#This Row],[Categoria]],Cadastros!A:B,2,0))),"")</f>
        <v/>
      </c>
    </row>
    <row r="749" spans="4:18" x14ac:dyDescent="0.25">
      <c r="D749" s="5"/>
      <c r="N749" s="6" t="str">
        <f>IFERROR(Tabela3[[#This Row],[Última revisão do bem]]+(VLOOKUP(Tabela3[[#This Row],[Categoria]],Cadastros!A:D,4,0)+365),"")</f>
        <v/>
      </c>
      <c r="O749" s="7" t="str">
        <f ca="1">IF(Tabela3[[#This Row],[Data da compra]]&gt;0,(TODAY()-Tabela3[[#This Row],[Data da compra]])/365,"")</f>
        <v/>
      </c>
      <c r="P749" s="7" t="str">
        <f>IFERROR(VLOOKUP(Tabela3[[#This Row],[Categoria]],Cadastros!A:C,3,0),"")</f>
        <v/>
      </c>
      <c r="Q749" s="9" t="str">
        <f ca="1">IFERROR(Tabela3[[#This Row],[Vida útil]]-Tabela3[[#This Row],[Idade]],"")</f>
        <v/>
      </c>
      <c r="R749" s="8" t="str">
        <f ca="1">IFERROR(Tabela3[[#This Row],[Valor]]-(Tabela3[[#This Row],[Valor]]*(Tabela3[[#This Row],[Idade]]*VLOOKUP(Tabela3[[#This Row],[Categoria]],Cadastros!A:B,2,0))),"")</f>
        <v/>
      </c>
    </row>
    <row r="750" spans="4:18" x14ac:dyDescent="0.25">
      <c r="D750" s="5"/>
      <c r="N750" s="6" t="str">
        <f>IFERROR(Tabela3[[#This Row],[Última revisão do bem]]+(VLOOKUP(Tabela3[[#This Row],[Categoria]],Cadastros!A:D,4,0)+365),"")</f>
        <v/>
      </c>
      <c r="O750" s="7" t="str">
        <f ca="1">IF(Tabela3[[#This Row],[Data da compra]]&gt;0,(TODAY()-Tabela3[[#This Row],[Data da compra]])/365,"")</f>
        <v/>
      </c>
      <c r="P750" s="7" t="str">
        <f>IFERROR(VLOOKUP(Tabela3[[#This Row],[Categoria]],Cadastros!A:C,3,0),"")</f>
        <v/>
      </c>
      <c r="Q750" s="9" t="str">
        <f ca="1">IFERROR(Tabela3[[#This Row],[Vida útil]]-Tabela3[[#This Row],[Idade]],"")</f>
        <v/>
      </c>
      <c r="R750" s="8" t="str">
        <f ca="1">IFERROR(Tabela3[[#This Row],[Valor]]-(Tabela3[[#This Row],[Valor]]*(Tabela3[[#This Row],[Idade]]*VLOOKUP(Tabela3[[#This Row],[Categoria]],Cadastros!A:B,2,0))),"")</f>
        <v/>
      </c>
    </row>
    <row r="751" spans="4:18" x14ac:dyDescent="0.25">
      <c r="D751" s="5"/>
      <c r="N751" s="6" t="str">
        <f>IFERROR(Tabela3[[#This Row],[Última revisão do bem]]+(VLOOKUP(Tabela3[[#This Row],[Categoria]],Cadastros!A:D,4,0)+365),"")</f>
        <v/>
      </c>
      <c r="O751" s="7" t="str">
        <f ca="1">IF(Tabela3[[#This Row],[Data da compra]]&gt;0,(TODAY()-Tabela3[[#This Row],[Data da compra]])/365,"")</f>
        <v/>
      </c>
      <c r="P751" s="7" t="str">
        <f>IFERROR(VLOOKUP(Tabela3[[#This Row],[Categoria]],Cadastros!A:C,3,0),"")</f>
        <v/>
      </c>
      <c r="Q751" s="9" t="str">
        <f ca="1">IFERROR(Tabela3[[#This Row],[Vida útil]]-Tabela3[[#This Row],[Idade]],"")</f>
        <v/>
      </c>
      <c r="R751" s="8" t="str">
        <f ca="1">IFERROR(Tabela3[[#This Row],[Valor]]-(Tabela3[[#This Row],[Valor]]*(Tabela3[[#This Row],[Idade]]*VLOOKUP(Tabela3[[#This Row],[Categoria]],Cadastros!A:B,2,0))),"")</f>
        <v/>
      </c>
    </row>
    <row r="752" spans="4:18" x14ac:dyDescent="0.25">
      <c r="D752" s="5"/>
      <c r="N752" s="6" t="str">
        <f>IFERROR(Tabela3[[#This Row],[Última revisão do bem]]+(VLOOKUP(Tabela3[[#This Row],[Categoria]],Cadastros!A:D,4,0)+365),"")</f>
        <v/>
      </c>
      <c r="O752" s="7" t="str">
        <f ca="1">IF(Tabela3[[#This Row],[Data da compra]]&gt;0,(TODAY()-Tabela3[[#This Row],[Data da compra]])/365,"")</f>
        <v/>
      </c>
      <c r="P752" s="7" t="str">
        <f>IFERROR(VLOOKUP(Tabela3[[#This Row],[Categoria]],Cadastros!A:C,3,0),"")</f>
        <v/>
      </c>
      <c r="Q752" s="9" t="str">
        <f ca="1">IFERROR(Tabela3[[#This Row],[Vida útil]]-Tabela3[[#This Row],[Idade]],"")</f>
        <v/>
      </c>
      <c r="R752" s="8" t="str">
        <f ca="1">IFERROR(Tabela3[[#This Row],[Valor]]-(Tabela3[[#This Row],[Valor]]*(Tabela3[[#This Row],[Idade]]*VLOOKUP(Tabela3[[#This Row],[Categoria]],Cadastros!A:B,2,0))),"")</f>
        <v/>
      </c>
    </row>
    <row r="753" spans="4:18" x14ac:dyDescent="0.25">
      <c r="D753" s="5"/>
      <c r="N753" s="6" t="str">
        <f>IFERROR(Tabela3[[#This Row],[Última revisão do bem]]+(VLOOKUP(Tabela3[[#This Row],[Categoria]],Cadastros!A:D,4,0)+365),"")</f>
        <v/>
      </c>
      <c r="O753" s="7" t="str">
        <f ca="1">IF(Tabela3[[#This Row],[Data da compra]]&gt;0,(TODAY()-Tabela3[[#This Row],[Data da compra]])/365,"")</f>
        <v/>
      </c>
      <c r="P753" s="7" t="str">
        <f>IFERROR(VLOOKUP(Tabela3[[#This Row],[Categoria]],Cadastros!A:C,3,0),"")</f>
        <v/>
      </c>
      <c r="Q753" s="9" t="str">
        <f ca="1">IFERROR(Tabela3[[#This Row],[Vida útil]]-Tabela3[[#This Row],[Idade]],"")</f>
        <v/>
      </c>
      <c r="R753" s="8" t="str">
        <f ca="1">IFERROR(Tabela3[[#This Row],[Valor]]-(Tabela3[[#This Row],[Valor]]*(Tabela3[[#This Row],[Idade]]*VLOOKUP(Tabela3[[#This Row],[Categoria]],Cadastros!A:B,2,0))),"")</f>
        <v/>
      </c>
    </row>
    <row r="754" spans="4:18" x14ac:dyDescent="0.25">
      <c r="D754" s="5"/>
      <c r="N754" s="6" t="str">
        <f>IFERROR(Tabela3[[#This Row],[Última revisão do bem]]+(VLOOKUP(Tabela3[[#This Row],[Categoria]],Cadastros!A:D,4,0)+365),"")</f>
        <v/>
      </c>
      <c r="O754" s="7" t="str">
        <f ca="1">IF(Tabela3[[#This Row],[Data da compra]]&gt;0,(TODAY()-Tabela3[[#This Row],[Data da compra]])/365,"")</f>
        <v/>
      </c>
      <c r="P754" s="7" t="str">
        <f>IFERROR(VLOOKUP(Tabela3[[#This Row],[Categoria]],Cadastros!A:C,3,0),"")</f>
        <v/>
      </c>
      <c r="Q754" s="9" t="str">
        <f ca="1">IFERROR(Tabela3[[#This Row],[Vida útil]]-Tabela3[[#This Row],[Idade]],"")</f>
        <v/>
      </c>
      <c r="R754" s="8" t="str">
        <f ca="1">IFERROR(Tabela3[[#This Row],[Valor]]-(Tabela3[[#This Row],[Valor]]*(Tabela3[[#This Row],[Idade]]*VLOOKUP(Tabela3[[#This Row],[Categoria]],Cadastros!A:B,2,0))),"")</f>
        <v/>
      </c>
    </row>
    <row r="755" spans="4:18" x14ac:dyDescent="0.25">
      <c r="D755" s="5"/>
      <c r="N755" s="6" t="str">
        <f>IFERROR(Tabela3[[#This Row],[Última revisão do bem]]+(VLOOKUP(Tabela3[[#This Row],[Categoria]],Cadastros!A:D,4,0)+365),"")</f>
        <v/>
      </c>
      <c r="O755" s="7" t="str">
        <f ca="1">IF(Tabela3[[#This Row],[Data da compra]]&gt;0,(TODAY()-Tabela3[[#This Row],[Data da compra]])/365,"")</f>
        <v/>
      </c>
      <c r="P755" s="7" t="str">
        <f>IFERROR(VLOOKUP(Tabela3[[#This Row],[Categoria]],Cadastros!A:C,3,0),"")</f>
        <v/>
      </c>
      <c r="Q755" s="9" t="str">
        <f ca="1">IFERROR(Tabela3[[#This Row],[Vida útil]]-Tabela3[[#This Row],[Idade]],"")</f>
        <v/>
      </c>
      <c r="R755" s="8" t="str">
        <f ca="1">IFERROR(Tabela3[[#This Row],[Valor]]-(Tabela3[[#This Row],[Valor]]*(Tabela3[[#This Row],[Idade]]*VLOOKUP(Tabela3[[#This Row],[Categoria]],Cadastros!A:B,2,0))),"")</f>
        <v/>
      </c>
    </row>
    <row r="756" spans="4:18" x14ac:dyDescent="0.25">
      <c r="D756" s="5"/>
      <c r="N756" s="6" t="str">
        <f>IFERROR(Tabela3[[#This Row],[Última revisão do bem]]+(VLOOKUP(Tabela3[[#This Row],[Categoria]],Cadastros!A:D,4,0)+365),"")</f>
        <v/>
      </c>
      <c r="O756" s="7" t="str">
        <f ca="1">IF(Tabela3[[#This Row],[Data da compra]]&gt;0,(TODAY()-Tabela3[[#This Row],[Data da compra]])/365,"")</f>
        <v/>
      </c>
      <c r="P756" s="7" t="str">
        <f>IFERROR(VLOOKUP(Tabela3[[#This Row],[Categoria]],Cadastros!A:C,3,0),"")</f>
        <v/>
      </c>
      <c r="Q756" s="9" t="str">
        <f ca="1">IFERROR(Tabela3[[#This Row],[Vida útil]]-Tabela3[[#This Row],[Idade]],"")</f>
        <v/>
      </c>
      <c r="R756" s="8" t="str">
        <f ca="1">IFERROR(Tabela3[[#This Row],[Valor]]-(Tabela3[[#This Row],[Valor]]*(Tabela3[[#This Row],[Idade]]*VLOOKUP(Tabela3[[#This Row],[Categoria]],Cadastros!A:B,2,0))),"")</f>
        <v/>
      </c>
    </row>
    <row r="757" spans="4:18" x14ac:dyDescent="0.25">
      <c r="D757" s="5"/>
      <c r="N757" s="6" t="str">
        <f>IFERROR(Tabela3[[#This Row],[Última revisão do bem]]+(VLOOKUP(Tabela3[[#This Row],[Categoria]],Cadastros!A:D,4,0)+365),"")</f>
        <v/>
      </c>
      <c r="O757" s="7" t="str">
        <f ca="1">IF(Tabela3[[#This Row],[Data da compra]]&gt;0,(TODAY()-Tabela3[[#This Row],[Data da compra]])/365,"")</f>
        <v/>
      </c>
      <c r="P757" s="7" t="str">
        <f>IFERROR(VLOOKUP(Tabela3[[#This Row],[Categoria]],Cadastros!A:C,3,0),"")</f>
        <v/>
      </c>
      <c r="Q757" s="9" t="str">
        <f ca="1">IFERROR(Tabela3[[#This Row],[Vida útil]]-Tabela3[[#This Row],[Idade]],"")</f>
        <v/>
      </c>
      <c r="R757" s="8" t="str">
        <f ca="1">IFERROR(Tabela3[[#This Row],[Valor]]-(Tabela3[[#This Row],[Valor]]*(Tabela3[[#This Row],[Idade]]*VLOOKUP(Tabela3[[#This Row],[Categoria]],Cadastros!A:B,2,0))),"")</f>
        <v/>
      </c>
    </row>
    <row r="758" spans="4:18" x14ac:dyDescent="0.25">
      <c r="D758" s="5"/>
      <c r="N758" s="6" t="str">
        <f>IFERROR(Tabela3[[#This Row],[Última revisão do bem]]+(VLOOKUP(Tabela3[[#This Row],[Categoria]],Cadastros!A:D,4,0)+365),"")</f>
        <v/>
      </c>
      <c r="O758" s="7" t="str">
        <f ca="1">IF(Tabela3[[#This Row],[Data da compra]]&gt;0,(TODAY()-Tabela3[[#This Row],[Data da compra]])/365,"")</f>
        <v/>
      </c>
      <c r="P758" s="7" t="str">
        <f>IFERROR(VLOOKUP(Tabela3[[#This Row],[Categoria]],Cadastros!A:C,3,0),"")</f>
        <v/>
      </c>
      <c r="Q758" s="9" t="str">
        <f ca="1">IFERROR(Tabela3[[#This Row],[Vida útil]]-Tabela3[[#This Row],[Idade]],"")</f>
        <v/>
      </c>
      <c r="R758" s="8" t="str">
        <f ca="1">IFERROR(Tabela3[[#This Row],[Valor]]-(Tabela3[[#This Row],[Valor]]*(Tabela3[[#This Row],[Idade]]*VLOOKUP(Tabela3[[#This Row],[Categoria]],Cadastros!A:B,2,0))),"")</f>
        <v/>
      </c>
    </row>
    <row r="759" spans="4:18" x14ac:dyDescent="0.25">
      <c r="D759" s="5"/>
      <c r="N759" s="6" t="str">
        <f>IFERROR(Tabela3[[#This Row],[Última revisão do bem]]+(VLOOKUP(Tabela3[[#This Row],[Categoria]],Cadastros!A:D,4,0)+365),"")</f>
        <v/>
      </c>
      <c r="O759" s="7" t="str">
        <f ca="1">IF(Tabela3[[#This Row],[Data da compra]]&gt;0,(TODAY()-Tabela3[[#This Row],[Data da compra]])/365,"")</f>
        <v/>
      </c>
      <c r="P759" s="7" t="str">
        <f>IFERROR(VLOOKUP(Tabela3[[#This Row],[Categoria]],Cadastros!A:C,3,0),"")</f>
        <v/>
      </c>
      <c r="Q759" s="9" t="str">
        <f ca="1">IFERROR(Tabela3[[#This Row],[Vida útil]]-Tabela3[[#This Row],[Idade]],"")</f>
        <v/>
      </c>
      <c r="R759" s="8" t="str">
        <f ca="1">IFERROR(Tabela3[[#This Row],[Valor]]-(Tabela3[[#This Row],[Valor]]*(Tabela3[[#This Row],[Idade]]*VLOOKUP(Tabela3[[#This Row],[Categoria]],Cadastros!A:B,2,0))),"")</f>
        <v/>
      </c>
    </row>
    <row r="760" spans="4:18" x14ac:dyDescent="0.25">
      <c r="D760" s="5"/>
      <c r="N760" s="6" t="str">
        <f>IFERROR(Tabela3[[#This Row],[Última revisão do bem]]+(VLOOKUP(Tabela3[[#This Row],[Categoria]],Cadastros!A:D,4,0)+365),"")</f>
        <v/>
      </c>
      <c r="O760" s="7" t="str">
        <f ca="1">IF(Tabela3[[#This Row],[Data da compra]]&gt;0,(TODAY()-Tabela3[[#This Row],[Data da compra]])/365,"")</f>
        <v/>
      </c>
      <c r="P760" s="7" t="str">
        <f>IFERROR(VLOOKUP(Tabela3[[#This Row],[Categoria]],Cadastros!A:C,3,0),"")</f>
        <v/>
      </c>
      <c r="Q760" s="9" t="str">
        <f ca="1">IFERROR(Tabela3[[#This Row],[Vida útil]]-Tabela3[[#This Row],[Idade]],"")</f>
        <v/>
      </c>
      <c r="R760" s="8" t="str">
        <f ca="1">IFERROR(Tabela3[[#This Row],[Valor]]-(Tabela3[[#This Row],[Valor]]*(Tabela3[[#This Row],[Idade]]*VLOOKUP(Tabela3[[#This Row],[Categoria]],Cadastros!A:B,2,0))),"")</f>
        <v/>
      </c>
    </row>
    <row r="761" spans="4:18" x14ac:dyDescent="0.25">
      <c r="D761" s="5"/>
      <c r="N761" s="6" t="str">
        <f>IFERROR(Tabela3[[#This Row],[Última revisão do bem]]+(VLOOKUP(Tabela3[[#This Row],[Categoria]],Cadastros!A:D,4,0)+365),"")</f>
        <v/>
      </c>
      <c r="O761" s="7" t="str">
        <f ca="1">IF(Tabela3[[#This Row],[Data da compra]]&gt;0,(TODAY()-Tabela3[[#This Row],[Data da compra]])/365,"")</f>
        <v/>
      </c>
      <c r="P761" s="7" t="str">
        <f>IFERROR(VLOOKUP(Tabela3[[#This Row],[Categoria]],Cadastros!A:C,3,0),"")</f>
        <v/>
      </c>
      <c r="Q761" s="9" t="str">
        <f ca="1">IFERROR(Tabela3[[#This Row],[Vida útil]]-Tabela3[[#This Row],[Idade]],"")</f>
        <v/>
      </c>
      <c r="R761" s="8" t="str">
        <f ca="1">IFERROR(Tabela3[[#This Row],[Valor]]-(Tabela3[[#This Row],[Valor]]*(Tabela3[[#This Row],[Idade]]*VLOOKUP(Tabela3[[#This Row],[Categoria]],Cadastros!A:B,2,0))),"")</f>
        <v/>
      </c>
    </row>
    <row r="762" spans="4:18" x14ac:dyDescent="0.25">
      <c r="D762" s="22"/>
      <c r="N762" s="6" t="str">
        <f>IFERROR(Tabela3[[#This Row],[Última revisão do bem]]+(VLOOKUP(Tabela3[[#This Row],[Categoria]],Cadastros!A:D,4,0)+365),"")</f>
        <v/>
      </c>
      <c r="O762" s="7" t="str">
        <f ca="1">IF(Tabela3[[#This Row],[Data da compra]]&gt;0,(TODAY()-Tabela3[[#This Row],[Data da compra]])/365,"")</f>
        <v/>
      </c>
      <c r="P762" s="7" t="str">
        <f>IFERROR(VLOOKUP(Tabela3[[#This Row],[Categoria]],Cadastros!A:C,3,0),"")</f>
        <v/>
      </c>
      <c r="Q762" s="9" t="str">
        <f ca="1">IFERROR(Tabela3[[#This Row],[Vida útil]]-Tabela3[[#This Row],[Idade]],"")</f>
        <v/>
      </c>
      <c r="R762" s="23" t="str">
        <f ca="1">IFERROR(Tabela3[[#This Row],[Valor]]-(Tabela3[[#This Row],[Valor]]*(Tabela3[[#This Row],[Idade]]*VLOOKUP(Tabela3[[#This Row],[Categoria]],Cadastros!A:B,2,0))),"")</f>
        <v/>
      </c>
    </row>
    <row r="763" spans="4:18" x14ac:dyDescent="0.25">
      <c r="D763" s="5"/>
      <c r="N763" s="6" t="str">
        <f>IFERROR(Tabela3[[#This Row],[Última revisão do bem]]+(VLOOKUP(Tabela3[[#This Row],[Categoria]],Cadastros!A:D,4,0)+365),"")</f>
        <v/>
      </c>
      <c r="O763" s="7" t="str">
        <f ca="1">IF(Tabela3[[#This Row],[Data da compra]]&gt;0,(TODAY()-Tabela3[[#This Row],[Data da compra]])/365,"")</f>
        <v/>
      </c>
      <c r="P763" s="7" t="str">
        <f>IFERROR(VLOOKUP(Tabela3[[#This Row],[Categoria]],Cadastros!A:C,3,0),"")</f>
        <v/>
      </c>
      <c r="Q763" s="9" t="str">
        <f ca="1">IFERROR(Tabela3[[#This Row],[Vida útil]]-Tabela3[[#This Row],[Idade]],"")</f>
        <v/>
      </c>
      <c r="R763" s="8" t="str">
        <f ca="1">IFERROR(Tabela3[[#This Row],[Valor]]-(Tabela3[[#This Row],[Valor]]*(Tabela3[[#This Row],[Idade]]*VLOOKUP(Tabela3[[#This Row],[Categoria]],Cadastros!A:B,2,0))),"")</f>
        <v/>
      </c>
    </row>
    <row r="764" spans="4:18" x14ac:dyDescent="0.25">
      <c r="D764" s="5"/>
      <c r="N764" s="6" t="str">
        <f>IFERROR(Tabela3[[#This Row],[Última revisão do bem]]+(VLOOKUP(Tabela3[[#This Row],[Categoria]],Cadastros!A:D,4,0)+365),"")</f>
        <v/>
      </c>
      <c r="O764" s="7" t="str">
        <f ca="1">IF(Tabela3[[#This Row],[Data da compra]]&gt;0,(TODAY()-Tabela3[[#This Row],[Data da compra]])/365,"")</f>
        <v/>
      </c>
      <c r="P764" s="7" t="str">
        <f>IFERROR(VLOOKUP(Tabela3[[#This Row],[Categoria]],Cadastros!A:C,3,0),"")</f>
        <v/>
      </c>
      <c r="Q764" s="9" t="str">
        <f ca="1">IFERROR(Tabela3[[#This Row],[Vida útil]]-Tabela3[[#This Row],[Idade]],"")</f>
        <v/>
      </c>
      <c r="R764" s="8" t="str">
        <f ca="1">IFERROR(Tabela3[[#This Row],[Valor]]-(Tabela3[[#This Row],[Valor]]*(Tabela3[[#This Row],[Idade]]*VLOOKUP(Tabela3[[#This Row],[Categoria]],Cadastros!A:B,2,0))),"")</f>
        <v/>
      </c>
    </row>
    <row r="765" spans="4:18" x14ac:dyDescent="0.25">
      <c r="D765" s="5"/>
      <c r="N765" s="6" t="str">
        <f>IFERROR(Tabela3[[#This Row],[Última revisão do bem]]+(VLOOKUP(Tabela3[[#This Row],[Categoria]],Cadastros!A:D,4,0)+365),"")</f>
        <v/>
      </c>
      <c r="O765" s="7" t="str">
        <f ca="1">IF(Tabela3[[#This Row],[Data da compra]]&gt;0,(TODAY()-Tabela3[[#This Row],[Data da compra]])/365,"")</f>
        <v/>
      </c>
      <c r="P765" s="7" t="str">
        <f>IFERROR(VLOOKUP(Tabela3[[#This Row],[Categoria]],Cadastros!A:C,3,0),"")</f>
        <v/>
      </c>
      <c r="Q765" s="9" t="str">
        <f ca="1">IFERROR(Tabela3[[#This Row],[Vida útil]]-Tabela3[[#This Row],[Idade]],"")</f>
        <v/>
      </c>
      <c r="R765" s="8" t="str">
        <f ca="1">IFERROR(Tabela3[[#This Row],[Valor]]-(Tabela3[[#This Row],[Valor]]*(Tabela3[[#This Row],[Idade]]*VLOOKUP(Tabela3[[#This Row],[Categoria]],Cadastros!A:B,2,0))),"")</f>
        <v/>
      </c>
    </row>
    <row r="766" spans="4:18" x14ac:dyDescent="0.25">
      <c r="D766" s="5"/>
      <c r="N766" s="6" t="str">
        <f>IFERROR(Tabela3[[#This Row],[Última revisão do bem]]+(VLOOKUP(Tabela3[[#This Row],[Categoria]],Cadastros!A:D,4,0)+365),"")</f>
        <v/>
      </c>
      <c r="O766" s="7" t="str">
        <f ca="1">IF(Tabela3[[#This Row],[Data da compra]]&gt;0,(TODAY()-Tabela3[[#This Row],[Data da compra]])/365,"")</f>
        <v/>
      </c>
      <c r="P766" s="7" t="str">
        <f>IFERROR(VLOOKUP(Tabela3[[#This Row],[Categoria]],Cadastros!A:C,3,0),"")</f>
        <v/>
      </c>
      <c r="Q766" s="9" t="str">
        <f ca="1">IFERROR(Tabela3[[#This Row],[Vida útil]]-Tabela3[[#This Row],[Idade]],"")</f>
        <v/>
      </c>
      <c r="R766" s="8" t="str">
        <f ca="1">IFERROR(Tabela3[[#This Row],[Valor]]-(Tabela3[[#This Row],[Valor]]*(Tabela3[[#This Row],[Idade]]*VLOOKUP(Tabela3[[#This Row],[Categoria]],Cadastros!A:B,2,0))),"")</f>
        <v/>
      </c>
    </row>
    <row r="767" spans="4:18" x14ac:dyDescent="0.25">
      <c r="D767" s="5"/>
      <c r="N767" s="6" t="str">
        <f>IFERROR(Tabela3[[#This Row],[Última revisão do bem]]+(VLOOKUP(Tabela3[[#This Row],[Categoria]],Cadastros!A:D,4,0)+365),"")</f>
        <v/>
      </c>
      <c r="O767" s="7" t="str">
        <f ca="1">IF(Tabela3[[#This Row],[Data da compra]]&gt;0,(TODAY()-Tabela3[[#This Row],[Data da compra]])/365,"")</f>
        <v/>
      </c>
      <c r="P767" s="7" t="str">
        <f>IFERROR(VLOOKUP(Tabela3[[#This Row],[Categoria]],Cadastros!A:C,3,0),"")</f>
        <v/>
      </c>
      <c r="Q767" s="9" t="str">
        <f ca="1">IFERROR(Tabela3[[#This Row],[Vida útil]]-Tabela3[[#This Row],[Idade]],"")</f>
        <v/>
      </c>
      <c r="R767" s="8" t="str">
        <f ca="1">IFERROR(Tabela3[[#This Row],[Valor]]-(Tabela3[[#This Row],[Valor]]*(Tabela3[[#This Row],[Idade]]*VLOOKUP(Tabela3[[#This Row],[Categoria]],Cadastros!A:B,2,0))),"")</f>
        <v/>
      </c>
    </row>
    <row r="768" spans="4:18" x14ac:dyDescent="0.25">
      <c r="D768" s="5"/>
      <c r="N768" s="6" t="str">
        <f>IFERROR(Tabela3[[#This Row],[Última revisão do bem]]+(VLOOKUP(Tabela3[[#This Row],[Categoria]],Cadastros!A:D,4,0)+365),"")</f>
        <v/>
      </c>
      <c r="O768" s="7" t="str">
        <f ca="1">IF(Tabela3[[#This Row],[Data da compra]]&gt;0,(TODAY()-Tabela3[[#This Row],[Data da compra]])/365,"")</f>
        <v/>
      </c>
      <c r="P768" s="7" t="str">
        <f>IFERROR(VLOOKUP(Tabela3[[#This Row],[Categoria]],Cadastros!A:C,3,0),"")</f>
        <v/>
      </c>
      <c r="Q768" s="9" t="str">
        <f ca="1">IFERROR(Tabela3[[#This Row],[Vida útil]]-Tabela3[[#This Row],[Idade]],"")</f>
        <v/>
      </c>
      <c r="R768" s="8" t="str">
        <f ca="1">IFERROR(Tabela3[[#This Row],[Valor]]-(Tabela3[[#This Row],[Valor]]*(Tabela3[[#This Row],[Idade]]*VLOOKUP(Tabela3[[#This Row],[Categoria]],Cadastros!A:B,2,0))),"")</f>
        <v/>
      </c>
    </row>
    <row r="769" spans="4:18" x14ac:dyDescent="0.25">
      <c r="D769" s="5"/>
      <c r="N769" s="6" t="str">
        <f>IFERROR(Tabela3[[#This Row],[Última revisão do bem]]+(VLOOKUP(Tabela3[[#This Row],[Categoria]],Cadastros!A:D,4,0)+365),"")</f>
        <v/>
      </c>
      <c r="O769" s="7" t="str">
        <f ca="1">IF(Tabela3[[#This Row],[Data da compra]]&gt;0,(TODAY()-Tabela3[[#This Row],[Data da compra]])/365,"")</f>
        <v/>
      </c>
      <c r="P769" s="7" t="str">
        <f>IFERROR(VLOOKUP(Tabela3[[#This Row],[Categoria]],Cadastros!A:C,3,0),"")</f>
        <v/>
      </c>
      <c r="Q769" s="9" t="str">
        <f ca="1">IFERROR(Tabela3[[#This Row],[Vida útil]]-Tabela3[[#This Row],[Idade]],"")</f>
        <v/>
      </c>
      <c r="R769" s="8" t="str">
        <f ca="1">IFERROR(Tabela3[[#This Row],[Valor]]-(Tabela3[[#This Row],[Valor]]*(Tabela3[[#This Row],[Idade]]*VLOOKUP(Tabela3[[#This Row],[Categoria]],Cadastros!A:B,2,0))),"")</f>
        <v/>
      </c>
    </row>
    <row r="770" spans="4:18" x14ac:dyDescent="0.25">
      <c r="D770" s="5"/>
      <c r="N770" s="6" t="str">
        <f>IFERROR(Tabela3[[#This Row],[Última revisão do bem]]+(VLOOKUP(Tabela3[[#This Row],[Categoria]],Cadastros!A:D,4,0)+365),"")</f>
        <v/>
      </c>
      <c r="O770" s="7" t="str">
        <f ca="1">IF(Tabela3[[#This Row],[Data da compra]]&gt;0,(TODAY()-Tabela3[[#This Row],[Data da compra]])/365,"")</f>
        <v/>
      </c>
      <c r="P770" s="7" t="str">
        <f>IFERROR(VLOOKUP(Tabela3[[#This Row],[Categoria]],Cadastros!A:C,3,0),"")</f>
        <v/>
      </c>
      <c r="Q770" s="9" t="str">
        <f ca="1">IFERROR(Tabela3[[#This Row],[Vida útil]]-Tabela3[[#This Row],[Idade]],"")</f>
        <v/>
      </c>
      <c r="R770" s="8" t="str">
        <f ca="1">IFERROR(Tabela3[[#This Row],[Valor]]-(Tabela3[[#This Row],[Valor]]*(Tabela3[[#This Row],[Idade]]*VLOOKUP(Tabela3[[#This Row],[Categoria]],Cadastros!A:B,2,0))),"")</f>
        <v/>
      </c>
    </row>
    <row r="771" spans="4:18" x14ac:dyDescent="0.25">
      <c r="D771" s="5"/>
      <c r="N771" s="6" t="str">
        <f>IFERROR(Tabela3[[#This Row],[Última revisão do bem]]+(VLOOKUP(Tabela3[[#This Row],[Categoria]],Cadastros!A:D,4,0)+365),"")</f>
        <v/>
      </c>
      <c r="O771" s="7" t="str">
        <f ca="1">IF(Tabela3[[#This Row],[Data da compra]]&gt;0,(TODAY()-Tabela3[[#This Row],[Data da compra]])/365,"")</f>
        <v/>
      </c>
      <c r="P771" s="7" t="str">
        <f>IFERROR(VLOOKUP(Tabela3[[#This Row],[Categoria]],Cadastros!A:C,3,0),"")</f>
        <v/>
      </c>
      <c r="Q771" s="9" t="str">
        <f ca="1">IFERROR(Tabela3[[#This Row],[Vida útil]]-Tabela3[[#This Row],[Idade]],"")</f>
        <v/>
      </c>
      <c r="R771" s="8" t="str">
        <f ca="1">IFERROR(Tabela3[[#This Row],[Valor]]-(Tabela3[[#This Row],[Valor]]*(Tabela3[[#This Row],[Idade]]*VLOOKUP(Tabela3[[#This Row],[Categoria]],Cadastros!A:B,2,0))),"")</f>
        <v/>
      </c>
    </row>
    <row r="772" spans="4:18" x14ac:dyDescent="0.25">
      <c r="D772" s="5"/>
      <c r="N772" s="6" t="str">
        <f>IFERROR(Tabela3[[#This Row],[Última revisão do bem]]+(VLOOKUP(Tabela3[[#This Row],[Categoria]],Cadastros!A:D,4,0)+365),"")</f>
        <v/>
      </c>
      <c r="O772" s="7" t="str">
        <f ca="1">IF(Tabela3[[#This Row],[Data da compra]]&gt;0,(TODAY()-Tabela3[[#This Row],[Data da compra]])/365,"")</f>
        <v/>
      </c>
      <c r="P772" s="7" t="str">
        <f>IFERROR(VLOOKUP(Tabela3[[#This Row],[Categoria]],Cadastros!A:C,3,0),"")</f>
        <v/>
      </c>
      <c r="Q772" s="9" t="str">
        <f ca="1">IFERROR(Tabela3[[#This Row],[Vida útil]]-Tabela3[[#This Row],[Idade]],"")</f>
        <v/>
      </c>
      <c r="R772" s="8" t="str">
        <f ca="1">IFERROR(Tabela3[[#This Row],[Valor]]-(Tabela3[[#This Row],[Valor]]*(Tabela3[[#This Row],[Idade]]*VLOOKUP(Tabela3[[#This Row],[Categoria]],Cadastros!A:B,2,0))),"")</f>
        <v/>
      </c>
    </row>
    <row r="773" spans="4:18" x14ac:dyDescent="0.25">
      <c r="D773" s="5"/>
      <c r="N773" s="6" t="str">
        <f>IFERROR(Tabela3[[#This Row],[Última revisão do bem]]+(VLOOKUP(Tabela3[[#This Row],[Categoria]],Cadastros!A:D,4,0)+365),"")</f>
        <v/>
      </c>
      <c r="O773" s="7" t="str">
        <f ca="1">IF(Tabela3[[#This Row],[Data da compra]]&gt;0,(TODAY()-Tabela3[[#This Row],[Data da compra]])/365,"")</f>
        <v/>
      </c>
      <c r="P773" s="7" t="str">
        <f>IFERROR(VLOOKUP(Tabela3[[#This Row],[Categoria]],Cadastros!A:C,3,0),"")</f>
        <v/>
      </c>
      <c r="Q773" s="9" t="str">
        <f ca="1">IFERROR(Tabela3[[#This Row],[Vida útil]]-Tabela3[[#This Row],[Idade]],"")</f>
        <v/>
      </c>
      <c r="R773" s="8" t="str">
        <f ca="1">IFERROR(Tabela3[[#This Row],[Valor]]-(Tabela3[[#This Row],[Valor]]*(Tabela3[[#This Row],[Idade]]*VLOOKUP(Tabela3[[#This Row],[Categoria]],Cadastros!A:B,2,0))),"")</f>
        <v/>
      </c>
    </row>
    <row r="774" spans="4:18" x14ac:dyDescent="0.25">
      <c r="D774" s="5"/>
      <c r="N774" s="6" t="str">
        <f>IFERROR(Tabela3[[#This Row],[Última revisão do bem]]+(VLOOKUP(Tabela3[[#This Row],[Categoria]],Cadastros!A:D,4,0)+365),"")</f>
        <v/>
      </c>
      <c r="O774" s="7" t="str">
        <f ca="1">IF(Tabela3[[#This Row],[Data da compra]]&gt;0,(TODAY()-Tabela3[[#This Row],[Data da compra]])/365,"")</f>
        <v/>
      </c>
      <c r="P774" s="7" t="str">
        <f>IFERROR(VLOOKUP(Tabela3[[#This Row],[Categoria]],Cadastros!A:C,3,0),"")</f>
        <v/>
      </c>
      <c r="Q774" s="9" t="str">
        <f ca="1">IFERROR(Tabela3[[#This Row],[Vida útil]]-Tabela3[[#This Row],[Idade]],"")</f>
        <v/>
      </c>
      <c r="R774" s="8" t="str">
        <f ca="1">IFERROR(Tabela3[[#This Row],[Valor]]-(Tabela3[[#This Row],[Valor]]*(Tabela3[[#This Row],[Idade]]*VLOOKUP(Tabela3[[#This Row],[Categoria]],Cadastros!A:B,2,0))),"")</f>
        <v/>
      </c>
    </row>
    <row r="775" spans="4:18" x14ac:dyDescent="0.25">
      <c r="D775" s="5"/>
      <c r="N775" s="6" t="str">
        <f>IFERROR(Tabela3[[#This Row],[Última revisão do bem]]+(VLOOKUP(Tabela3[[#This Row],[Categoria]],Cadastros!A:D,4,0)+365),"")</f>
        <v/>
      </c>
      <c r="O775" s="7" t="str">
        <f ca="1">IF(Tabela3[[#This Row],[Data da compra]]&gt;0,(TODAY()-Tabela3[[#This Row],[Data da compra]])/365,"")</f>
        <v/>
      </c>
      <c r="P775" s="7" t="str">
        <f>IFERROR(VLOOKUP(Tabela3[[#This Row],[Categoria]],Cadastros!A:C,3,0),"")</f>
        <v/>
      </c>
      <c r="Q775" s="9" t="str">
        <f ca="1">IFERROR(Tabela3[[#This Row],[Vida útil]]-Tabela3[[#This Row],[Idade]],"")</f>
        <v/>
      </c>
      <c r="R775" s="8" t="str">
        <f ca="1">IFERROR(Tabela3[[#This Row],[Valor]]-(Tabela3[[#This Row],[Valor]]*(Tabela3[[#This Row],[Idade]]*VLOOKUP(Tabela3[[#This Row],[Categoria]],Cadastros!A:B,2,0))),"")</f>
        <v/>
      </c>
    </row>
    <row r="776" spans="4:18" x14ac:dyDescent="0.25">
      <c r="D776" s="5"/>
      <c r="N776" s="6" t="str">
        <f>IFERROR(Tabela3[[#This Row],[Última revisão do bem]]+(VLOOKUP(Tabela3[[#This Row],[Categoria]],Cadastros!A:D,4,0)+365),"")</f>
        <v/>
      </c>
      <c r="O776" s="7" t="str">
        <f ca="1">IF(Tabela3[[#This Row],[Data da compra]]&gt;0,(TODAY()-Tabela3[[#This Row],[Data da compra]])/365,"")</f>
        <v/>
      </c>
      <c r="P776" s="7" t="str">
        <f>IFERROR(VLOOKUP(Tabela3[[#This Row],[Categoria]],Cadastros!A:C,3,0),"")</f>
        <v/>
      </c>
      <c r="Q776" s="9" t="str">
        <f ca="1">IFERROR(Tabela3[[#This Row],[Vida útil]]-Tabela3[[#This Row],[Idade]],"")</f>
        <v/>
      </c>
      <c r="R776" s="8" t="str">
        <f ca="1">IFERROR(Tabela3[[#This Row],[Valor]]-(Tabela3[[#This Row],[Valor]]*(Tabela3[[#This Row],[Idade]]*VLOOKUP(Tabela3[[#This Row],[Categoria]],Cadastros!A:B,2,0))),"")</f>
        <v/>
      </c>
    </row>
    <row r="777" spans="4:18" x14ac:dyDescent="0.25">
      <c r="D777" s="5"/>
      <c r="N777" s="6" t="str">
        <f>IFERROR(Tabela3[[#This Row],[Última revisão do bem]]+(VLOOKUP(Tabela3[[#This Row],[Categoria]],Cadastros!A:D,4,0)+365),"")</f>
        <v/>
      </c>
      <c r="O777" s="7" t="str">
        <f ca="1">IF(Tabela3[[#This Row],[Data da compra]]&gt;0,(TODAY()-Tabela3[[#This Row],[Data da compra]])/365,"")</f>
        <v/>
      </c>
      <c r="P777" s="7" t="str">
        <f>IFERROR(VLOOKUP(Tabela3[[#This Row],[Categoria]],Cadastros!A:C,3,0),"")</f>
        <v/>
      </c>
      <c r="Q777" s="9" t="str">
        <f ca="1">IFERROR(Tabela3[[#This Row],[Vida útil]]-Tabela3[[#This Row],[Idade]],"")</f>
        <v/>
      </c>
      <c r="R777" s="8" t="str">
        <f ca="1">IFERROR(Tabela3[[#This Row],[Valor]]-(Tabela3[[#This Row],[Valor]]*(Tabela3[[#This Row],[Idade]]*VLOOKUP(Tabela3[[#This Row],[Categoria]],Cadastros!A:B,2,0))),"")</f>
        <v/>
      </c>
    </row>
    <row r="778" spans="4:18" x14ac:dyDescent="0.25">
      <c r="D778" s="5"/>
      <c r="N778" s="6" t="str">
        <f>IFERROR(Tabela3[[#This Row],[Última revisão do bem]]+(VLOOKUP(Tabela3[[#This Row],[Categoria]],Cadastros!A:D,4,0)+365),"")</f>
        <v/>
      </c>
      <c r="O778" s="7" t="str">
        <f ca="1">IF(Tabela3[[#This Row],[Data da compra]]&gt;0,(TODAY()-Tabela3[[#This Row],[Data da compra]])/365,"")</f>
        <v/>
      </c>
      <c r="P778" s="7" t="str">
        <f>IFERROR(VLOOKUP(Tabela3[[#This Row],[Categoria]],Cadastros!A:C,3,0),"")</f>
        <v/>
      </c>
      <c r="Q778" s="9" t="str">
        <f ca="1">IFERROR(Tabela3[[#This Row],[Vida útil]]-Tabela3[[#This Row],[Idade]],"")</f>
        <v/>
      </c>
      <c r="R778" s="8" t="str">
        <f ca="1">IFERROR(Tabela3[[#This Row],[Valor]]-(Tabela3[[#This Row],[Valor]]*(Tabela3[[#This Row],[Idade]]*VLOOKUP(Tabela3[[#This Row],[Categoria]],Cadastros!A:B,2,0))),"")</f>
        <v/>
      </c>
    </row>
    <row r="779" spans="4:18" x14ac:dyDescent="0.25">
      <c r="D779" s="5"/>
      <c r="N779" s="6" t="str">
        <f>IFERROR(Tabela3[[#This Row],[Última revisão do bem]]+(VLOOKUP(Tabela3[[#This Row],[Categoria]],Cadastros!A:D,4,0)+365),"")</f>
        <v/>
      </c>
      <c r="O779" s="7" t="str">
        <f ca="1">IF(Tabela3[[#This Row],[Data da compra]]&gt;0,(TODAY()-Tabela3[[#This Row],[Data da compra]])/365,"")</f>
        <v/>
      </c>
      <c r="P779" s="7" t="str">
        <f>IFERROR(VLOOKUP(Tabela3[[#This Row],[Categoria]],Cadastros!A:C,3,0),"")</f>
        <v/>
      </c>
      <c r="Q779" s="9" t="str">
        <f ca="1">IFERROR(Tabela3[[#This Row],[Vida útil]]-Tabela3[[#This Row],[Idade]],"")</f>
        <v/>
      </c>
      <c r="R779" s="8" t="str">
        <f ca="1">IFERROR(Tabela3[[#This Row],[Valor]]-(Tabela3[[#This Row],[Valor]]*(Tabela3[[#This Row],[Idade]]*VLOOKUP(Tabela3[[#This Row],[Categoria]],Cadastros!A:B,2,0))),"")</f>
        <v/>
      </c>
    </row>
    <row r="780" spans="4:18" x14ac:dyDescent="0.25">
      <c r="D780" s="22"/>
      <c r="N780" s="6" t="str">
        <f>IFERROR(Tabela3[[#This Row],[Última revisão do bem]]+(VLOOKUP(Tabela3[[#This Row],[Categoria]],Cadastros!A:D,4,0)+365),"")</f>
        <v/>
      </c>
      <c r="O780" s="7" t="str">
        <f ca="1">IF(Tabela3[[#This Row],[Data da compra]]&gt;0,(TODAY()-Tabela3[[#This Row],[Data da compra]])/365,"")</f>
        <v/>
      </c>
      <c r="P780" s="7" t="str">
        <f>IFERROR(VLOOKUP(Tabela3[[#This Row],[Categoria]],Cadastros!A:C,3,0),"")</f>
        <v/>
      </c>
      <c r="Q780" s="9" t="str">
        <f ca="1">IFERROR(Tabela3[[#This Row],[Vida útil]]-Tabela3[[#This Row],[Idade]],"")</f>
        <v/>
      </c>
      <c r="R780" s="23" t="str">
        <f ca="1">IFERROR(Tabela3[[#This Row],[Valor]]-(Tabela3[[#This Row],[Valor]]*(Tabela3[[#This Row],[Idade]]*VLOOKUP(Tabela3[[#This Row],[Categoria]],Cadastros!A:B,2,0))),"")</f>
        <v/>
      </c>
    </row>
    <row r="781" spans="4:18" x14ac:dyDescent="0.25">
      <c r="D781" s="5"/>
      <c r="N781" s="6" t="str">
        <f>IFERROR(Tabela3[[#This Row],[Última revisão do bem]]+(VLOOKUP(Tabela3[[#This Row],[Categoria]],Cadastros!A:D,4,0)+365),"")</f>
        <v/>
      </c>
      <c r="O781" s="7" t="str">
        <f ca="1">IF(Tabela3[[#This Row],[Data da compra]]&gt;0,(TODAY()-Tabela3[[#This Row],[Data da compra]])/365,"")</f>
        <v/>
      </c>
      <c r="P781" s="7" t="str">
        <f>IFERROR(VLOOKUP(Tabela3[[#This Row],[Categoria]],Cadastros!A:C,3,0),"")</f>
        <v/>
      </c>
      <c r="Q781" s="9" t="str">
        <f ca="1">IFERROR(Tabela3[[#This Row],[Vida útil]]-Tabela3[[#This Row],[Idade]],"")</f>
        <v/>
      </c>
      <c r="R781" s="8" t="str">
        <f ca="1">IFERROR(Tabela3[[#This Row],[Valor]]-(Tabela3[[#This Row],[Valor]]*(Tabela3[[#This Row],[Idade]]*VLOOKUP(Tabela3[[#This Row],[Categoria]],Cadastros!A:B,2,0))),"")</f>
        <v/>
      </c>
    </row>
    <row r="782" spans="4:18" x14ac:dyDescent="0.25">
      <c r="D782" s="5"/>
      <c r="N782" s="6" t="str">
        <f>IFERROR(Tabela3[[#This Row],[Última revisão do bem]]+(VLOOKUP(Tabela3[[#This Row],[Categoria]],Cadastros!A:D,4,0)+365),"")</f>
        <v/>
      </c>
      <c r="O782" s="7" t="str">
        <f ca="1">IF(Tabela3[[#This Row],[Data da compra]]&gt;0,(TODAY()-Tabela3[[#This Row],[Data da compra]])/365,"")</f>
        <v/>
      </c>
      <c r="P782" s="7" t="str">
        <f>IFERROR(VLOOKUP(Tabela3[[#This Row],[Categoria]],Cadastros!A:C,3,0),"")</f>
        <v/>
      </c>
      <c r="Q782" s="9" t="str">
        <f ca="1">IFERROR(Tabela3[[#This Row],[Vida útil]]-Tabela3[[#This Row],[Idade]],"")</f>
        <v/>
      </c>
      <c r="R782" s="8" t="str">
        <f ca="1">IFERROR(Tabela3[[#This Row],[Valor]]-(Tabela3[[#This Row],[Valor]]*(Tabela3[[#This Row],[Idade]]*VLOOKUP(Tabela3[[#This Row],[Categoria]],Cadastros!A:B,2,0))),"")</f>
        <v/>
      </c>
    </row>
    <row r="783" spans="4:18" x14ac:dyDescent="0.25">
      <c r="D783" s="5"/>
      <c r="N783" s="6" t="str">
        <f>IFERROR(Tabela3[[#This Row],[Última revisão do bem]]+(VLOOKUP(Tabela3[[#This Row],[Categoria]],Cadastros!A:D,4,0)+365),"")</f>
        <v/>
      </c>
      <c r="O783" s="7" t="str">
        <f ca="1">IF(Tabela3[[#This Row],[Data da compra]]&gt;0,(TODAY()-Tabela3[[#This Row],[Data da compra]])/365,"")</f>
        <v/>
      </c>
      <c r="P783" s="7" t="str">
        <f>IFERROR(VLOOKUP(Tabela3[[#This Row],[Categoria]],Cadastros!A:C,3,0),"")</f>
        <v/>
      </c>
      <c r="Q783" s="9" t="str">
        <f ca="1">IFERROR(Tabela3[[#This Row],[Vida útil]]-Tabela3[[#This Row],[Idade]],"")</f>
        <v/>
      </c>
      <c r="R783" s="8" t="str">
        <f ca="1">IFERROR(Tabela3[[#This Row],[Valor]]-(Tabela3[[#This Row],[Valor]]*(Tabela3[[#This Row],[Idade]]*VLOOKUP(Tabela3[[#This Row],[Categoria]],Cadastros!A:B,2,0))),"")</f>
        <v/>
      </c>
    </row>
    <row r="784" spans="4:18" x14ac:dyDescent="0.25">
      <c r="D784" s="5"/>
      <c r="N784" s="6" t="str">
        <f>IFERROR(Tabela3[[#This Row],[Última revisão do bem]]+(VLOOKUP(Tabela3[[#This Row],[Categoria]],Cadastros!A:D,4,0)+365),"")</f>
        <v/>
      </c>
      <c r="O784" s="7" t="str">
        <f ca="1">IF(Tabela3[[#This Row],[Data da compra]]&gt;0,(TODAY()-Tabela3[[#This Row],[Data da compra]])/365,"")</f>
        <v/>
      </c>
      <c r="P784" s="7" t="str">
        <f>IFERROR(VLOOKUP(Tabela3[[#This Row],[Categoria]],Cadastros!A:C,3,0),"")</f>
        <v/>
      </c>
      <c r="Q784" s="9" t="str">
        <f ca="1">IFERROR(Tabela3[[#This Row],[Vida útil]]-Tabela3[[#This Row],[Idade]],"")</f>
        <v/>
      </c>
      <c r="R784" s="8" t="str">
        <f ca="1">IFERROR(Tabela3[[#This Row],[Valor]]-(Tabela3[[#This Row],[Valor]]*(Tabela3[[#This Row],[Idade]]*VLOOKUP(Tabela3[[#This Row],[Categoria]],Cadastros!A:B,2,0))),"")</f>
        <v/>
      </c>
    </row>
    <row r="785" spans="4:18" x14ac:dyDescent="0.25">
      <c r="D785" s="5"/>
      <c r="N785" s="6" t="str">
        <f>IFERROR(Tabela3[[#This Row],[Última revisão do bem]]+(VLOOKUP(Tabela3[[#This Row],[Categoria]],Cadastros!A:D,4,0)+365),"")</f>
        <v/>
      </c>
      <c r="O785" s="7" t="str">
        <f ca="1">IF(Tabela3[[#This Row],[Data da compra]]&gt;0,(TODAY()-Tabela3[[#This Row],[Data da compra]])/365,"")</f>
        <v/>
      </c>
      <c r="P785" s="7" t="str">
        <f>IFERROR(VLOOKUP(Tabela3[[#This Row],[Categoria]],Cadastros!A:C,3,0),"")</f>
        <v/>
      </c>
      <c r="Q785" s="9" t="str">
        <f ca="1">IFERROR(Tabela3[[#This Row],[Vida útil]]-Tabela3[[#This Row],[Idade]],"")</f>
        <v/>
      </c>
      <c r="R785" s="8" t="str">
        <f ca="1">IFERROR(Tabela3[[#This Row],[Valor]]-(Tabela3[[#This Row],[Valor]]*(Tabela3[[#This Row],[Idade]]*VLOOKUP(Tabela3[[#This Row],[Categoria]],Cadastros!A:B,2,0))),"")</f>
        <v/>
      </c>
    </row>
    <row r="786" spans="4:18" x14ac:dyDescent="0.25">
      <c r="D786" s="5"/>
      <c r="N786" s="6" t="str">
        <f>IFERROR(Tabela3[[#This Row],[Última revisão do bem]]+(VLOOKUP(Tabela3[[#This Row],[Categoria]],Cadastros!A:D,4,0)+365),"")</f>
        <v/>
      </c>
      <c r="O786" s="7" t="str">
        <f ca="1">IF(Tabela3[[#This Row],[Data da compra]]&gt;0,(TODAY()-Tabela3[[#This Row],[Data da compra]])/365,"")</f>
        <v/>
      </c>
      <c r="P786" s="7" t="str">
        <f>IFERROR(VLOOKUP(Tabela3[[#This Row],[Categoria]],Cadastros!A:C,3,0),"")</f>
        <v/>
      </c>
      <c r="Q786" s="9" t="str">
        <f ca="1">IFERROR(Tabela3[[#This Row],[Vida útil]]-Tabela3[[#This Row],[Idade]],"")</f>
        <v/>
      </c>
      <c r="R786" s="8" t="str">
        <f ca="1">IFERROR(Tabela3[[#This Row],[Valor]]-(Tabela3[[#This Row],[Valor]]*(Tabela3[[#This Row],[Idade]]*VLOOKUP(Tabela3[[#This Row],[Categoria]],Cadastros!A:B,2,0))),"")</f>
        <v/>
      </c>
    </row>
    <row r="787" spans="4:18" x14ac:dyDescent="0.25">
      <c r="D787" s="5"/>
      <c r="N787" s="6" t="str">
        <f>IFERROR(Tabela3[[#This Row],[Última revisão do bem]]+(VLOOKUP(Tabela3[[#This Row],[Categoria]],Cadastros!A:D,4,0)+365),"")</f>
        <v/>
      </c>
      <c r="O787" s="7" t="str">
        <f ca="1">IF(Tabela3[[#This Row],[Data da compra]]&gt;0,(TODAY()-Tabela3[[#This Row],[Data da compra]])/365,"")</f>
        <v/>
      </c>
      <c r="P787" s="7" t="str">
        <f>IFERROR(VLOOKUP(Tabela3[[#This Row],[Categoria]],Cadastros!A:C,3,0),"")</f>
        <v/>
      </c>
      <c r="Q787" s="9" t="str">
        <f ca="1">IFERROR(Tabela3[[#This Row],[Vida útil]]-Tabela3[[#This Row],[Idade]],"")</f>
        <v/>
      </c>
      <c r="R787" s="8" t="str">
        <f ca="1">IFERROR(Tabela3[[#This Row],[Valor]]-(Tabela3[[#This Row],[Valor]]*(Tabela3[[#This Row],[Idade]]*VLOOKUP(Tabela3[[#This Row],[Categoria]],Cadastros!A:B,2,0))),"")</f>
        <v/>
      </c>
    </row>
    <row r="788" spans="4:18" x14ac:dyDescent="0.25">
      <c r="D788" s="5"/>
      <c r="N788" s="6" t="str">
        <f>IFERROR(Tabela3[[#This Row],[Última revisão do bem]]+(VLOOKUP(Tabela3[[#This Row],[Categoria]],Cadastros!A:D,4,0)+365),"")</f>
        <v/>
      </c>
      <c r="O788" s="7" t="str">
        <f ca="1">IF(Tabela3[[#This Row],[Data da compra]]&gt;0,(TODAY()-Tabela3[[#This Row],[Data da compra]])/365,"")</f>
        <v/>
      </c>
      <c r="P788" s="7" t="str">
        <f>IFERROR(VLOOKUP(Tabela3[[#This Row],[Categoria]],Cadastros!A:C,3,0),"")</f>
        <v/>
      </c>
      <c r="Q788" s="9" t="str">
        <f ca="1">IFERROR(Tabela3[[#This Row],[Vida útil]]-Tabela3[[#This Row],[Idade]],"")</f>
        <v/>
      </c>
      <c r="R788" s="8" t="str">
        <f ca="1">IFERROR(Tabela3[[#This Row],[Valor]]-(Tabela3[[#This Row],[Valor]]*(Tabela3[[#This Row],[Idade]]*VLOOKUP(Tabela3[[#This Row],[Categoria]],Cadastros!A:B,2,0))),"")</f>
        <v/>
      </c>
    </row>
    <row r="789" spans="4:18" x14ac:dyDescent="0.25">
      <c r="D789" s="5"/>
      <c r="N789" s="6" t="str">
        <f>IFERROR(Tabela3[[#This Row],[Última revisão do bem]]+(VLOOKUP(Tabela3[[#This Row],[Categoria]],Cadastros!A:D,4,0)+365),"")</f>
        <v/>
      </c>
      <c r="O789" s="7" t="str">
        <f ca="1">IF(Tabela3[[#This Row],[Data da compra]]&gt;0,(TODAY()-Tabela3[[#This Row],[Data da compra]])/365,"")</f>
        <v/>
      </c>
      <c r="P789" s="7" t="str">
        <f>IFERROR(VLOOKUP(Tabela3[[#This Row],[Categoria]],Cadastros!A:C,3,0),"")</f>
        <v/>
      </c>
      <c r="Q789" s="9" t="str">
        <f ca="1">IFERROR(Tabela3[[#This Row],[Vida útil]]-Tabela3[[#This Row],[Idade]],"")</f>
        <v/>
      </c>
      <c r="R789" s="8" t="str">
        <f ca="1">IFERROR(Tabela3[[#This Row],[Valor]]-(Tabela3[[#This Row],[Valor]]*(Tabela3[[#This Row],[Idade]]*VLOOKUP(Tabela3[[#This Row],[Categoria]],Cadastros!A:B,2,0))),"")</f>
        <v/>
      </c>
    </row>
    <row r="790" spans="4:18" x14ac:dyDescent="0.25">
      <c r="D790" s="5"/>
      <c r="N790" s="6" t="str">
        <f>IFERROR(Tabela3[[#This Row],[Última revisão do bem]]+(VLOOKUP(Tabela3[[#This Row],[Categoria]],Cadastros!A:D,4,0)+365),"")</f>
        <v/>
      </c>
      <c r="O790" s="7" t="str">
        <f ca="1">IF(Tabela3[[#This Row],[Data da compra]]&gt;0,(TODAY()-Tabela3[[#This Row],[Data da compra]])/365,"")</f>
        <v/>
      </c>
      <c r="P790" s="7" t="str">
        <f>IFERROR(VLOOKUP(Tabela3[[#This Row],[Categoria]],Cadastros!A:C,3,0),"")</f>
        <v/>
      </c>
      <c r="Q790" s="9" t="str">
        <f ca="1">IFERROR(Tabela3[[#This Row],[Vida útil]]-Tabela3[[#This Row],[Idade]],"")</f>
        <v/>
      </c>
      <c r="R790" s="8" t="str">
        <f ca="1">IFERROR(Tabela3[[#This Row],[Valor]]-(Tabela3[[#This Row],[Valor]]*(Tabela3[[#This Row],[Idade]]*VLOOKUP(Tabela3[[#This Row],[Categoria]],Cadastros!A:B,2,0))),"")</f>
        <v/>
      </c>
    </row>
    <row r="791" spans="4:18" x14ac:dyDescent="0.25">
      <c r="D791" s="5"/>
      <c r="N791" s="6" t="str">
        <f>IFERROR(Tabela3[[#This Row],[Última revisão do bem]]+(VLOOKUP(Tabela3[[#This Row],[Categoria]],Cadastros!A:D,4,0)+365),"")</f>
        <v/>
      </c>
      <c r="O791" s="7" t="str">
        <f ca="1">IF(Tabela3[[#This Row],[Data da compra]]&gt;0,(TODAY()-Tabela3[[#This Row],[Data da compra]])/365,"")</f>
        <v/>
      </c>
      <c r="P791" s="7" t="str">
        <f>IFERROR(VLOOKUP(Tabela3[[#This Row],[Categoria]],Cadastros!A:C,3,0),"")</f>
        <v/>
      </c>
      <c r="Q791" s="9" t="str">
        <f ca="1">IFERROR(Tabela3[[#This Row],[Vida útil]]-Tabela3[[#This Row],[Idade]],"")</f>
        <v/>
      </c>
      <c r="R791" s="8" t="str">
        <f ca="1">IFERROR(Tabela3[[#This Row],[Valor]]-(Tabela3[[#This Row],[Valor]]*(Tabela3[[#This Row],[Idade]]*VLOOKUP(Tabela3[[#This Row],[Categoria]],Cadastros!A:B,2,0))),"")</f>
        <v/>
      </c>
    </row>
    <row r="792" spans="4:18" x14ac:dyDescent="0.25">
      <c r="D792" s="5"/>
      <c r="N792" s="6" t="str">
        <f>IFERROR(Tabela3[[#This Row],[Última revisão do bem]]+(VLOOKUP(Tabela3[[#This Row],[Categoria]],Cadastros!A:D,4,0)+365),"")</f>
        <v/>
      </c>
      <c r="O792" s="7" t="str">
        <f ca="1">IF(Tabela3[[#This Row],[Data da compra]]&gt;0,(TODAY()-Tabela3[[#This Row],[Data da compra]])/365,"")</f>
        <v/>
      </c>
      <c r="P792" s="7" t="str">
        <f>IFERROR(VLOOKUP(Tabela3[[#This Row],[Categoria]],Cadastros!A:C,3,0),"")</f>
        <v/>
      </c>
      <c r="Q792" s="9" t="str">
        <f ca="1">IFERROR(Tabela3[[#This Row],[Vida útil]]-Tabela3[[#This Row],[Idade]],"")</f>
        <v/>
      </c>
      <c r="R792" s="8" t="str">
        <f ca="1">IFERROR(Tabela3[[#This Row],[Valor]]-(Tabela3[[#This Row],[Valor]]*(Tabela3[[#This Row],[Idade]]*VLOOKUP(Tabela3[[#This Row],[Categoria]],Cadastros!A:B,2,0))),"")</f>
        <v/>
      </c>
    </row>
    <row r="793" spans="4:18" x14ac:dyDescent="0.25">
      <c r="D793" s="5"/>
      <c r="N793" s="6" t="str">
        <f>IFERROR(Tabela3[[#This Row],[Última revisão do bem]]+(VLOOKUP(Tabela3[[#This Row],[Categoria]],Cadastros!A:D,4,0)+365),"")</f>
        <v/>
      </c>
      <c r="O793" s="7" t="str">
        <f ca="1">IF(Tabela3[[#This Row],[Data da compra]]&gt;0,(TODAY()-Tabela3[[#This Row],[Data da compra]])/365,"")</f>
        <v/>
      </c>
      <c r="P793" s="7" t="str">
        <f>IFERROR(VLOOKUP(Tabela3[[#This Row],[Categoria]],Cadastros!A:C,3,0),"")</f>
        <v/>
      </c>
      <c r="Q793" s="9" t="str">
        <f ca="1">IFERROR(Tabela3[[#This Row],[Vida útil]]-Tabela3[[#This Row],[Idade]],"")</f>
        <v/>
      </c>
      <c r="R793" s="8" t="str">
        <f ca="1">IFERROR(Tabela3[[#This Row],[Valor]]-(Tabela3[[#This Row],[Valor]]*(Tabela3[[#This Row],[Idade]]*VLOOKUP(Tabela3[[#This Row],[Categoria]],Cadastros!A:B,2,0))),"")</f>
        <v/>
      </c>
    </row>
    <row r="794" spans="4:18" x14ac:dyDescent="0.25">
      <c r="D794" s="5"/>
      <c r="N794" s="6" t="str">
        <f>IFERROR(Tabela3[[#This Row],[Última revisão do bem]]+(VLOOKUP(Tabela3[[#This Row],[Categoria]],Cadastros!A:D,4,0)+365),"")</f>
        <v/>
      </c>
      <c r="O794" s="7" t="str">
        <f ca="1">IF(Tabela3[[#This Row],[Data da compra]]&gt;0,(TODAY()-Tabela3[[#This Row],[Data da compra]])/365,"")</f>
        <v/>
      </c>
      <c r="P794" s="7" t="str">
        <f>IFERROR(VLOOKUP(Tabela3[[#This Row],[Categoria]],Cadastros!A:C,3,0),"")</f>
        <v/>
      </c>
      <c r="Q794" s="9" t="str">
        <f ca="1">IFERROR(Tabela3[[#This Row],[Vida útil]]-Tabela3[[#This Row],[Idade]],"")</f>
        <v/>
      </c>
      <c r="R794" s="8" t="str">
        <f ca="1">IFERROR(Tabela3[[#This Row],[Valor]]-(Tabela3[[#This Row],[Valor]]*(Tabela3[[#This Row],[Idade]]*VLOOKUP(Tabela3[[#This Row],[Categoria]],Cadastros!A:B,2,0))),"")</f>
        <v/>
      </c>
    </row>
    <row r="795" spans="4:18" x14ac:dyDescent="0.25">
      <c r="D795" s="5"/>
      <c r="N795" s="6" t="str">
        <f>IFERROR(Tabela3[[#This Row],[Última revisão do bem]]+(VLOOKUP(Tabela3[[#This Row],[Categoria]],Cadastros!A:D,4,0)+365),"")</f>
        <v/>
      </c>
      <c r="O795" s="7" t="str">
        <f ca="1">IF(Tabela3[[#This Row],[Data da compra]]&gt;0,(TODAY()-Tabela3[[#This Row],[Data da compra]])/365,"")</f>
        <v/>
      </c>
      <c r="P795" s="7" t="str">
        <f>IFERROR(VLOOKUP(Tabela3[[#This Row],[Categoria]],Cadastros!A:C,3,0),"")</f>
        <v/>
      </c>
      <c r="Q795" s="9" t="str">
        <f ca="1">IFERROR(Tabela3[[#This Row],[Vida útil]]-Tabela3[[#This Row],[Idade]],"")</f>
        <v/>
      </c>
      <c r="R795" s="8" t="str">
        <f ca="1">IFERROR(Tabela3[[#This Row],[Valor]]-(Tabela3[[#This Row],[Valor]]*(Tabela3[[#This Row],[Idade]]*VLOOKUP(Tabela3[[#This Row],[Categoria]],Cadastros!A:B,2,0))),"")</f>
        <v/>
      </c>
    </row>
    <row r="796" spans="4:18" x14ac:dyDescent="0.25">
      <c r="D796" s="5"/>
      <c r="N796" s="6" t="str">
        <f>IFERROR(Tabela3[[#This Row],[Última revisão do bem]]+(VLOOKUP(Tabela3[[#This Row],[Categoria]],Cadastros!A:D,4,0)+365),"")</f>
        <v/>
      </c>
      <c r="O796" s="7" t="str">
        <f ca="1">IF(Tabela3[[#This Row],[Data da compra]]&gt;0,(TODAY()-Tabela3[[#This Row],[Data da compra]])/365,"")</f>
        <v/>
      </c>
      <c r="P796" s="7" t="str">
        <f>IFERROR(VLOOKUP(Tabela3[[#This Row],[Categoria]],Cadastros!A:C,3,0),"")</f>
        <v/>
      </c>
      <c r="Q796" s="9" t="str">
        <f ca="1">IFERROR(Tabela3[[#This Row],[Vida útil]]-Tabela3[[#This Row],[Idade]],"")</f>
        <v/>
      </c>
      <c r="R796" s="8" t="str">
        <f ca="1">IFERROR(Tabela3[[#This Row],[Valor]]-(Tabela3[[#This Row],[Valor]]*(Tabela3[[#This Row],[Idade]]*VLOOKUP(Tabela3[[#This Row],[Categoria]],Cadastros!A:B,2,0))),"")</f>
        <v/>
      </c>
    </row>
    <row r="797" spans="4:18" x14ac:dyDescent="0.25">
      <c r="D797" s="5"/>
      <c r="N797" s="6" t="str">
        <f>IFERROR(Tabela3[[#This Row],[Última revisão do bem]]+(VLOOKUP(Tabela3[[#This Row],[Categoria]],Cadastros!A:D,4,0)+365),"")</f>
        <v/>
      </c>
      <c r="O797" s="7" t="str">
        <f ca="1">IF(Tabela3[[#This Row],[Data da compra]]&gt;0,(TODAY()-Tabela3[[#This Row],[Data da compra]])/365,"")</f>
        <v/>
      </c>
      <c r="P797" s="7" t="str">
        <f>IFERROR(VLOOKUP(Tabela3[[#This Row],[Categoria]],Cadastros!A:C,3,0),"")</f>
        <v/>
      </c>
      <c r="Q797" s="9" t="str">
        <f ca="1">IFERROR(Tabela3[[#This Row],[Vida útil]]-Tabela3[[#This Row],[Idade]],"")</f>
        <v/>
      </c>
      <c r="R797" s="8" t="str">
        <f ca="1">IFERROR(Tabela3[[#This Row],[Valor]]-(Tabela3[[#This Row],[Valor]]*(Tabela3[[#This Row],[Idade]]*VLOOKUP(Tabela3[[#This Row],[Categoria]],Cadastros!A:B,2,0))),"")</f>
        <v/>
      </c>
    </row>
    <row r="798" spans="4:18" x14ac:dyDescent="0.25">
      <c r="D798" s="22"/>
      <c r="N798" s="6" t="str">
        <f>IFERROR(Tabela3[[#This Row],[Última revisão do bem]]+(VLOOKUP(Tabela3[[#This Row],[Categoria]],Cadastros!A:D,4,0)+365),"")</f>
        <v/>
      </c>
      <c r="O798" s="7" t="str">
        <f ca="1">IF(Tabela3[[#This Row],[Data da compra]]&gt;0,(TODAY()-Tabela3[[#This Row],[Data da compra]])/365,"")</f>
        <v/>
      </c>
      <c r="P798" s="7" t="str">
        <f>IFERROR(VLOOKUP(Tabela3[[#This Row],[Categoria]],Cadastros!A:C,3,0),"")</f>
        <v/>
      </c>
      <c r="Q798" s="9" t="str">
        <f ca="1">IFERROR(Tabela3[[#This Row],[Vida útil]]-Tabela3[[#This Row],[Idade]],"")</f>
        <v/>
      </c>
      <c r="R798" s="23" t="str">
        <f ca="1">IFERROR(Tabela3[[#This Row],[Valor]]-(Tabela3[[#This Row],[Valor]]*(Tabela3[[#This Row],[Idade]]*VLOOKUP(Tabela3[[#This Row],[Categoria]],Cadastros!A:B,2,0))),"")</f>
        <v/>
      </c>
    </row>
    <row r="799" spans="4:18" x14ac:dyDescent="0.25">
      <c r="D799" s="5"/>
      <c r="N799" s="6" t="str">
        <f>IFERROR(Tabela3[[#This Row],[Última revisão do bem]]+(VLOOKUP(Tabela3[[#This Row],[Categoria]],Cadastros!A:D,4,0)+365),"")</f>
        <v/>
      </c>
      <c r="O799" s="7" t="str">
        <f ca="1">IF(Tabela3[[#This Row],[Data da compra]]&gt;0,(TODAY()-Tabela3[[#This Row],[Data da compra]])/365,"")</f>
        <v/>
      </c>
      <c r="P799" s="7" t="str">
        <f>IFERROR(VLOOKUP(Tabela3[[#This Row],[Categoria]],Cadastros!A:C,3,0),"")</f>
        <v/>
      </c>
      <c r="Q799" s="9" t="str">
        <f ca="1">IFERROR(Tabela3[[#This Row],[Vida útil]]-Tabela3[[#This Row],[Idade]],"")</f>
        <v/>
      </c>
      <c r="R799" s="8" t="str">
        <f ca="1">IFERROR(Tabela3[[#This Row],[Valor]]-(Tabela3[[#This Row],[Valor]]*(Tabela3[[#This Row],[Idade]]*VLOOKUP(Tabela3[[#This Row],[Categoria]],Cadastros!A:B,2,0))),"")</f>
        <v/>
      </c>
    </row>
    <row r="800" spans="4:18" x14ac:dyDescent="0.25">
      <c r="D800" s="5"/>
      <c r="N800" s="6" t="str">
        <f>IFERROR(Tabela3[[#This Row],[Última revisão do bem]]+(VLOOKUP(Tabela3[[#This Row],[Categoria]],Cadastros!A:D,4,0)+365),"")</f>
        <v/>
      </c>
      <c r="O800" s="7" t="str">
        <f ca="1">IF(Tabela3[[#This Row],[Data da compra]]&gt;0,(TODAY()-Tabela3[[#This Row],[Data da compra]])/365,"")</f>
        <v/>
      </c>
      <c r="P800" s="7" t="str">
        <f>IFERROR(VLOOKUP(Tabela3[[#This Row],[Categoria]],Cadastros!A:C,3,0),"")</f>
        <v/>
      </c>
      <c r="Q800" s="9" t="str">
        <f ca="1">IFERROR(Tabela3[[#This Row],[Vida útil]]-Tabela3[[#This Row],[Idade]],"")</f>
        <v/>
      </c>
      <c r="R800" s="8" t="str">
        <f ca="1">IFERROR(Tabela3[[#This Row],[Valor]]-(Tabela3[[#This Row],[Valor]]*(Tabela3[[#This Row],[Idade]]*VLOOKUP(Tabela3[[#This Row],[Categoria]],Cadastros!A:B,2,0))),"")</f>
        <v/>
      </c>
    </row>
    <row r="801" spans="4:18" x14ac:dyDescent="0.25">
      <c r="D801" s="5"/>
      <c r="N801" s="6" t="str">
        <f>IFERROR(Tabela3[[#This Row],[Última revisão do bem]]+(VLOOKUP(Tabela3[[#This Row],[Categoria]],Cadastros!A:D,4,0)+365),"")</f>
        <v/>
      </c>
      <c r="O801" s="7" t="str">
        <f ca="1">IF(Tabela3[[#This Row],[Data da compra]]&gt;0,(TODAY()-Tabela3[[#This Row],[Data da compra]])/365,"")</f>
        <v/>
      </c>
      <c r="P801" s="7" t="str">
        <f>IFERROR(VLOOKUP(Tabela3[[#This Row],[Categoria]],Cadastros!A:C,3,0),"")</f>
        <v/>
      </c>
      <c r="Q801" s="9" t="str">
        <f ca="1">IFERROR(Tabela3[[#This Row],[Vida útil]]-Tabela3[[#This Row],[Idade]],"")</f>
        <v/>
      </c>
      <c r="R801" s="8" t="str">
        <f ca="1">IFERROR(Tabela3[[#This Row],[Valor]]-(Tabela3[[#This Row],[Valor]]*(Tabela3[[#This Row],[Idade]]*VLOOKUP(Tabela3[[#This Row],[Categoria]],Cadastros!A:B,2,0))),"")</f>
        <v/>
      </c>
    </row>
    <row r="802" spans="4:18" x14ac:dyDescent="0.25">
      <c r="D802" s="5"/>
      <c r="N802" s="6" t="str">
        <f>IFERROR(Tabela3[[#This Row],[Última revisão do bem]]+(VLOOKUP(Tabela3[[#This Row],[Categoria]],Cadastros!A:D,4,0)+365),"")</f>
        <v/>
      </c>
      <c r="O802" s="7" t="str">
        <f ca="1">IF(Tabela3[[#This Row],[Data da compra]]&gt;0,(TODAY()-Tabela3[[#This Row],[Data da compra]])/365,"")</f>
        <v/>
      </c>
      <c r="P802" s="7" t="str">
        <f>IFERROR(VLOOKUP(Tabela3[[#This Row],[Categoria]],Cadastros!A:C,3,0),"")</f>
        <v/>
      </c>
      <c r="Q802" s="9" t="str">
        <f ca="1">IFERROR(Tabela3[[#This Row],[Vida útil]]-Tabela3[[#This Row],[Idade]],"")</f>
        <v/>
      </c>
      <c r="R802" s="8" t="str">
        <f ca="1">IFERROR(Tabela3[[#This Row],[Valor]]-(Tabela3[[#This Row],[Valor]]*(Tabela3[[#This Row],[Idade]]*VLOOKUP(Tabela3[[#This Row],[Categoria]],Cadastros!A:B,2,0))),"")</f>
        <v/>
      </c>
    </row>
    <row r="803" spans="4:18" x14ac:dyDescent="0.25">
      <c r="D803" s="5"/>
      <c r="N803" s="6" t="str">
        <f>IFERROR(Tabela3[[#This Row],[Última revisão do bem]]+(VLOOKUP(Tabela3[[#This Row],[Categoria]],Cadastros!A:D,4,0)+365),"")</f>
        <v/>
      </c>
      <c r="O803" s="7" t="str">
        <f ca="1">IF(Tabela3[[#This Row],[Data da compra]]&gt;0,(TODAY()-Tabela3[[#This Row],[Data da compra]])/365,"")</f>
        <v/>
      </c>
      <c r="P803" s="7" t="str">
        <f>IFERROR(VLOOKUP(Tabela3[[#This Row],[Categoria]],Cadastros!A:C,3,0),"")</f>
        <v/>
      </c>
      <c r="Q803" s="9" t="str">
        <f ca="1">IFERROR(Tabela3[[#This Row],[Vida útil]]-Tabela3[[#This Row],[Idade]],"")</f>
        <v/>
      </c>
      <c r="R803" s="8" t="str">
        <f ca="1">IFERROR(Tabela3[[#This Row],[Valor]]-(Tabela3[[#This Row],[Valor]]*(Tabela3[[#This Row],[Idade]]*VLOOKUP(Tabela3[[#This Row],[Categoria]],Cadastros!A:B,2,0))),"")</f>
        <v/>
      </c>
    </row>
    <row r="804" spans="4:18" x14ac:dyDescent="0.25">
      <c r="D804" s="5"/>
      <c r="N804" s="6" t="str">
        <f>IFERROR(Tabela3[[#This Row],[Última revisão do bem]]+(VLOOKUP(Tabela3[[#This Row],[Categoria]],Cadastros!A:D,4,0)+365),"")</f>
        <v/>
      </c>
      <c r="O804" s="7" t="str">
        <f ca="1">IF(Tabela3[[#This Row],[Data da compra]]&gt;0,(TODAY()-Tabela3[[#This Row],[Data da compra]])/365,"")</f>
        <v/>
      </c>
      <c r="P804" s="7" t="str">
        <f>IFERROR(VLOOKUP(Tabela3[[#This Row],[Categoria]],Cadastros!A:C,3,0),"")</f>
        <v/>
      </c>
      <c r="Q804" s="9" t="str">
        <f ca="1">IFERROR(Tabela3[[#This Row],[Vida útil]]-Tabela3[[#This Row],[Idade]],"")</f>
        <v/>
      </c>
      <c r="R804" s="8" t="str">
        <f ca="1">IFERROR(Tabela3[[#This Row],[Valor]]-(Tabela3[[#This Row],[Valor]]*(Tabela3[[#This Row],[Idade]]*VLOOKUP(Tabela3[[#This Row],[Categoria]],Cadastros!A:B,2,0))),"")</f>
        <v/>
      </c>
    </row>
    <row r="805" spans="4:18" x14ac:dyDescent="0.25">
      <c r="D805" s="5"/>
      <c r="N805" s="6" t="str">
        <f>IFERROR(Tabela3[[#This Row],[Última revisão do bem]]+(VLOOKUP(Tabela3[[#This Row],[Categoria]],Cadastros!A:D,4,0)+365),"")</f>
        <v/>
      </c>
      <c r="O805" s="7" t="str">
        <f ca="1">IF(Tabela3[[#This Row],[Data da compra]]&gt;0,(TODAY()-Tabela3[[#This Row],[Data da compra]])/365,"")</f>
        <v/>
      </c>
      <c r="P805" s="7" t="str">
        <f>IFERROR(VLOOKUP(Tabela3[[#This Row],[Categoria]],Cadastros!A:C,3,0),"")</f>
        <v/>
      </c>
      <c r="Q805" s="9" t="str">
        <f ca="1">IFERROR(Tabela3[[#This Row],[Vida útil]]-Tabela3[[#This Row],[Idade]],"")</f>
        <v/>
      </c>
      <c r="R805" s="8" t="str">
        <f ca="1">IFERROR(Tabela3[[#This Row],[Valor]]-(Tabela3[[#This Row],[Valor]]*(Tabela3[[#This Row],[Idade]]*VLOOKUP(Tabela3[[#This Row],[Categoria]],Cadastros!A:B,2,0))),"")</f>
        <v/>
      </c>
    </row>
    <row r="806" spans="4:18" x14ac:dyDescent="0.25">
      <c r="D806" s="5"/>
      <c r="N806" s="6" t="str">
        <f>IFERROR(Tabela3[[#This Row],[Última revisão do bem]]+(VLOOKUP(Tabela3[[#This Row],[Categoria]],Cadastros!A:D,4,0)+365),"")</f>
        <v/>
      </c>
      <c r="O806" s="7" t="str">
        <f ca="1">IF(Tabela3[[#This Row],[Data da compra]]&gt;0,(TODAY()-Tabela3[[#This Row],[Data da compra]])/365,"")</f>
        <v/>
      </c>
      <c r="P806" s="7" t="str">
        <f>IFERROR(VLOOKUP(Tabela3[[#This Row],[Categoria]],Cadastros!A:C,3,0),"")</f>
        <v/>
      </c>
      <c r="Q806" s="9" t="str">
        <f ca="1">IFERROR(Tabela3[[#This Row],[Vida útil]]-Tabela3[[#This Row],[Idade]],"")</f>
        <v/>
      </c>
      <c r="R806" s="8" t="str">
        <f ca="1">IFERROR(Tabela3[[#This Row],[Valor]]-(Tabela3[[#This Row],[Valor]]*(Tabela3[[#This Row],[Idade]]*VLOOKUP(Tabela3[[#This Row],[Categoria]],Cadastros!A:B,2,0))),"")</f>
        <v/>
      </c>
    </row>
    <row r="807" spans="4:18" x14ac:dyDescent="0.25">
      <c r="D807" s="5"/>
      <c r="N807" s="6" t="str">
        <f>IFERROR(Tabela3[[#This Row],[Última revisão do bem]]+(VLOOKUP(Tabela3[[#This Row],[Categoria]],Cadastros!A:D,4,0)+365),"")</f>
        <v/>
      </c>
      <c r="O807" s="7" t="str">
        <f ca="1">IF(Tabela3[[#This Row],[Data da compra]]&gt;0,(TODAY()-Tabela3[[#This Row],[Data da compra]])/365,"")</f>
        <v/>
      </c>
      <c r="P807" s="7" t="str">
        <f>IFERROR(VLOOKUP(Tabela3[[#This Row],[Categoria]],Cadastros!A:C,3,0),"")</f>
        <v/>
      </c>
      <c r="Q807" s="9" t="str">
        <f ca="1">IFERROR(Tabela3[[#This Row],[Vida útil]]-Tabela3[[#This Row],[Idade]],"")</f>
        <v/>
      </c>
      <c r="R807" s="8" t="str">
        <f ca="1">IFERROR(Tabela3[[#This Row],[Valor]]-(Tabela3[[#This Row],[Valor]]*(Tabela3[[#This Row],[Idade]]*VLOOKUP(Tabela3[[#This Row],[Categoria]],Cadastros!A:B,2,0))),"")</f>
        <v/>
      </c>
    </row>
    <row r="808" spans="4:18" x14ac:dyDescent="0.25">
      <c r="D808" s="5"/>
      <c r="N808" s="6" t="str">
        <f>IFERROR(Tabela3[[#This Row],[Última revisão do bem]]+(VLOOKUP(Tabela3[[#This Row],[Categoria]],Cadastros!A:D,4,0)+365),"")</f>
        <v/>
      </c>
      <c r="O808" s="7" t="str">
        <f ca="1">IF(Tabela3[[#This Row],[Data da compra]]&gt;0,(TODAY()-Tabela3[[#This Row],[Data da compra]])/365,"")</f>
        <v/>
      </c>
      <c r="P808" s="7" t="str">
        <f>IFERROR(VLOOKUP(Tabela3[[#This Row],[Categoria]],Cadastros!A:C,3,0),"")</f>
        <v/>
      </c>
      <c r="Q808" s="9" t="str">
        <f ca="1">IFERROR(Tabela3[[#This Row],[Vida útil]]-Tabela3[[#This Row],[Idade]],"")</f>
        <v/>
      </c>
      <c r="R808" s="8" t="str">
        <f ca="1">IFERROR(Tabela3[[#This Row],[Valor]]-(Tabela3[[#This Row],[Valor]]*(Tabela3[[#This Row],[Idade]]*VLOOKUP(Tabela3[[#This Row],[Categoria]],Cadastros!A:B,2,0))),"")</f>
        <v/>
      </c>
    </row>
    <row r="809" spans="4:18" x14ac:dyDescent="0.25">
      <c r="D809" s="5"/>
      <c r="N809" s="6" t="str">
        <f>IFERROR(Tabela3[[#This Row],[Última revisão do bem]]+(VLOOKUP(Tabela3[[#This Row],[Categoria]],Cadastros!A:D,4,0)+365),"")</f>
        <v/>
      </c>
      <c r="O809" s="7" t="str">
        <f ca="1">IF(Tabela3[[#This Row],[Data da compra]]&gt;0,(TODAY()-Tabela3[[#This Row],[Data da compra]])/365,"")</f>
        <v/>
      </c>
      <c r="P809" s="7" t="str">
        <f>IFERROR(VLOOKUP(Tabela3[[#This Row],[Categoria]],Cadastros!A:C,3,0),"")</f>
        <v/>
      </c>
      <c r="Q809" s="9" t="str">
        <f ca="1">IFERROR(Tabela3[[#This Row],[Vida útil]]-Tabela3[[#This Row],[Idade]],"")</f>
        <v/>
      </c>
      <c r="R809" s="8" t="str">
        <f ca="1">IFERROR(Tabela3[[#This Row],[Valor]]-(Tabela3[[#This Row],[Valor]]*(Tabela3[[#This Row],[Idade]]*VLOOKUP(Tabela3[[#This Row],[Categoria]],Cadastros!A:B,2,0))),"")</f>
        <v/>
      </c>
    </row>
    <row r="810" spans="4:18" x14ac:dyDescent="0.25">
      <c r="D810" s="5"/>
      <c r="N810" s="6" t="str">
        <f>IFERROR(Tabela3[[#This Row],[Última revisão do bem]]+(VLOOKUP(Tabela3[[#This Row],[Categoria]],Cadastros!A:D,4,0)+365),"")</f>
        <v/>
      </c>
      <c r="O810" s="7" t="str">
        <f ca="1">IF(Tabela3[[#This Row],[Data da compra]]&gt;0,(TODAY()-Tabela3[[#This Row],[Data da compra]])/365,"")</f>
        <v/>
      </c>
      <c r="P810" s="7" t="str">
        <f>IFERROR(VLOOKUP(Tabela3[[#This Row],[Categoria]],Cadastros!A:C,3,0),"")</f>
        <v/>
      </c>
      <c r="Q810" s="9" t="str">
        <f ca="1">IFERROR(Tabela3[[#This Row],[Vida útil]]-Tabela3[[#This Row],[Idade]],"")</f>
        <v/>
      </c>
      <c r="R810" s="8" t="str">
        <f ca="1">IFERROR(Tabela3[[#This Row],[Valor]]-(Tabela3[[#This Row],[Valor]]*(Tabela3[[#This Row],[Idade]]*VLOOKUP(Tabela3[[#This Row],[Categoria]],Cadastros!A:B,2,0))),"")</f>
        <v/>
      </c>
    </row>
    <row r="811" spans="4:18" x14ac:dyDescent="0.25">
      <c r="D811" s="5"/>
      <c r="N811" s="6" t="str">
        <f>IFERROR(Tabela3[[#This Row],[Última revisão do bem]]+(VLOOKUP(Tabela3[[#This Row],[Categoria]],Cadastros!A:D,4,0)+365),"")</f>
        <v/>
      </c>
      <c r="O811" s="7" t="str">
        <f ca="1">IF(Tabela3[[#This Row],[Data da compra]]&gt;0,(TODAY()-Tabela3[[#This Row],[Data da compra]])/365,"")</f>
        <v/>
      </c>
      <c r="P811" s="7" t="str">
        <f>IFERROR(VLOOKUP(Tabela3[[#This Row],[Categoria]],Cadastros!A:C,3,0),"")</f>
        <v/>
      </c>
      <c r="Q811" s="9" t="str">
        <f ca="1">IFERROR(Tabela3[[#This Row],[Vida útil]]-Tabela3[[#This Row],[Idade]],"")</f>
        <v/>
      </c>
      <c r="R811" s="8" t="str">
        <f ca="1">IFERROR(Tabela3[[#This Row],[Valor]]-(Tabela3[[#This Row],[Valor]]*(Tabela3[[#This Row],[Idade]]*VLOOKUP(Tabela3[[#This Row],[Categoria]],Cadastros!A:B,2,0))),"")</f>
        <v/>
      </c>
    </row>
    <row r="812" spans="4:18" x14ac:dyDescent="0.25">
      <c r="D812" s="5"/>
      <c r="N812" s="6" t="str">
        <f>IFERROR(Tabela3[[#This Row],[Última revisão do bem]]+(VLOOKUP(Tabela3[[#This Row],[Categoria]],Cadastros!A:D,4,0)+365),"")</f>
        <v/>
      </c>
      <c r="O812" s="7" t="str">
        <f ca="1">IF(Tabela3[[#This Row],[Data da compra]]&gt;0,(TODAY()-Tabela3[[#This Row],[Data da compra]])/365,"")</f>
        <v/>
      </c>
      <c r="P812" s="7" t="str">
        <f>IFERROR(VLOOKUP(Tabela3[[#This Row],[Categoria]],Cadastros!A:C,3,0),"")</f>
        <v/>
      </c>
      <c r="Q812" s="9" t="str">
        <f ca="1">IFERROR(Tabela3[[#This Row],[Vida útil]]-Tabela3[[#This Row],[Idade]],"")</f>
        <v/>
      </c>
      <c r="R812" s="8" t="str">
        <f ca="1">IFERROR(Tabela3[[#This Row],[Valor]]-(Tabela3[[#This Row],[Valor]]*(Tabela3[[#This Row],[Idade]]*VLOOKUP(Tabela3[[#This Row],[Categoria]],Cadastros!A:B,2,0))),"")</f>
        <v/>
      </c>
    </row>
    <row r="813" spans="4:18" x14ac:dyDescent="0.25">
      <c r="D813" s="5"/>
      <c r="N813" s="6" t="str">
        <f>IFERROR(Tabela3[[#This Row],[Última revisão do bem]]+(VLOOKUP(Tabela3[[#This Row],[Categoria]],Cadastros!A:D,4,0)+365),"")</f>
        <v/>
      </c>
      <c r="O813" s="7" t="str">
        <f ca="1">IF(Tabela3[[#This Row],[Data da compra]]&gt;0,(TODAY()-Tabela3[[#This Row],[Data da compra]])/365,"")</f>
        <v/>
      </c>
      <c r="P813" s="7" t="str">
        <f>IFERROR(VLOOKUP(Tabela3[[#This Row],[Categoria]],Cadastros!A:C,3,0),"")</f>
        <v/>
      </c>
      <c r="Q813" s="9" t="str">
        <f ca="1">IFERROR(Tabela3[[#This Row],[Vida útil]]-Tabela3[[#This Row],[Idade]],"")</f>
        <v/>
      </c>
      <c r="R813" s="8" t="str">
        <f ca="1">IFERROR(Tabela3[[#This Row],[Valor]]-(Tabela3[[#This Row],[Valor]]*(Tabela3[[#This Row],[Idade]]*VLOOKUP(Tabela3[[#This Row],[Categoria]],Cadastros!A:B,2,0))),"")</f>
        <v/>
      </c>
    </row>
    <row r="814" spans="4:18" x14ac:dyDescent="0.25">
      <c r="D814" s="5"/>
      <c r="N814" s="6" t="str">
        <f>IFERROR(Tabela3[[#This Row],[Última revisão do bem]]+(VLOOKUP(Tabela3[[#This Row],[Categoria]],Cadastros!A:D,4,0)+365),"")</f>
        <v/>
      </c>
      <c r="O814" s="7" t="str">
        <f ca="1">IF(Tabela3[[#This Row],[Data da compra]]&gt;0,(TODAY()-Tabela3[[#This Row],[Data da compra]])/365,"")</f>
        <v/>
      </c>
      <c r="P814" s="7" t="str">
        <f>IFERROR(VLOOKUP(Tabela3[[#This Row],[Categoria]],Cadastros!A:C,3,0),"")</f>
        <v/>
      </c>
      <c r="Q814" s="9" t="str">
        <f ca="1">IFERROR(Tabela3[[#This Row],[Vida útil]]-Tabela3[[#This Row],[Idade]],"")</f>
        <v/>
      </c>
      <c r="R814" s="8" t="str">
        <f ca="1">IFERROR(Tabela3[[#This Row],[Valor]]-(Tabela3[[#This Row],[Valor]]*(Tabela3[[#This Row],[Idade]]*VLOOKUP(Tabela3[[#This Row],[Categoria]],Cadastros!A:B,2,0))),"")</f>
        <v/>
      </c>
    </row>
    <row r="815" spans="4:18" x14ac:dyDescent="0.25">
      <c r="D815" s="5"/>
      <c r="N815" s="6" t="str">
        <f>IFERROR(Tabela3[[#This Row],[Última revisão do bem]]+(VLOOKUP(Tabela3[[#This Row],[Categoria]],Cadastros!A:D,4,0)+365),"")</f>
        <v/>
      </c>
      <c r="O815" s="7" t="str">
        <f ca="1">IF(Tabela3[[#This Row],[Data da compra]]&gt;0,(TODAY()-Tabela3[[#This Row],[Data da compra]])/365,"")</f>
        <v/>
      </c>
      <c r="P815" s="7" t="str">
        <f>IFERROR(VLOOKUP(Tabela3[[#This Row],[Categoria]],Cadastros!A:C,3,0),"")</f>
        <v/>
      </c>
      <c r="Q815" s="9" t="str">
        <f ca="1">IFERROR(Tabela3[[#This Row],[Vida útil]]-Tabela3[[#This Row],[Idade]],"")</f>
        <v/>
      </c>
      <c r="R815" s="8" t="str">
        <f ca="1">IFERROR(Tabela3[[#This Row],[Valor]]-(Tabela3[[#This Row],[Valor]]*(Tabela3[[#This Row],[Idade]]*VLOOKUP(Tabela3[[#This Row],[Categoria]],Cadastros!A:B,2,0))),"")</f>
        <v/>
      </c>
    </row>
    <row r="816" spans="4:18" x14ac:dyDescent="0.25">
      <c r="D816" s="22"/>
      <c r="N816" s="6" t="str">
        <f>IFERROR(Tabela3[[#This Row],[Última revisão do bem]]+(VLOOKUP(Tabela3[[#This Row],[Categoria]],Cadastros!A:D,4,0)+365),"")</f>
        <v/>
      </c>
      <c r="O816" s="7" t="str">
        <f ca="1">IF(Tabela3[[#This Row],[Data da compra]]&gt;0,(TODAY()-Tabela3[[#This Row],[Data da compra]])/365,"")</f>
        <v/>
      </c>
      <c r="P816" s="7" t="str">
        <f>IFERROR(VLOOKUP(Tabela3[[#This Row],[Categoria]],Cadastros!A:C,3,0),"")</f>
        <v/>
      </c>
      <c r="Q816" s="9" t="str">
        <f ca="1">IFERROR(Tabela3[[#This Row],[Vida útil]]-Tabela3[[#This Row],[Idade]],"")</f>
        <v/>
      </c>
      <c r="R816" s="23" t="str">
        <f ca="1">IFERROR(Tabela3[[#This Row],[Valor]]-(Tabela3[[#This Row],[Valor]]*(Tabela3[[#This Row],[Idade]]*VLOOKUP(Tabela3[[#This Row],[Categoria]],Cadastros!A:B,2,0))),"")</f>
        <v/>
      </c>
    </row>
    <row r="817" spans="4:18" x14ac:dyDescent="0.25">
      <c r="D817" s="5"/>
      <c r="N817" s="6" t="str">
        <f>IFERROR(Tabela3[[#This Row],[Última revisão do bem]]+(VLOOKUP(Tabela3[[#This Row],[Categoria]],Cadastros!A:D,4,0)+365),"")</f>
        <v/>
      </c>
      <c r="O817" s="7" t="str">
        <f ca="1">IF(Tabela3[[#This Row],[Data da compra]]&gt;0,(TODAY()-Tabela3[[#This Row],[Data da compra]])/365,"")</f>
        <v/>
      </c>
      <c r="P817" s="7" t="str">
        <f>IFERROR(VLOOKUP(Tabela3[[#This Row],[Categoria]],Cadastros!A:C,3,0),"")</f>
        <v/>
      </c>
      <c r="Q817" s="9" t="str">
        <f ca="1">IFERROR(Tabela3[[#This Row],[Vida útil]]-Tabela3[[#This Row],[Idade]],"")</f>
        <v/>
      </c>
      <c r="R817" s="8" t="str">
        <f ca="1">IFERROR(Tabela3[[#This Row],[Valor]]-(Tabela3[[#This Row],[Valor]]*(Tabela3[[#This Row],[Idade]]*VLOOKUP(Tabela3[[#This Row],[Categoria]],Cadastros!A:B,2,0))),"")</f>
        <v/>
      </c>
    </row>
    <row r="818" spans="4:18" x14ac:dyDescent="0.25">
      <c r="D818" s="5"/>
      <c r="N818" s="6" t="str">
        <f>IFERROR(Tabela3[[#This Row],[Última revisão do bem]]+(VLOOKUP(Tabela3[[#This Row],[Categoria]],Cadastros!A:D,4,0)+365),"")</f>
        <v/>
      </c>
      <c r="O818" s="7" t="str">
        <f ca="1">IF(Tabela3[[#This Row],[Data da compra]]&gt;0,(TODAY()-Tabela3[[#This Row],[Data da compra]])/365,"")</f>
        <v/>
      </c>
      <c r="P818" s="7" t="str">
        <f>IFERROR(VLOOKUP(Tabela3[[#This Row],[Categoria]],Cadastros!A:C,3,0),"")</f>
        <v/>
      </c>
      <c r="Q818" s="9" t="str">
        <f ca="1">IFERROR(Tabela3[[#This Row],[Vida útil]]-Tabela3[[#This Row],[Idade]],"")</f>
        <v/>
      </c>
      <c r="R818" s="8" t="str">
        <f ca="1">IFERROR(Tabela3[[#This Row],[Valor]]-(Tabela3[[#This Row],[Valor]]*(Tabela3[[#This Row],[Idade]]*VLOOKUP(Tabela3[[#This Row],[Categoria]],Cadastros!A:B,2,0))),"")</f>
        <v/>
      </c>
    </row>
    <row r="819" spans="4:18" x14ac:dyDescent="0.25">
      <c r="D819" s="5"/>
      <c r="N819" s="6" t="str">
        <f>IFERROR(Tabela3[[#This Row],[Última revisão do bem]]+(VLOOKUP(Tabela3[[#This Row],[Categoria]],Cadastros!A:D,4,0)+365),"")</f>
        <v/>
      </c>
      <c r="O819" s="7" t="str">
        <f ca="1">IF(Tabela3[[#This Row],[Data da compra]]&gt;0,(TODAY()-Tabela3[[#This Row],[Data da compra]])/365,"")</f>
        <v/>
      </c>
      <c r="P819" s="7" t="str">
        <f>IFERROR(VLOOKUP(Tabela3[[#This Row],[Categoria]],Cadastros!A:C,3,0),"")</f>
        <v/>
      </c>
      <c r="Q819" s="9" t="str">
        <f ca="1">IFERROR(Tabela3[[#This Row],[Vida útil]]-Tabela3[[#This Row],[Idade]],"")</f>
        <v/>
      </c>
      <c r="R819" s="8" t="str">
        <f ca="1">IFERROR(Tabela3[[#This Row],[Valor]]-(Tabela3[[#This Row],[Valor]]*(Tabela3[[#This Row],[Idade]]*VLOOKUP(Tabela3[[#This Row],[Categoria]],Cadastros!A:B,2,0))),"")</f>
        <v/>
      </c>
    </row>
    <row r="820" spans="4:18" x14ac:dyDescent="0.25">
      <c r="D820" s="5"/>
      <c r="N820" s="6" t="str">
        <f>IFERROR(Tabela3[[#This Row],[Última revisão do bem]]+(VLOOKUP(Tabela3[[#This Row],[Categoria]],Cadastros!A:D,4,0)+365),"")</f>
        <v/>
      </c>
      <c r="O820" s="7" t="str">
        <f ca="1">IF(Tabela3[[#This Row],[Data da compra]]&gt;0,(TODAY()-Tabela3[[#This Row],[Data da compra]])/365,"")</f>
        <v/>
      </c>
      <c r="P820" s="7" t="str">
        <f>IFERROR(VLOOKUP(Tabela3[[#This Row],[Categoria]],Cadastros!A:C,3,0),"")</f>
        <v/>
      </c>
      <c r="Q820" s="9" t="str">
        <f ca="1">IFERROR(Tabela3[[#This Row],[Vida útil]]-Tabela3[[#This Row],[Idade]],"")</f>
        <v/>
      </c>
      <c r="R820" s="8" t="str">
        <f ca="1">IFERROR(Tabela3[[#This Row],[Valor]]-(Tabela3[[#This Row],[Valor]]*(Tabela3[[#This Row],[Idade]]*VLOOKUP(Tabela3[[#This Row],[Categoria]],Cadastros!A:B,2,0))),"")</f>
        <v/>
      </c>
    </row>
    <row r="821" spans="4:18" x14ac:dyDescent="0.25">
      <c r="D821" s="5"/>
      <c r="N821" s="6" t="str">
        <f>IFERROR(Tabela3[[#This Row],[Última revisão do bem]]+(VLOOKUP(Tabela3[[#This Row],[Categoria]],Cadastros!A:D,4,0)+365),"")</f>
        <v/>
      </c>
      <c r="O821" s="7" t="str">
        <f ca="1">IF(Tabela3[[#This Row],[Data da compra]]&gt;0,(TODAY()-Tabela3[[#This Row],[Data da compra]])/365,"")</f>
        <v/>
      </c>
      <c r="P821" s="7" t="str">
        <f>IFERROR(VLOOKUP(Tabela3[[#This Row],[Categoria]],Cadastros!A:C,3,0),"")</f>
        <v/>
      </c>
      <c r="Q821" s="9" t="str">
        <f ca="1">IFERROR(Tabela3[[#This Row],[Vida útil]]-Tabela3[[#This Row],[Idade]],"")</f>
        <v/>
      </c>
      <c r="R821" s="8" t="str">
        <f ca="1">IFERROR(Tabela3[[#This Row],[Valor]]-(Tabela3[[#This Row],[Valor]]*(Tabela3[[#This Row],[Idade]]*VLOOKUP(Tabela3[[#This Row],[Categoria]],Cadastros!A:B,2,0))),"")</f>
        <v/>
      </c>
    </row>
    <row r="822" spans="4:18" x14ac:dyDescent="0.25">
      <c r="D822" s="5"/>
      <c r="N822" s="6" t="str">
        <f>IFERROR(Tabela3[[#This Row],[Última revisão do bem]]+(VLOOKUP(Tabela3[[#This Row],[Categoria]],Cadastros!A:D,4,0)+365),"")</f>
        <v/>
      </c>
      <c r="O822" s="7" t="str">
        <f ca="1">IF(Tabela3[[#This Row],[Data da compra]]&gt;0,(TODAY()-Tabela3[[#This Row],[Data da compra]])/365,"")</f>
        <v/>
      </c>
      <c r="P822" s="7" t="str">
        <f>IFERROR(VLOOKUP(Tabela3[[#This Row],[Categoria]],Cadastros!A:C,3,0),"")</f>
        <v/>
      </c>
      <c r="Q822" s="9" t="str">
        <f ca="1">IFERROR(Tabela3[[#This Row],[Vida útil]]-Tabela3[[#This Row],[Idade]],"")</f>
        <v/>
      </c>
      <c r="R822" s="8" t="str">
        <f ca="1">IFERROR(Tabela3[[#This Row],[Valor]]-(Tabela3[[#This Row],[Valor]]*(Tabela3[[#This Row],[Idade]]*VLOOKUP(Tabela3[[#This Row],[Categoria]],Cadastros!A:B,2,0))),"")</f>
        <v/>
      </c>
    </row>
    <row r="823" spans="4:18" x14ac:dyDescent="0.25">
      <c r="D823" s="5"/>
      <c r="N823" s="6" t="str">
        <f>IFERROR(Tabela3[[#This Row],[Última revisão do bem]]+(VLOOKUP(Tabela3[[#This Row],[Categoria]],Cadastros!A:D,4,0)+365),"")</f>
        <v/>
      </c>
      <c r="O823" s="7" t="str">
        <f ca="1">IF(Tabela3[[#This Row],[Data da compra]]&gt;0,(TODAY()-Tabela3[[#This Row],[Data da compra]])/365,"")</f>
        <v/>
      </c>
      <c r="P823" s="7" t="str">
        <f>IFERROR(VLOOKUP(Tabela3[[#This Row],[Categoria]],Cadastros!A:C,3,0),"")</f>
        <v/>
      </c>
      <c r="Q823" s="9" t="str">
        <f ca="1">IFERROR(Tabela3[[#This Row],[Vida útil]]-Tabela3[[#This Row],[Idade]],"")</f>
        <v/>
      </c>
      <c r="R823" s="8" t="str">
        <f ca="1">IFERROR(Tabela3[[#This Row],[Valor]]-(Tabela3[[#This Row],[Valor]]*(Tabela3[[#This Row],[Idade]]*VLOOKUP(Tabela3[[#This Row],[Categoria]],Cadastros!A:B,2,0))),"")</f>
        <v/>
      </c>
    </row>
    <row r="824" spans="4:18" x14ac:dyDescent="0.25">
      <c r="D824" s="5"/>
      <c r="N824" s="6" t="str">
        <f>IFERROR(Tabela3[[#This Row],[Última revisão do bem]]+(VLOOKUP(Tabela3[[#This Row],[Categoria]],Cadastros!A:D,4,0)+365),"")</f>
        <v/>
      </c>
      <c r="O824" s="7" t="str">
        <f ca="1">IF(Tabela3[[#This Row],[Data da compra]]&gt;0,(TODAY()-Tabela3[[#This Row],[Data da compra]])/365,"")</f>
        <v/>
      </c>
      <c r="P824" s="7" t="str">
        <f>IFERROR(VLOOKUP(Tabela3[[#This Row],[Categoria]],Cadastros!A:C,3,0),"")</f>
        <v/>
      </c>
      <c r="Q824" s="9" t="str">
        <f ca="1">IFERROR(Tabela3[[#This Row],[Vida útil]]-Tabela3[[#This Row],[Idade]],"")</f>
        <v/>
      </c>
      <c r="R824" s="8" t="str">
        <f ca="1">IFERROR(Tabela3[[#This Row],[Valor]]-(Tabela3[[#This Row],[Valor]]*(Tabela3[[#This Row],[Idade]]*VLOOKUP(Tabela3[[#This Row],[Categoria]],Cadastros!A:B,2,0))),"")</f>
        <v/>
      </c>
    </row>
    <row r="825" spans="4:18" x14ac:dyDescent="0.25">
      <c r="D825" s="5"/>
      <c r="N825" s="6" t="str">
        <f>IFERROR(Tabela3[[#This Row],[Última revisão do bem]]+(VLOOKUP(Tabela3[[#This Row],[Categoria]],Cadastros!A:D,4,0)+365),"")</f>
        <v/>
      </c>
      <c r="O825" s="7" t="str">
        <f ca="1">IF(Tabela3[[#This Row],[Data da compra]]&gt;0,(TODAY()-Tabela3[[#This Row],[Data da compra]])/365,"")</f>
        <v/>
      </c>
      <c r="P825" s="7" t="str">
        <f>IFERROR(VLOOKUP(Tabela3[[#This Row],[Categoria]],Cadastros!A:C,3,0),"")</f>
        <v/>
      </c>
      <c r="Q825" s="9" t="str">
        <f ca="1">IFERROR(Tabela3[[#This Row],[Vida útil]]-Tabela3[[#This Row],[Idade]],"")</f>
        <v/>
      </c>
      <c r="R825" s="8" t="str">
        <f ca="1">IFERROR(Tabela3[[#This Row],[Valor]]-(Tabela3[[#This Row],[Valor]]*(Tabela3[[#This Row],[Idade]]*VLOOKUP(Tabela3[[#This Row],[Categoria]],Cadastros!A:B,2,0))),"")</f>
        <v/>
      </c>
    </row>
    <row r="826" spans="4:18" x14ac:dyDescent="0.25">
      <c r="D826" s="5"/>
      <c r="N826" s="6" t="str">
        <f>IFERROR(Tabela3[[#This Row],[Última revisão do bem]]+(VLOOKUP(Tabela3[[#This Row],[Categoria]],Cadastros!A:D,4,0)+365),"")</f>
        <v/>
      </c>
      <c r="O826" s="7" t="str">
        <f ca="1">IF(Tabela3[[#This Row],[Data da compra]]&gt;0,(TODAY()-Tabela3[[#This Row],[Data da compra]])/365,"")</f>
        <v/>
      </c>
      <c r="P826" s="7" t="str">
        <f>IFERROR(VLOOKUP(Tabela3[[#This Row],[Categoria]],Cadastros!A:C,3,0),"")</f>
        <v/>
      </c>
      <c r="Q826" s="9" t="str">
        <f ca="1">IFERROR(Tabela3[[#This Row],[Vida útil]]-Tabela3[[#This Row],[Idade]],"")</f>
        <v/>
      </c>
      <c r="R826" s="8" t="str">
        <f ca="1">IFERROR(Tabela3[[#This Row],[Valor]]-(Tabela3[[#This Row],[Valor]]*(Tabela3[[#This Row],[Idade]]*VLOOKUP(Tabela3[[#This Row],[Categoria]],Cadastros!A:B,2,0))),"")</f>
        <v/>
      </c>
    </row>
    <row r="827" spans="4:18" x14ac:dyDescent="0.25">
      <c r="D827" s="5"/>
      <c r="N827" s="6" t="str">
        <f>IFERROR(Tabela3[[#This Row],[Última revisão do bem]]+(VLOOKUP(Tabela3[[#This Row],[Categoria]],Cadastros!A:D,4,0)+365),"")</f>
        <v/>
      </c>
      <c r="O827" s="7" t="str">
        <f ca="1">IF(Tabela3[[#This Row],[Data da compra]]&gt;0,(TODAY()-Tabela3[[#This Row],[Data da compra]])/365,"")</f>
        <v/>
      </c>
      <c r="P827" s="7" t="str">
        <f>IFERROR(VLOOKUP(Tabela3[[#This Row],[Categoria]],Cadastros!A:C,3,0),"")</f>
        <v/>
      </c>
      <c r="Q827" s="9" t="str">
        <f ca="1">IFERROR(Tabela3[[#This Row],[Vida útil]]-Tabela3[[#This Row],[Idade]],"")</f>
        <v/>
      </c>
      <c r="R827" s="8" t="str">
        <f ca="1">IFERROR(Tabela3[[#This Row],[Valor]]-(Tabela3[[#This Row],[Valor]]*(Tabela3[[#This Row],[Idade]]*VLOOKUP(Tabela3[[#This Row],[Categoria]],Cadastros!A:B,2,0))),"")</f>
        <v/>
      </c>
    </row>
    <row r="828" spans="4:18" x14ac:dyDescent="0.25">
      <c r="D828" s="5"/>
      <c r="N828" s="6" t="str">
        <f>IFERROR(Tabela3[[#This Row],[Última revisão do bem]]+(VLOOKUP(Tabela3[[#This Row],[Categoria]],Cadastros!A:D,4,0)+365),"")</f>
        <v/>
      </c>
      <c r="O828" s="7" t="str">
        <f ca="1">IF(Tabela3[[#This Row],[Data da compra]]&gt;0,(TODAY()-Tabela3[[#This Row],[Data da compra]])/365,"")</f>
        <v/>
      </c>
      <c r="P828" s="7" t="str">
        <f>IFERROR(VLOOKUP(Tabela3[[#This Row],[Categoria]],Cadastros!A:C,3,0),"")</f>
        <v/>
      </c>
      <c r="Q828" s="9" t="str">
        <f ca="1">IFERROR(Tabela3[[#This Row],[Vida útil]]-Tabela3[[#This Row],[Idade]],"")</f>
        <v/>
      </c>
      <c r="R828" s="8" t="str">
        <f ca="1">IFERROR(Tabela3[[#This Row],[Valor]]-(Tabela3[[#This Row],[Valor]]*(Tabela3[[#This Row],[Idade]]*VLOOKUP(Tabela3[[#This Row],[Categoria]],Cadastros!A:B,2,0))),"")</f>
        <v/>
      </c>
    </row>
    <row r="829" spans="4:18" x14ac:dyDescent="0.25">
      <c r="D829" s="5"/>
      <c r="N829" s="6" t="str">
        <f>IFERROR(Tabela3[[#This Row],[Última revisão do bem]]+(VLOOKUP(Tabela3[[#This Row],[Categoria]],Cadastros!A:D,4,0)+365),"")</f>
        <v/>
      </c>
      <c r="O829" s="7" t="str">
        <f ca="1">IF(Tabela3[[#This Row],[Data da compra]]&gt;0,(TODAY()-Tabela3[[#This Row],[Data da compra]])/365,"")</f>
        <v/>
      </c>
      <c r="P829" s="7" t="str">
        <f>IFERROR(VLOOKUP(Tabela3[[#This Row],[Categoria]],Cadastros!A:C,3,0),"")</f>
        <v/>
      </c>
      <c r="Q829" s="9" t="str">
        <f ca="1">IFERROR(Tabela3[[#This Row],[Vida útil]]-Tabela3[[#This Row],[Idade]],"")</f>
        <v/>
      </c>
      <c r="R829" s="8" t="str">
        <f ca="1">IFERROR(Tabela3[[#This Row],[Valor]]-(Tabela3[[#This Row],[Valor]]*(Tabela3[[#This Row],[Idade]]*VLOOKUP(Tabela3[[#This Row],[Categoria]],Cadastros!A:B,2,0))),"")</f>
        <v/>
      </c>
    </row>
    <row r="830" spans="4:18" x14ac:dyDescent="0.25">
      <c r="D830" s="5"/>
      <c r="N830" s="6" t="str">
        <f>IFERROR(Tabela3[[#This Row],[Última revisão do bem]]+(VLOOKUP(Tabela3[[#This Row],[Categoria]],Cadastros!A:D,4,0)+365),"")</f>
        <v/>
      </c>
      <c r="O830" s="7" t="str">
        <f ca="1">IF(Tabela3[[#This Row],[Data da compra]]&gt;0,(TODAY()-Tabela3[[#This Row],[Data da compra]])/365,"")</f>
        <v/>
      </c>
      <c r="P830" s="7" t="str">
        <f>IFERROR(VLOOKUP(Tabela3[[#This Row],[Categoria]],Cadastros!A:C,3,0),"")</f>
        <v/>
      </c>
      <c r="Q830" s="9" t="str">
        <f ca="1">IFERROR(Tabela3[[#This Row],[Vida útil]]-Tabela3[[#This Row],[Idade]],"")</f>
        <v/>
      </c>
      <c r="R830" s="8" t="str">
        <f ca="1">IFERROR(Tabela3[[#This Row],[Valor]]-(Tabela3[[#This Row],[Valor]]*(Tabela3[[#This Row],[Idade]]*VLOOKUP(Tabela3[[#This Row],[Categoria]],Cadastros!A:B,2,0))),"")</f>
        <v/>
      </c>
    </row>
    <row r="831" spans="4:18" x14ac:dyDescent="0.25">
      <c r="D831" s="5"/>
      <c r="N831" s="6" t="str">
        <f>IFERROR(Tabela3[[#This Row],[Última revisão do bem]]+(VLOOKUP(Tabela3[[#This Row],[Categoria]],Cadastros!A:D,4,0)+365),"")</f>
        <v/>
      </c>
      <c r="O831" s="7" t="str">
        <f ca="1">IF(Tabela3[[#This Row],[Data da compra]]&gt;0,(TODAY()-Tabela3[[#This Row],[Data da compra]])/365,"")</f>
        <v/>
      </c>
      <c r="P831" s="7" t="str">
        <f>IFERROR(VLOOKUP(Tabela3[[#This Row],[Categoria]],Cadastros!A:C,3,0),"")</f>
        <v/>
      </c>
      <c r="Q831" s="9" t="str">
        <f ca="1">IFERROR(Tabela3[[#This Row],[Vida útil]]-Tabela3[[#This Row],[Idade]],"")</f>
        <v/>
      </c>
      <c r="R831" s="8" t="str">
        <f ca="1">IFERROR(Tabela3[[#This Row],[Valor]]-(Tabela3[[#This Row],[Valor]]*(Tabela3[[#This Row],[Idade]]*VLOOKUP(Tabela3[[#This Row],[Categoria]],Cadastros!A:B,2,0))),"")</f>
        <v/>
      </c>
    </row>
    <row r="832" spans="4:18" x14ac:dyDescent="0.25">
      <c r="D832" s="5"/>
      <c r="N832" s="6" t="str">
        <f>IFERROR(Tabela3[[#This Row],[Última revisão do bem]]+(VLOOKUP(Tabela3[[#This Row],[Categoria]],Cadastros!A:D,4,0)+365),"")</f>
        <v/>
      </c>
      <c r="O832" s="7" t="str">
        <f ca="1">IF(Tabela3[[#This Row],[Data da compra]]&gt;0,(TODAY()-Tabela3[[#This Row],[Data da compra]])/365,"")</f>
        <v/>
      </c>
      <c r="P832" s="7" t="str">
        <f>IFERROR(VLOOKUP(Tabela3[[#This Row],[Categoria]],Cadastros!A:C,3,0),"")</f>
        <v/>
      </c>
      <c r="Q832" s="9" t="str">
        <f ca="1">IFERROR(Tabela3[[#This Row],[Vida útil]]-Tabela3[[#This Row],[Idade]],"")</f>
        <v/>
      </c>
      <c r="R832" s="8" t="str">
        <f ca="1">IFERROR(Tabela3[[#This Row],[Valor]]-(Tabela3[[#This Row],[Valor]]*(Tabela3[[#This Row],[Idade]]*VLOOKUP(Tabela3[[#This Row],[Categoria]],Cadastros!A:B,2,0))),"")</f>
        <v/>
      </c>
    </row>
    <row r="833" spans="4:18" x14ac:dyDescent="0.25">
      <c r="D833" s="5"/>
      <c r="N833" s="6" t="str">
        <f>IFERROR(Tabela3[[#This Row],[Última revisão do bem]]+(VLOOKUP(Tabela3[[#This Row],[Categoria]],Cadastros!A:D,4,0)+365),"")</f>
        <v/>
      </c>
      <c r="O833" s="7" t="str">
        <f ca="1">IF(Tabela3[[#This Row],[Data da compra]]&gt;0,(TODAY()-Tabela3[[#This Row],[Data da compra]])/365,"")</f>
        <v/>
      </c>
      <c r="P833" s="7" t="str">
        <f>IFERROR(VLOOKUP(Tabela3[[#This Row],[Categoria]],Cadastros!A:C,3,0),"")</f>
        <v/>
      </c>
      <c r="Q833" s="9" t="str">
        <f ca="1">IFERROR(Tabela3[[#This Row],[Vida útil]]-Tabela3[[#This Row],[Idade]],"")</f>
        <v/>
      </c>
      <c r="R833" s="8" t="str">
        <f ca="1">IFERROR(Tabela3[[#This Row],[Valor]]-(Tabela3[[#This Row],[Valor]]*(Tabela3[[#This Row],[Idade]]*VLOOKUP(Tabela3[[#This Row],[Categoria]],Cadastros!A:B,2,0))),"")</f>
        <v/>
      </c>
    </row>
    <row r="834" spans="4:18" x14ac:dyDescent="0.25">
      <c r="D834" s="22"/>
      <c r="N834" s="6" t="str">
        <f>IFERROR(Tabela3[[#This Row],[Última revisão do bem]]+(VLOOKUP(Tabela3[[#This Row],[Categoria]],Cadastros!A:D,4,0)+365),"")</f>
        <v/>
      </c>
      <c r="O834" s="7" t="str">
        <f ca="1">IF(Tabela3[[#This Row],[Data da compra]]&gt;0,(TODAY()-Tabela3[[#This Row],[Data da compra]])/365,"")</f>
        <v/>
      </c>
      <c r="P834" s="7" t="str">
        <f>IFERROR(VLOOKUP(Tabela3[[#This Row],[Categoria]],Cadastros!A:C,3,0),"")</f>
        <v/>
      </c>
      <c r="Q834" s="9" t="str">
        <f ca="1">IFERROR(Tabela3[[#This Row],[Vida útil]]-Tabela3[[#This Row],[Idade]],"")</f>
        <v/>
      </c>
      <c r="R834" s="23" t="str">
        <f ca="1">IFERROR(Tabela3[[#This Row],[Valor]]-(Tabela3[[#This Row],[Valor]]*(Tabela3[[#This Row],[Idade]]*VLOOKUP(Tabela3[[#This Row],[Categoria]],Cadastros!A:B,2,0))),"")</f>
        <v/>
      </c>
    </row>
    <row r="835" spans="4:18" x14ac:dyDescent="0.25">
      <c r="D835" s="5"/>
      <c r="N835" s="6" t="str">
        <f>IFERROR(Tabela3[[#This Row],[Última revisão do bem]]+(VLOOKUP(Tabela3[[#This Row],[Categoria]],Cadastros!A:D,4,0)+365),"")</f>
        <v/>
      </c>
      <c r="O835" s="7" t="str">
        <f ca="1">IF(Tabela3[[#This Row],[Data da compra]]&gt;0,(TODAY()-Tabela3[[#This Row],[Data da compra]])/365,"")</f>
        <v/>
      </c>
      <c r="P835" s="7" t="str">
        <f>IFERROR(VLOOKUP(Tabela3[[#This Row],[Categoria]],Cadastros!A:C,3,0),"")</f>
        <v/>
      </c>
      <c r="Q835" s="9" t="str">
        <f ca="1">IFERROR(Tabela3[[#This Row],[Vida útil]]-Tabela3[[#This Row],[Idade]],"")</f>
        <v/>
      </c>
      <c r="R835" s="8" t="str">
        <f ca="1">IFERROR(Tabela3[[#This Row],[Valor]]-(Tabela3[[#This Row],[Valor]]*(Tabela3[[#This Row],[Idade]]*VLOOKUP(Tabela3[[#This Row],[Categoria]],Cadastros!A:B,2,0))),"")</f>
        <v/>
      </c>
    </row>
    <row r="836" spans="4:18" x14ac:dyDescent="0.25">
      <c r="D836" s="5"/>
      <c r="N836" s="6" t="str">
        <f>IFERROR(Tabela3[[#This Row],[Última revisão do bem]]+(VLOOKUP(Tabela3[[#This Row],[Categoria]],Cadastros!A:D,4,0)+365),"")</f>
        <v/>
      </c>
      <c r="O836" s="7" t="str">
        <f ca="1">IF(Tabela3[[#This Row],[Data da compra]]&gt;0,(TODAY()-Tabela3[[#This Row],[Data da compra]])/365,"")</f>
        <v/>
      </c>
      <c r="P836" s="7" t="str">
        <f>IFERROR(VLOOKUP(Tabela3[[#This Row],[Categoria]],Cadastros!A:C,3,0),"")</f>
        <v/>
      </c>
      <c r="Q836" s="9" t="str">
        <f ca="1">IFERROR(Tabela3[[#This Row],[Vida útil]]-Tabela3[[#This Row],[Idade]],"")</f>
        <v/>
      </c>
      <c r="R836" s="8" t="str">
        <f ca="1">IFERROR(Tabela3[[#This Row],[Valor]]-(Tabela3[[#This Row],[Valor]]*(Tabela3[[#This Row],[Idade]]*VLOOKUP(Tabela3[[#This Row],[Categoria]],Cadastros!A:B,2,0))),"")</f>
        <v/>
      </c>
    </row>
    <row r="837" spans="4:18" x14ac:dyDescent="0.25">
      <c r="D837" s="5"/>
      <c r="N837" s="6" t="str">
        <f>IFERROR(Tabela3[[#This Row],[Última revisão do bem]]+(VLOOKUP(Tabela3[[#This Row],[Categoria]],Cadastros!A:D,4,0)+365),"")</f>
        <v/>
      </c>
      <c r="O837" s="7" t="str">
        <f ca="1">IF(Tabela3[[#This Row],[Data da compra]]&gt;0,(TODAY()-Tabela3[[#This Row],[Data da compra]])/365,"")</f>
        <v/>
      </c>
      <c r="P837" s="7" t="str">
        <f>IFERROR(VLOOKUP(Tabela3[[#This Row],[Categoria]],Cadastros!A:C,3,0),"")</f>
        <v/>
      </c>
      <c r="Q837" s="9" t="str">
        <f ca="1">IFERROR(Tabela3[[#This Row],[Vida útil]]-Tabela3[[#This Row],[Idade]],"")</f>
        <v/>
      </c>
      <c r="R837" s="8" t="str">
        <f ca="1">IFERROR(Tabela3[[#This Row],[Valor]]-(Tabela3[[#This Row],[Valor]]*(Tabela3[[#This Row],[Idade]]*VLOOKUP(Tabela3[[#This Row],[Categoria]],Cadastros!A:B,2,0))),"")</f>
        <v/>
      </c>
    </row>
    <row r="838" spans="4:18" x14ac:dyDescent="0.25">
      <c r="D838" s="5"/>
      <c r="N838" s="6" t="str">
        <f>IFERROR(Tabela3[[#This Row],[Última revisão do bem]]+(VLOOKUP(Tabela3[[#This Row],[Categoria]],Cadastros!A:D,4,0)+365),"")</f>
        <v/>
      </c>
      <c r="O838" s="7" t="str">
        <f ca="1">IF(Tabela3[[#This Row],[Data da compra]]&gt;0,(TODAY()-Tabela3[[#This Row],[Data da compra]])/365,"")</f>
        <v/>
      </c>
      <c r="P838" s="7" t="str">
        <f>IFERROR(VLOOKUP(Tabela3[[#This Row],[Categoria]],Cadastros!A:C,3,0),"")</f>
        <v/>
      </c>
      <c r="Q838" s="9" t="str">
        <f ca="1">IFERROR(Tabela3[[#This Row],[Vida útil]]-Tabela3[[#This Row],[Idade]],"")</f>
        <v/>
      </c>
      <c r="R838" s="8" t="str">
        <f ca="1">IFERROR(Tabela3[[#This Row],[Valor]]-(Tabela3[[#This Row],[Valor]]*(Tabela3[[#This Row],[Idade]]*VLOOKUP(Tabela3[[#This Row],[Categoria]],Cadastros!A:B,2,0))),"")</f>
        <v/>
      </c>
    </row>
    <row r="839" spans="4:18" x14ac:dyDescent="0.25">
      <c r="D839" s="5"/>
      <c r="N839" s="6" t="str">
        <f>IFERROR(Tabela3[[#This Row],[Última revisão do bem]]+(VLOOKUP(Tabela3[[#This Row],[Categoria]],Cadastros!A:D,4,0)+365),"")</f>
        <v/>
      </c>
      <c r="O839" s="7" t="str">
        <f ca="1">IF(Tabela3[[#This Row],[Data da compra]]&gt;0,(TODAY()-Tabela3[[#This Row],[Data da compra]])/365,"")</f>
        <v/>
      </c>
      <c r="P839" s="7" t="str">
        <f>IFERROR(VLOOKUP(Tabela3[[#This Row],[Categoria]],Cadastros!A:C,3,0),"")</f>
        <v/>
      </c>
      <c r="Q839" s="9" t="str">
        <f ca="1">IFERROR(Tabela3[[#This Row],[Vida útil]]-Tabela3[[#This Row],[Idade]],"")</f>
        <v/>
      </c>
      <c r="R839" s="8" t="str">
        <f ca="1">IFERROR(Tabela3[[#This Row],[Valor]]-(Tabela3[[#This Row],[Valor]]*(Tabela3[[#This Row],[Idade]]*VLOOKUP(Tabela3[[#This Row],[Categoria]],Cadastros!A:B,2,0))),"")</f>
        <v/>
      </c>
    </row>
    <row r="840" spans="4:18" x14ac:dyDescent="0.25">
      <c r="D840" s="5"/>
      <c r="N840" s="6" t="str">
        <f>IFERROR(Tabela3[[#This Row],[Última revisão do bem]]+(VLOOKUP(Tabela3[[#This Row],[Categoria]],Cadastros!A:D,4,0)+365),"")</f>
        <v/>
      </c>
      <c r="O840" s="7" t="str">
        <f ca="1">IF(Tabela3[[#This Row],[Data da compra]]&gt;0,(TODAY()-Tabela3[[#This Row],[Data da compra]])/365,"")</f>
        <v/>
      </c>
      <c r="P840" s="7" t="str">
        <f>IFERROR(VLOOKUP(Tabela3[[#This Row],[Categoria]],Cadastros!A:C,3,0),"")</f>
        <v/>
      </c>
      <c r="Q840" s="9" t="str">
        <f ca="1">IFERROR(Tabela3[[#This Row],[Vida útil]]-Tabela3[[#This Row],[Idade]],"")</f>
        <v/>
      </c>
      <c r="R840" s="8" t="str">
        <f ca="1">IFERROR(Tabela3[[#This Row],[Valor]]-(Tabela3[[#This Row],[Valor]]*(Tabela3[[#This Row],[Idade]]*VLOOKUP(Tabela3[[#This Row],[Categoria]],Cadastros!A:B,2,0))),"")</f>
        <v/>
      </c>
    </row>
    <row r="841" spans="4:18" x14ac:dyDescent="0.25">
      <c r="D841" s="5"/>
      <c r="N841" s="6" t="str">
        <f>IFERROR(Tabela3[[#This Row],[Última revisão do bem]]+(VLOOKUP(Tabela3[[#This Row],[Categoria]],Cadastros!A:D,4,0)+365),"")</f>
        <v/>
      </c>
      <c r="O841" s="7" t="str">
        <f ca="1">IF(Tabela3[[#This Row],[Data da compra]]&gt;0,(TODAY()-Tabela3[[#This Row],[Data da compra]])/365,"")</f>
        <v/>
      </c>
      <c r="P841" s="7" t="str">
        <f>IFERROR(VLOOKUP(Tabela3[[#This Row],[Categoria]],Cadastros!A:C,3,0),"")</f>
        <v/>
      </c>
      <c r="Q841" s="9" t="str">
        <f ca="1">IFERROR(Tabela3[[#This Row],[Vida útil]]-Tabela3[[#This Row],[Idade]],"")</f>
        <v/>
      </c>
      <c r="R841" s="8" t="str">
        <f ca="1">IFERROR(Tabela3[[#This Row],[Valor]]-(Tabela3[[#This Row],[Valor]]*(Tabela3[[#This Row],[Idade]]*VLOOKUP(Tabela3[[#This Row],[Categoria]],Cadastros!A:B,2,0))),"")</f>
        <v/>
      </c>
    </row>
    <row r="842" spans="4:18" x14ac:dyDescent="0.25">
      <c r="D842" s="5"/>
      <c r="N842" s="6" t="str">
        <f>IFERROR(Tabela3[[#This Row],[Última revisão do bem]]+(VLOOKUP(Tabela3[[#This Row],[Categoria]],Cadastros!A:D,4,0)+365),"")</f>
        <v/>
      </c>
      <c r="O842" s="7" t="str">
        <f ca="1">IF(Tabela3[[#This Row],[Data da compra]]&gt;0,(TODAY()-Tabela3[[#This Row],[Data da compra]])/365,"")</f>
        <v/>
      </c>
      <c r="P842" s="7" t="str">
        <f>IFERROR(VLOOKUP(Tabela3[[#This Row],[Categoria]],Cadastros!A:C,3,0),"")</f>
        <v/>
      </c>
      <c r="Q842" s="9" t="str">
        <f ca="1">IFERROR(Tabela3[[#This Row],[Vida útil]]-Tabela3[[#This Row],[Idade]],"")</f>
        <v/>
      </c>
      <c r="R842" s="8" t="str">
        <f ca="1">IFERROR(Tabela3[[#This Row],[Valor]]-(Tabela3[[#This Row],[Valor]]*(Tabela3[[#This Row],[Idade]]*VLOOKUP(Tabela3[[#This Row],[Categoria]],Cadastros!A:B,2,0))),"")</f>
        <v/>
      </c>
    </row>
    <row r="843" spans="4:18" x14ac:dyDescent="0.25">
      <c r="D843" s="5"/>
      <c r="N843" s="6" t="str">
        <f>IFERROR(Tabela3[[#This Row],[Última revisão do bem]]+(VLOOKUP(Tabela3[[#This Row],[Categoria]],Cadastros!A:D,4,0)+365),"")</f>
        <v/>
      </c>
      <c r="O843" s="7" t="str">
        <f ca="1">IF(Tabela3[[#This Row],[Data da compra]]&gt;0,(TODAY()-Tabela3[[#This Row],[Data da compra]])/365,"")</f>
        <v/>
      </c>
      <c r="P843" s="7" t="str">
        <f>IFERROR(VLOOKUP(Tabela3[[#This Row],[Categoria]],Cadastros!A:C,3,0),"")</f>
        <v/>
      </c>
      <c r="Q843" s="9" t="str">
        <f ca="1">IFERROR(Tabela3[[#This Row],[Vida útil]]-Tabela3[[#This Row],[Idade]],"")</f>
        <v/>
      </c>
      <c r="R843" s="8" t="str">
        <f ca="1">IFERROR(Tabela3[[#This Row],[Valor]]-(Tabela3[[#This Row],[Valor]]*(Tabela3[[#This Row],[Idade]]*VLOOKUP(Tabela3[[#This Row],[Categoria]],Cadastros!A:B,2,0))),"")</f>
        <v/>
      </c>
    </row>
    <row r="844" spans="4:18" x14ac:dyDescent="0.25">
      <c r="D844" s="5"/>
      <c r="N844" s="6" t="str">
        <f>IFERROR(Tabela3[[#This Row],[Última revisão do bem]]+(VLOOKUP(Tabela3[[#This Row],[Categoria]],Cadastros!A:D,4,0)+365),"")</f>
        <v/>
      </c>
      <c r="O844" s="7" t="str">
        <f ca="1">IF(Tabela3[[#This Row],[Data da compra]]&gt;0,(TODAY()-Tabela3[[#This Row],[Data da compra]])/365,"")</f>
        <v/>
      </c>
      <c r="P844" s="7" t="str">
        <f>IFERROR(VLOOKUP(Tabela3[[#This Row],[Categoria]],Cadastros!A:C,3,0),"")</f>
        <v/>
      </c>
      <c r="Q844" s="9" t="str">
        <f ca="1">IFERROR(Tabela3[[#This Row],[Vida útil]]-Tabela3[[#This Row],[Idade]],"")</f>
        <v/>
      </c>
      <c r="R844" s="8" t="str">
        <f ca="1">IFERROR(Tabela3[[#This Row],[Valor]]-(Tabela3[[#This Row],[Valor]]*(Tabela3[[#This Row],[Idade]]*VLOOKUP(Tabela3[[#This Row],[Categoria]],Cadastros!A:B,2,0))),"")</f>
        <v/>
      </c>
    </row>
    <row r="845" spans="4:18" x14ac:dyDescent="0.25">
      <c r="D845" s="5"/>
      <c r="N845" s="6" t="str">
        <f>IFERROR(Tabela3[[#This Row],[Última revisão do bem]]+(VLOOKUP(Tabela3[[#This Row],[Categoria]],Cadastros!A:D,4,0)+365),"")</f>
        <v/>
      </c>
      <c r="O845" s="7" t="str">
        <f ca="1">IF(Tabela3[[#This Row],[Data da compra]]&gt;0,(TODAY()-Tabela3[[#This Row],[Data da compra]])/365,"")</f>
        <v/>
      </c>
      <c r="P845" s="7" t="str">
        <f>IFERROR(VLOOKUP(Tabela3[[#This Row],[Categoria]],Cadastros!A:C,3,0),"")</f>
        <v/>
      </c>
      <c r="Q845" s="9" t="str">
        <f ca="1">IFERROR(Tabela3[[#This Row],[Vida útil]]-Tabela3[[#This Row],[Idade]],"")</f>
        <v/>
      </c>
      <c r="R845" s="8" t="str">
        <f ca="1">IFERROR(Tabela3[[#This Row],[Valor]]-(Tabela3[[#This Row],[Valor]]*(Tabela3[[#This Row],[Idade]]*VLOOKUP(Tabela3[[#This Row],[Categoria]],Cadastros!A:B,2,0))),"")</f>
        <v/>
      </c>
    </row>
    <row r="846" spans="4:18" x14ac:dyDescent="0.25">
      <c r="D846" s="5"/>
      <c r="N846" s="6" t="str">
        <f>IFERROR(Tabela3[[#This Row],[Última revisão do bem]]+(VLOOKUP(Tabela3[[#This Row],[Categoria]],Cadastros!A:D,4,0)+365),"")</f>
        <v/>
      </c>
      <c r="O846" s="7" t="str">
        <f ca="1">IF(Tabela3[[#This Row],[Data da compra]]&gt;0,(TODAY()-Tabela3[[#This Row],[Data da compra]])/365,"")</f>
        <v/>
      </c>
      <c r="P846" s="7" t="str">
        <f>IFERROR(VLOOKUP(Tabela3[[#This Row],[Categoria]],Cadastros!A:C,3,0),"")</f>
        <v/>
      </c>
      <c r="Q846" s="9" t="str">
        <f ca="1">IFERROR(Tabela3[[#This Row],[Vida útil]]-Tabela3[[#This Row],[Idade]],"")</f>
        <v/>
      </c>
      <c r="R846" s="8" t="str">
        <f ca="1">IFERROR(Tabela3[[#This Row],[Valor]]-(Tabela3[[#This Row],[Valor]]*(Tabela3[[#This Row],[Idade]]*VLOOKUP(Tabela3[[#This Row],[Categoria]],Cadastros!A:B,2,0))),"")</f>
        <v/>
      </c>
    </row>
    <row r="847" spans="4:18" x14ac:dyDescent="0.25">
      <c r="D847" s="5"/>
      <c r="N847" s="6" t="str">
        <f>IFERROR(Tabela3[[#This Row],[Última revisão do bem]]+(VLOOKUP(Tabela3[[#This Row],[Categoria]],Cadastros!A:D,4,0)+365),"")</f>
        <v/>
      </c>
      <c r="O847" s="7" t="str">
        <f ca="1">IF(Tabela3[[#This Row],[Data da compra]]&gt;0,(TODAY()-Tabela3[[#This Row],[Data da compra]])/365,"")</f>
        <v/>
      </c>
      <c r="P847" s="7" t="str">
        <f>IFERROR(VLOOKUP(Tabela3[[#This Row],[Categoria]],Cadastros!A:C,3,0),"")</f>
        <v/>
      </c>
      <c r="Q847" s="9" t="str">
        <f ca="1">IFERROR(Tabela3[[#This Row],[Vida útil]]-Tabela3[[#This Row],[Idade]],"")</f>
        <v/>
      </c>
      <c r="R847" s="8" t="str">
        <f ca="1">IFERROR(Tabela3[[#This Row],[Valor]]-(Tabela3[[#This Row],[Valor]]*(Tabela3[[#This Row],[Idade]]*VLOOKUP(Tabela3[[#This Row],[Categoria]],Cadastros!A:B,2,0))),"")</f>
        <v/>
      </c>
    </row>
    <row r="848" spans="4:18" x14ac:dyDescent="0.25">
      <c r="D848" s="5"/>
      <c r="N848" s="6" t="str">
        <f>IFERROR(Tabela3[[#This Row],[Última revisão do bem]]+(VLOOKUP(Tabela3[[#This Row],[Categoria]],Cadastros!A:D,4,0)+365),"")</f>
        <v/>
      </c>
      <c r="O848" s="7" t="str">
        <f ca="1">IF(Tabela3[[#This Row],[Data da compra]]&gt;0,(TODAY()-Tabela3[[#This Row],[Data da compra]])/365,"")</f>
        <v/>
      </c>
      <c r="P848" s="7" t="str">
        <f>IFERROR(VLOOKUP(Tabela3[[#This Row],[Categoria]],Cadastros!A:C,3,0),"")</f>
        <v/>
      </c>
      <c r="Q848" s="9" t="str">
        <f ca="1">IFERROR(Tabela3[[#This Row],[Vida útil]]-Tabela3[[#This Row],[Idade]],"")</f>
        <v/>
      </c>
      <c r="R848" s="8" t="str">
        <f ca="1">IFERROR(Tabela3[[#This Row],[Valor]]-(Tabela3[[#This Row],[Valor]]*(Tabela3[[#This Row],[Idade]]*VLOOKUP(Tabela3[[#This Row],[Categoria]],Cadastros!A:B,2,0))),"")</f>
        <v/>
      </c>
    </row>
    <row r="849" spans="4:18" x14ac:dyDescent="0.25">
      <c r="D849" s="5"/>
      <c r="N849" s="6" t="str">
        <f>IFERROR(Tabela3[[#This Row],[Última revisão do bem]]+(VLOOKUP(Tabela3[[#This Row],[Categoria]],Cadastros!A:D,4,0)+365),"")</f>
        <v/>
      </c>
      <c r="O849" s="7" t="str">
        <f ca="1">IF(Tabela3[[#This Row],[Data da compra]]&gt;0,(TODAY()-Tabela3[[#This Row],[Data da compra]])/365,"")</f>
        <v/>
      </c>
      <c r="P849" s="7" t="str">
        <f>IFERROR(VLOOKUP(Tabela3[[#This Row],[Categoria]],Cadastros!A:C,3,0),"")</f>
        <v/>
      </c>
      <c r="Q849" s="9" t="str">
        <f ca="1">IFERROR(Tabela3[[#This Row],[Vida útil]]-Tabela3[[#This Row],[Idade]],"")</f>
        <v/>
      </c>
      <c r="R849" s="8" t="str">
        <f ca="1">IFERROR(Tabela3[[#This Row],[Valor]]-(Tabela3[[#This Row],[Valor]]*(Tabela3[[#This Row],[Idade]]*VLOOKUP(Tabela3[[#This Row],[Categoria]],Cadastros!A:B,2,0))),"")</f>
        <v/>
      </c>
    </row>
    <row r="850" spans="4:18" x14ac:dyDescent="0.25">
      <c r="D850" s="5"/>
      <c r="N850" s="6" t="str">
        <f>IFERROR(Tabela3[[#This Row],[Última revisão do bem]]+(VLOOKUP(Tabela3[[#This Row],[Categoria]],Cadastros!A:D,4,0)+365),"")</f>
        <v/>
      </c>
      <c r="O850" s="7" t="str">
        <f ca="1">IF(Tabela3[[#This Row],[Data da compra]]&gt;0,(TODAY()-Tabela3[[#This Row],[Data da compra]])/365,"")</f>
        <v/>
      </c>
      <c r="P850" s="7" t="str">
        <f>IFERROR(VLOOKUP(Tabela3[[#This Row],[Categoria]],Cadastros!A:C,3,0),"")</f>
        <v/>
      </c>
      <c r="Q850" s="9" t="str">
        <f ca="1">IFERROR(Tabela3[[#This Row],[Vida útil]]-Tabela3[[#This Row],[Idade]],"")</f>
        <v/>
      </c>
      <c r="R850" s="8" t="str">
        <f ca="1">IFERROR(Tabela3[[#This Row],[Valor]]-(Tabela3[[#This Row],[Valor]]*(Tabela3[[#This Row],[Idade]]*VLOOKUP(Tabela3[[#This Row],[Categoria]],Cadastros!A:B,2,0))),"")</f>
        <v/>
      </c>
    </row>
    <row r="851" spans="4:18" x14ac:dyDescent="0.25">
      <c r="D851" s="5"/>
      <c r="N851" s="6" t="str">
        <f>IFERROR(Tabela3[[#This Row],[Última revisão do bem]]+(VLOOKUP(Tabela3[[#This Row],[Categoria]],Cadastros!A:D,4,0)+365),"")</f>
        <v/>
      </c>
      <c r="O851" s="7" t="str">
        <f ca="1">IF(Tabela3[[#This Row],[Data da compra]]&gt;0,(TODAY()-Tabela3[[#This Row],[Data da compra]])/365,"")</f>
        <v/>
      </c>
      <c r="P851" s="7" t="str">
        <f>IFERROR(VLOOKUP(Tabela3[[#This Row],[Categoria]],Cadastros!A:C,3,0),"")</f>
        <v/>
      </c>
      <c r="Q851" s="9" t="str">
        <f ca="1">IFERROR(Tabela3[[#This Row],[Vida útil]]-Tabela3[[#This Row],[Idade]],"")</f>
        <v/>
      </c>
      <c r="R851" s="8" t="str">
        <f ca="1">IFERROR(Tabela3[[#This Row],[Valor]]-(Tabela3[[#This Row],[Valor]]*(Tabela3[[#This Row],[Idade]]*VLOOKUP(Tabela3[[#This Row],[Categoria]],Cadastros!A:B,2,0))),"")</f>
        <v/>
      </c>
    </row>
    <row r="852" spans="4:18" x14ac:dyDescent="0.25">
      <c r="D852" s="22"/>
      <c r="N852" s="6" t="str">
        <f>IFERROR(Tabela3[[#This Row],[Última revisão do bem]]+(VLOOKUP(Tabela3[[#This Row],[Categoria]],Cadastros!A:D,4,0)+365),"")</f>
        <v/>
      </c>
      <c r="O852" s="7" t="str">
        <f ca="1">IF(Tabela3[[#This Row],[Data da compra]]&gt;0,(TODAY()-Tabela3[[#This Row],[Data da compra]])/365,"")</f>
        <v/>
      </c>
      <c r="P852" s="7" t="str">
        <f>IFERROR(VLOOKUP(Tabela3[[#This Row],[Categoria]],Cadastros!A:C,3,0),"")</f>
        <v/>
      </c>
      <c r="Q852" s="9" t="str">
        <f ca="1">IFERROR(Tabela3[[#This Row],[Vida útil]]-Tabela3[[#This Row],[Idade]],"")</f>
        <v/>
      </c>
      <c r="R852" s="23" t="str">
        <f ca="1">IFERROR(Tabela3[[#This Row],[Valor]]-(Tabela3[[#This Row],[Valor]]*(Tabela3[[#This Row],[Idade]]*VLOOKUP(Tabela3[[#This Row],[Categoria]],Cadastros!A:B,2,0))),"")</f>
        <v/>
      </c>
    </row>
    <row r="853" spans="4:18" x14ac:dyDescent="0.25">
      <c r="D853" s="5"/>
      <c r="N853" s="6" t="str">
        <f>IFERROR(Tabela3[[#This Row],[Última revisão do bem]]+(VLOOKUP(Tabela3[[#This Row],[Categoria]],Cadastros!A:D,4,0)+365),"")</f>
        <v/>
      </c>
      <c r="O853" s="7" t="str">
        <f ca="1">IF(Tabela3[[#This Row],[Data da compra]]&gt;0,(TODAY()-Tabela3[[#This Row],[Data da compra]])/365,"")</f>
        <v/>
      </c>
      <c r="P853" s="7" t="str">
        <f>IFERROR(VLOOKUP(Tabela3[[#This Row],[Categoria]],Cadastros!A:C,3,0),"")</f>
        <v/>
      </c>
      <c r="Q853" s="9" t="str">
        <f ca="1">IFERROR(Tabela3[[#This Row],[Vida útil]]-Tabela3[[#This Row],[Idade]],"")</f>
        <v/>
      </c>
      <c r="R853" s="8" t="str">
        <f ca="1">IFERROR(Tabela3[[#This Row],[Valor]]-(Tabela3[[#This Row],[Valor]]*(Tabela3[[#This Row],[Idade]]*VLOOKUP(Tabela3[[#This Row],[Categoria]],Cadastros!A:B,2,0))),"")</f>
        <v/>
      </c>
    </row>
    <row r="854" spans="4:18" x14ac:dyDescent="0.25">
      <c r="D854" s="5"/>
      <c r="N854" s="6" t="str">
        <f>IFERROR(Tabela3[[#This Row],[Última revisão do bem]]+(VLOOKUP(Tabela3[[#This Row],[Categoria]],Cadastros!A:D,4,0)+365),"")</f>
        <v/>
      </c>
      <c r="O854" s="7" t="str">
        <f ca="1">IF(Tabela3[[#This Row],[Data da compra]]&gt;0,(TODAY()-Tabela3[[#This Row],[Data da compra]])/365,"")</f>
        <v/>
      </c>
      <c r="P854" s="7" t="str">
        <f>IFERROR(VLOOKUP(Tabela3[[#This Row],[Categoria]],Cadastros!A:C,3,0),"")</f>
        <v/>
      </c>
      <c r="Q854" s="9" t="str">
        <f ca="1">IFERROR(Tabela3[[#This Row],[Vida útil]]-Tabela3[[#This Row],[Idade]],"")</f>
        <v/>
      </c>
      <c r="R854" s="8" t="str">
        <f ca="1">IFERROR(Tabela3[[#This Row],[Valor]]-(Tabela3[[#This Row],[Valor]]*(Tabela3[[#This Row],[Idade]]*VLOOKUP(Tabela3[[#This Row],[Categoria]],Cadastros!A:B,2,0))),"")</f>
        <v/>
      </c>
    </row>
    <row r="855" spans="4:18" x14ac:dyDescent="0.25">
      <c r="D855" s="5"/>
      <c r="N855" s="6" t="str">
        <f>IFERROR(Tabela3[[#This Row],[Última revisão do bem]]+(VLOOKUP(Tabela3[[#This Row],[Categoria]],Cadastros!A:D,4,0)+365),"")</f>
        <v/>
      </c>
      <c r="O855" s="7" t="str">
        <f ca="1">IF(Tabela3[[#This Row],[Data da compra]]&gt;0,(TODAY()-Tabela3[[#This Row],[Data da compra]])/365,"")</f>
        <v/>
      </c>
      <c r="P855" s="7" t="str">
        <f>IFERROR(VLOOKUP(Tabela3[[#This Row],[Categoria]],Cadastros!A:C,3,0),"")</f>
        <v/>
      </c>
      <c r="Q855" s="9" t="str">
        <f ca="1">IFERROR(Tabela3[[#This Row],[Vida útil]]-Tabela3[[#This Row],[Idade]],"")</f>
        <v/>
      </c>
      <c r="R855" s="8" t="str">
        <f ca="1">IFERROR(Tabela3[[#This Row],[Valor]]-(Tabela3[[#This Row],[Valor]]*(Tabela3[[#This Row],[Idade]]*VLOOKUP(Tabela3[[#This Row],[Categoria]],Cadastros!A:B,2,0))),"")</f>
        <v/>
      </c>
    </row>
    <row r="856" spans="4:18" x14ac:dyDescent="0.25">
      <c r="D856" s="5"/>
      <c r="N856" s="6" t="str">
        <f>IFERROR(Tabela3[[#This Row],[Última revisão do bem]]+(VLOOKUP(Tabela3[[#This Row],[Categoria]],Cadastros!A:D,4,0)+365),"")</f>
        <v/>
      </c>
      <c r="O856" s="7" t="str">
        <f ca="1">IF(Tabela3[[#This Row],[Data da compra]]&gt;0,(TODAY()-Tabela3[[#This Row],[Data da compra]])/365,"")</f>
        <v/>
      </c>
      <c r="P856" s="7" t="str">
        <f>IFERROR(VLOOKUP(Tabela3[[#This Row],[Categoria]],Cadastros!A:C,3,0),"")</f>
        <v/>
      </c>
      <c r="Q856" s="9" t="str">
        <f ca="1">IFERROR(Tabela3[[#This Row],[Vida útil]]-Tabela3[[#This Row],[Idade]],"")</f>
        <v/>
      </c>
      <c r="R856" s="8" t="str">
        <f ca="1">IFERROR(Tabela3[[#This Row],[Valor]]-(Tabela3[[#This Row],[Valor]]*(Tabela3[[#This Row],[Idade]]*VLOOKUP(Tabela3[[#This Row],[Categoria]],Cadastros!A:B,2,0))),"")</f>
        <v/>
      </c>
    </row>
    <row r="857" spans="4:18" x14ac:dyDescent="0.25">
      <c r="D857" s="5"/>
      <c r="N857" s="6" t="str">
        <f>IFERROR(Tabela3[[#This Row],[Última revisão do bem]]+(VLOOKUP(Tabela3[[#This Row],[Categoria]],Cadastros!A:D,4,0)+365),"")</f>
        <v/>
      </c>
      <c r="O857" s="7" t="str">
        <f ca="1">IF(Tabela3[[#This Row],[Data da compra]]&gt;0,(TODAY()-Tabela3[[#This Row],[Data da compra]])/365,"")</f>
        <v/>
      </c>
      <c r="P857" s="7" t="str">
        <f>IFERROR(VLOOKUP(Tabela3[[#This Row],[Categoria]],Cadastros!A:C,3,0),"")</f>
        <v/>
      </c>
      <c r="Q857" s="9" t="str">
        <f ca="1">IFERROR(Tabela3[[#This Row],[Vida útil]]-Tabela3[[#This Row],[Idade]],"")</f>
        <v/>
      </c>
      <c r="R857" s="8" t="str">
        <f ca="1">IFERROR(Tabela3[[#This Row],[Valor]]-(Tabela3[[#This Row],[Valor]]*(Tabela3[[#This Row],[Idade]]*VLOOKUP(Tabela3[[#This Row],[Categoria]],Cadastros!A:B,2,0))),"")</f>
        <v/>
      </c>
    </row>
    <row r="858" spans="4:18" x14ac:dyDescent="0.25">
      <c r="D858" s="5"/>
      <c r="N858" s="6" t="str">
        <f>IFERROR(Tabela3[[#This Row],[Última revisão do bem]]+(VLOOKUP(Tabela3[[#This Row],[Categoria]],Cadastros!A:D,4,0)+365),"")</f>
        <v/>
      </c>
      <c r="O858" s="7" t="str">
        <f ca="1">IF(Tabela3[[#This Row],[Data da compra]]&gt;0,(TODAY()-Tabela3[[#This Row],[Data da compra]])/365,"")</f>
        <v/>
      </c>
      <c r="P858" s="7" t="str">
        <f>IFERROR(VLOOKUP(Tabela3[[#This Row],[Categoria]],Cadastros!A:C,3,0),"")</f>
        <v/>
      </c>
      <c r="Q858" s="9" t="str">
        <f ca="1">IFERROR(Tabela3[[#This Row],[Vida útil]]-Tabela3[[#This Row],[Idade]],"")</f>
        <v/>
      </c>
      <c r="R858" s="8" t="str">
        <f ca="1">IFERROR(Tabela3[[#This Row],[Valor]]-(Tabela3[[#This Row],[Valor]]*(Tabela3[[#This Row],[Idade]]*VLOOKUP(Tabela3[[#This Row],[Categoria]],Cadastros!A:B,2,0))),"")</f>
        <v/>
      </c>
    </row>
    <row r="859" spans="4:18" x14ac:dyDescent="0.25">
      <c r="D859" s="5"/>
      <c r="N859" s="6" t="str">
        <f>IFERROR(Tabela3[[#This Row],[Última revisão do bem]]+(VLOOKUP(Tabela3[[#This Row],[Categoria]],Cadastros!A:D,4,0)+365),"")</f>
        <v/>
      </c>
      <c r="O859" s="7" t="str">
        <f ca="1">IF(Tabela3[[#This Row],[Data da compra]]&gt;0,(TODAY()-Tabela3[[#This Row],[Data da compra]])/365,"")</f>
        <v/>
      </c>
      <c r="P859" s="7" t="str">
        <f>IFERROR(VLOOKUP(Tabela3[[#This Row],[Categoria]],Cadastros!A:C,3,0),"")</f>
        <v/>
      </c>
      <c r="Q859" s="9" t="str">
        <f ca="1">IFERROR(Tabela3[[#This Row],[Vida útil]]-Tabela3[[#This Row],[Idade]],"")</f>
        <v/>
      </c>
      <c r="R859" s="8" t="str">
        <f ca="1">IFERROR(Tabela3[[#This Row],[Valor]]-(Tabela3[[#This Row],[Valor]]*(Tabela3[[#This Row],[Idade]]*VLOOKUP(Tabela3[[#This Row],[Categoria]],Cadastros!A:B,2,0))),"")</f>
        <v/>
      </c>
    </row>
    <row r="860" spans="4:18" x14ac:dyDescent="0.25">
      <c r="D860" s="5"/>
      <c r="N860" s="6" t="str">
        <f>IFERROR(Tabela3[[#This Row],[Última revisão do bem]]+(VLOOKUP(Tabela3[[#This Row],[Categoria]],Cadastros!A:D,4,0)+365),"")</f>
        <v/>
      </c>
      <c r="O860" s="7" t="str">
        <f ca="1">IF(Tabela3[[#This Row],[Data da compra]]&gt;0,(TODAY()-Tabela3[[#This Row],[Data da compra]])/365,"")</f>
        <v/>
      </c>
      <c r="P860" s="7" t="str">
        <f>IFERROR(VLOOKUP(Tabela3[[#This Row],[Categoria]],Cadastros!A:C,3,0),"")</f>
        <v/>
      </c>
      <c r="Q860" s="9" t="str">
        <f ca="1">IFERROR(Tabela3[[#This Row],[Vida útil]]-Tabela3[[#This Row],[Idade]],"")</f>
        <v/>
      </c>
      <c r="R860" s="8" t="str">
        <f ca="1">IFERROR(Tabela3[[#This Row],[Valor]]-(Tabela3[[#This Row],[Valor]]*(Tabela3[[#This Row],[Idade]]*VLOOKUP(Tabela3[[#This Row],[Categoria]],Cadastros!A:B,2,0))),"")</f>
        <v/>
      </c>
    </row>
    <row r="861" spans="4:18" x14ac:dyDescent="0.25">
      <c r="D861" s="5"/>
      <c r="N861" s="6" t="str">
        <f>IFERROR(Tabela3[[#This Row],[Última revisão do bem]]+(VLOOKUP(Tabela3[[#This Row],[Categoria]],Cadastros!A:D,4,0)+365),"")</f>
        <v/>
      </c>
      <c r="O861" s="7" t="str">
        <f ca="1">IF(Tabela3[[#This Row],[Data da compra]]&gt;0,(TODAY()-Tabela3[[#This Row],[Data da compra]])/365,"")</f>
        <v/>
      </c>
      <c r="P861" s="7" t="str">
        <f>IFERROR(VLOOKUP(Tabela3[[#This Row],[Categoria]],Cadastros!A:C,3,0),"")</f>
        <v/>
      </c>
      <c r="Q861" s="9" t="str">
        <f ca="1">IFERROR(Tabela3[[#This Row],[Vida útil]]-Tabela3[[#This Row],[Idade]],"")</f>
        <v/>
      </c>
      <c r="R861" s="8" t="str">
        <f ca="1">IFERROR(Tabela3[[#This Row],[Valor]]-(Tabela3[[#This Row],[Valor]]*(Tabela3[[#This Row],[Idade]]*VLOOKUP(Tabela3[[#This Row],[Categoria]],Cadastros!A:B,2,0))),"")</f>
        <v/>
      </c>
    </row>
    <row r="862" spans="4:18" x14ac:dyDescent="0.25">
      <c r="D862" s="5"/>
      <c r="N862" s="6" t="str">
        <f>IFERROR(Tabela3[[#This Row],[Última revisão do bem]]+(VLOOKUP(Tabela3[[#This Row],[Categoria]],Cadastros!A:D,4,0)+365),"")</f>
        <v/>
      </c>
      <c r="O862" s="7" t="str">
        <f ca="1">IF(Tabela3[[#This Row],[Data da compra]]&gt;0,(TODAY()-Tabela3[[#This Row],[Data da compra]])/365,"")</f>
        <v/>
      </c>
      <c r="P862" s="7" t="str">
        <f>IFERROR(VLOOKUP(Tabela3[[#This Row],[Categoria]],Cadastros!A:C,3,0),"")</f>
        <v/>
      </c>
      <c r="Q862" s="9" t="str">
        <f ca="1">IFERROR(Tabela3[[#This Row],[Vida útil]]-Tabela3[[#This Row],[Idade]],"")</f>
        <v/>
      </c>
      <c r="R862" s="8" t="str">
        <f ca="1">IFERROR(Tabela3[[#This Row],[Valor]]-(Tabela3[[#This Row],[Valor]]*(Tabela3[[#This Row],[Idade]]*VLOOKUP(Tabela3[[#This Row],[Categoria]],Cadastros!A:B,2,0))),"")</f>
        <v/>
      </c>
    </row>
    <row r="863" spans="4:18" x14ac:dyDescent="0.25">
      <c r="D863" s="5"/>
      <c r="N863" s="6" t="str">
        <f>IFERROR(Tabela3[[#This Row],[Última revisão do bem]]+(VLOOKUP(Tabela3[[#This Row],[Categoria]],Cadastros!A:D,4,0)+365),"")</f>
        <v/>
      </c>
      <c r="O863" s="7" t="str">
        <f ca="1">IF(Tabela3[[#This Row],[Data da compra]]&gt;0,(TODAY()-Tabela3[[#This Row],[Data da compra]])/365,"")</f>
        <v/>
      </c>
      <c r="P863" s="7" t="str">
        <f>IFERROR(VLOOKUP(Tabela3[[#This Row],[Categoria]],Cadastros!A:C,3,0),"")</f>
        <v/>
      </c>
      <c r="Q863" s="9" t="str">
        <f ca="1">IFERROR(Tabela3[[#This Row],[Vida útil]]-Tabela3[[#This Row],[Idade]],"")</f>
        <v/>
      </c>
      <c r="R863" s="8" t="str">
        <f ca="1">IFERROR(Tabela3[[#This Row],[Valor]]-(Tabela3[[#This Row],[Valor]]*(Tabela3[[#This Row],[Idade]]*VLOOKUP(Tabela3[[#This Row],[Categoria]],Cadastros!A:B,2,0))),"")</f>
        <v/>
      </c>
    </row>
    <row r="864" spans="4:18" x14ac:dyDescent="0.25">
      <c r="D864" s="5"/>
      <c r="N864" s="6" t="str">
        <f>IFERROR(Tabela3[[#This Row],[Última revisão do bem]]+(VLOOKUP(Tabela3[[#This Row],[Categoria]],Cadastros!A:D,4,0)+365),"")</f>
        <v/>
      </c>
      <c r="O864" s="7" t="str">
        <f ca="1">IF(Tabela3[[#This Row],[Data da compra]]&gt;0,(TODAY()-Tabela3[[#This Row],[Data da compra]])/365,"")</f>
        <v/>
      </c>
      <c r="P864" s="7" t="str">
        <f>IFERROR(VLOOKUP(Tabela3[[#This Row],[Categoria]],Cadastros!A:C,3,0),"")</f>
        <v/>
      </c>
      <c r="Q864" s="9" t="str">
        <f ca="1">IFERROR(Tabela3[[#This Row],[Vida útil]]-Tabela3[[#This Row],[Idade]],"")</f>
        <v/>
      </c>
      <c r="R864" s="8" t="str">
        <f ca="1">IFERROR(Tabela3[[#This Row],[Valor]]-(Tabela3[[#This Row],[Valor]]*(Tabela3[[#This Row],[Idade]]*VLOOKUP(Tabela3[[#This Row],[Categoria]],Cadastros!A:B,2,0))),"")</f>
        <v/>
      </c>
    </row>
    <row r="865" spans="4:18" x14ac:dyDescent="0.25">
      <c r="D865" s="5"/>
      <c r="N865" s="6" t="str">
        <f>IFERROR(Tabela3[[#This Row],[Última revisão do bem]]+(VLOOKUP(Tabela3[[#This Row],[Categoria]],Cadastros!A:D,4,0)+365),"")</f>
        <v/>
      </c>
      <c r="O865" s="7" t="str">
        <f ca="1">IF(Tabela3[[#This Row],[Data da compra]]&gt;0,(TODAY()-Tabela3[[#This Row],[Data da compra]])/365,"")</f>
        <v/>
      </c>
      <c r="P865" s="7" t="str">
        <f>IFERROR(VLOOKUP(Tabela3[[#This Row],[Categoria]],Cadastros!A:C,3,0),"")</f>
        <v/>
      </c>
      <c r="Q865" s="9" t="str">
        <f ca="1">IFERROR(Tabela3[[#This Row],[Vida útil]]-Tabela3[[#This Row],[Idade]],"")</f>
        <v/>
      </c>
      <c r="R865" s="8" t="str">
        <f ca="1">IFERROR(Tabela3[[#This Row],[Valor]]-(Tabela3[[#This Row],[Valor]]*(Tabela3[[#This Row],[Idade]]*VLOOKUP(Tabela3[[#This Row],[Categoria]],Cadastros!A:B,2,0))),"")</f>
        <v/>
      </c>
    </row>
    <row r="866" spans="4:18" x14ac:dyDescent="0.25">
      <c r="D866" s="5"/>
      <c r="N866" s="6" t="str">
        <f>IFERROR(Tabela3[[#This Row],[Última revisão do bem]]+(VLOOKUP(Tabela3[[#This Row],[Categoria]],Cadastros!A:D,4,0)+365),"")</f>
        <v/>
      </c>
      <c r="O866" s="7" t="str">
        <f ca="1">IF(Tabela3[[#This Row],[Data da compra]]&gt;0,(TODAY()-Tabela3[[#This Row],[Data da compra]])/365,"")</f>
        <v/>
      </c>
      <c r="P866" s="7" t="str">
        <f>IFERROR(VLOOKUP(Tabela3[[#This Row],[Categoria]],Cadastros!A:C,3,0),"")</f>
        <v/>
      </c>
      <c r="Q866" s="9" t="str">
        <f ca="1">IFERROR(Tabela3[[#This Row],[Vida útil]]-Tabela3[[#This Row],[Idade]],"")</f>
        <v/>
      </c>
      <c r="R866" s="8" t="str">
        <f ca="1">IFERROR(Tabela3[[#This Row],[Valor]]-(Tabela3[[#This Row],[Valor]]*(Tabela3[[#This Row],[Idade]]*VLOOKUP(Tabela3[[#This Row],[Categoria]],Cadastros!A:B,2,0))),"")</f>
        <v/>
      </c>
    </row>
    <row r="867" spans="4:18" x14ac:dyDescent="0.25">
      <c r="D867" s="5"/>
      <c r="N867" s="6" t="str">
        <f>IFERROR(Tabela3[[#This Row],[Última revisão do bem]]+(VLOOKUP(Tabela3[[#This Row],[Categoria]],Cadastros!A:D,4,0)+365),"")</f>
        <v/>
      </c>
      <c r="O867" s="7" t="str">
        <f ca="1">IF(Tabela3[[#This Row],[Data da compra]]&gt;0,(TODAY()-Tabela3[[#This Row],[Data da compra]])/365,"")</f>
        <v/>
      </c>
      <c r="P867" s="7" t="str">
        <f>IFERROR(VLOOKUP(Tabela3[[#This Row],[Categoria]],Cadastros!A:C,3,0),"")</f>
        <v/>
      </c>
      <c r="Q867" s="9" t="str">
        <f ca="1">IFERROR(Tabela3[[#This Row],[Vida útil]]-Tabela3[[#This Row],[Idade]],"")</f>
        <v/>
      </c>
      <c r="R867" s="8" t="str">
        <f ca="1">IFERROR(Tabela3[[#This Row],[Valor]]-(Tabela3[[#This Row],[Valor]]*(Tabela3[[#This Row],[Idade]]*VLOOKUP(Tabela3[[#This Row],[Categoria]],Cadastros!A:B,2,0))),"")</f>
        <v/>
      </c>
    </row>
    <row r="868" spans="4:18" x14ac:dyDescent="0.25">
      <c r="D868" s="5"/>
      <c r="N868" s="6" t="str">
        <f>IFERROR(Tabela3[[#This Row],[Última revisão do bem]]+(VLOOKUP(Tabela3[[#This Row],[Categoria]],Cadastros!A:D,4,0)+365),"")</f>
        <v/>
      </c>
      <c r="O868" s="7" t="str">
        <f ca="1">IF(Tabela3[[#This Row],[Data da compra]]&gt;0,(TODAY()-Tabela3[[#This Row],[Data da compra]])/365,"")</f>
        <v/>
      </c>
      <c r="P868" s="7" t="str">
        <f>IFERROR(VLOOKUP(Tabela3[[#This Row],[Categoria]],Cadastros!A:C,3,0),"")</f>
        <v/>
      </c>
      <c r="Q868" s="9" t="str">
        <f ca="1">IFERROR(Tabela3[[#This Row],[Vida útil]]-Tabela3[[#This Row],[Idade]],"")</f>
        <v/>
      </c>
      <c r="R868" s="8" t="str">
        <f ca="1">IFERROR(Tabela3[[#This Row],[Valor]]-(Tabela3[[#This Row],[Valor]]*(Tabela3[[#This Row],[Idade]]*VLOOKUP(Tabela3[[#This Row],[Categoria]],Cadastros!A:B,2,0))),"")</f>
        <v/>
      </c>
    </row>
    <row r="869" spans="4:18" x14ac:dyDescent="0.25">
      <c r="D869" s="5"/>
      <c r="N869" s="6" t="str">
        <f>IFERROR(Tabela3[[#This Row],[Última revisão do bem]]+(VLOOKUP(Tabela3[[#This Row],[Categoria]],Cadastros!A:D,4,0)+365),"")</f>
        <v/>
      </c>
      <c r="O869" s="7" t="str">
        <f ca="1">IF(Tabela3[[#This Row],[Data da compra]]&gt;0,(TODAY()-Tabela3[[#This Row],[Data da compra]])/365,"")</f>
        <v/>
      </c>
      <c r="P869" s="7" t="str">
        <f>IFERROR(VLOOKUP(Tabela3[[#This Row],[Categoria]],Cadastros!A:C,3,0),"")</f>
        <v/>
      </c>
      <c r="Q869" s="9" t="str">
        <f ca="1">IFERROR(Tabela3[[#This Row],[Vida útil]]-Tabela3[[#This Row],[Idade]],"")</f>
        <v/>
      </c>
      <c r="R869" s="8" t="str">
        <f ca="1">IFERROR(Tabela3[[#This Row],[Valor]]-(Tabela3[[#This Row],[Valor]]*(Tabela3[[#This Row],[Idade]]*VLOOKUP(Tabela3[[#This Row],[Categoria]],Cadastros!A:B,2,0))),"")</f>
        <v/>
      </c>
    </row>
    <row r="870" spans="4:18" x14ac:dyDescent="0.25">
      <c r="D870" s="22"/>
      <c r="N870" s="6" t="str">
        <f>IFERROR(Tabela3[[#This Row],[Última revisão do bem]]+(VLOOKUP(Tabela3[[#This Row],[Categoria]],Cadastros!A:D,4,0)+365),"")</f>
        <v/>
      </c>
      <c r="O870" s="7" t="str">
        <f ca="1">IF(Tabela3[[#This Row],[Data da compra]]&gt;0,(TODAY()-Tabela3[[#This Row],[Data da compra]])/365,"")</f>
        <v/>
      </c>
      <c r="P870" s="7" t="str">
        <f>IFERROR(VLOOKUP(Tabela3[[#This Row],[Categoria]],Cadastros!A:C,3,0),"")</f>
        <v/>
      </c>
      <c r="Q870" s="9" t="str">
        <f ca="1">IFERROR(Tabela3[[#This Row],[Vida útil]]-Tabela3[[#This Row],[Idade]],"")</f>
        <v/>
      </c>
      <c r="R870" s="23" t="str">
        <f ca="1">IFERROR(Tabela3[[#This Row],[Valor]]-(Tabela3[[#This Row],[Valor]]*(Tabela3[[#This Row],[Idade]]*VLOOKUP(Tabela3[[#This Row],[Categoria]],Cadastros!A:B,2,0))),"")</f>
        <v/>
      </c>
    </row>
    <row r="871" spans="4:18" x14ac:dyDescent="0.25">
      <c r="D871" s="5"/>
      <c r="N871" s="6" t="str">
        <f>IFERROR(Tabela3[[#This Row],[Última revisão do bem]]+(VLOOKUP(Tabela3[[#This Row],[Categoria]],Cadastros!A:D,4,0)+365),"")</f>
        <v/>
      </c>
      <c r="O871" s="7" t="str">
        <f ca="1">IF(Tabela3[[#This Row],[Data da compra]]&gt;0,(TODAY()-Tabela3[[#This Row],[Data da compra]])/365,"")</f>
        <v/>
      </c>
      <c r="P871" s="7" t="str">
        <f>IFERROR(VLOOKUP(Tabela3[[#This Row],[Categoria]],Cadastros!A:C,3,0),"")</f>
        <v/>
      </c>
      <c r="Q871" s="9" t="str">
        <f ca="1">IFERROR(Tabela3[[#This Row],[Vida útil]]-Tabela3[[#This Row],[Idade]],"")</f>
        <v/>
      </c>
      <c r="R871" s="8" t="str">
        <f ca="1">IFERROR(Tabela3[[#This Row],[Valor]]-(Tabela3[[#This Row],[Valor]]*(Tabela3[[#This Row],[Idade]]*VLOOKUP(Tabela3[[#This Row],[Categoria]],Cadastros!A:B,2,0))),"")</f>
        <v/>
      </c>
    </row>
    <row r="872" spans="4:18" x14ac:dyDescent="0.25">
      <c r="D872" s="5"/>
      <c r="N872" s="6" t="str">
        <f>IFERROR(Tabela3[[#This Row],[Última revisão do bem]]+(VLOOKUP(Tabela3[[#This Row],[Categoria]],Cadastros!A:D,4,0)+365),"")</f>
        <v/>
      </c>
      <c r="O872" s="7" t="str">
        <f ca="1">IF(Tabela3[[#This Row],[Data da compra]]&gt;0,(TODAY()-Tabela3[[#This Row],[Data da compra]])/365,"")</f>
        <v/>
      </c>
      <c r="P872" s="7" t="str">
        <f>IFERROR(VLOOKUP(Tabela3[[#This Row],[Categoria]],Cadastros!A:C,3,0),"")</f>
        <v/>
      </c>
      <c r="Q872" s="9" t="str">
        <f ca="1">IFERROR(Tabela3[[#This Row],[Vida útil]]-Tabela3[[#This Row],[Idade]],"")</f>
        <v/>
      </c>
      <c r="R872" s="8" t="str">
        <f ca="1">IFERROR(Tabela3[[#This Row],[Valor]]-(Tabela3[[#This Row],[Valor]]*(Tabela3[[#This Row],[Idade]]*VLOOKUP(Tabela3[[#This Row],[Categoria]],Cadastros!A:B,2,0))),"")</f>
        <v/>
      </c>
    </row>
    <row r="873" spans="4:18" x14ac:dyDescent="0.25">
      <c r="D873" s="5"/>
      <c r="N873" s="6" t="str">
        <f>IFERROR(Tabela3[[#This Row],[Última revisão do bem]]+(VLOOKUP(Tabela3[[#This Row],[Categoria]],Cadastros!A:D,4,0)+365),"")</f>
        <v/>
      </c>
      <c r="O873" s="7" t="str">
        <f ca="1">IF(Tabela3[[#This Row],[Data da compra]]&gt;0,(TODAY()-Tabela3[[#This Row],[Data da compra]])/365,"")</f>
        <v/>
      </c>
      <c r="P873" s="7" t="str">
        <f>IFERROR(VLOOKUP(Tabela3[[#This Row],[Categoria]],Cadastros!A:C,3,0),"")</f>
        <v/>
      </c>
      <c r="Q873" s="9" t="str">
        <f ca="1">IFERROR(Tabela3[[#This Row],[Vida útil]]-Tabela3[[#This Row],[Idade]],"")</f>
        <v/>
      </c>
      <c r="R873" s="8" t="str">
        <f ca="1">IFERROR(Tabela3[[#This Row],[Valor]]-(Tabela3[[#This Row],[Valor]]*(Tabela3[[#This Row],[Idade]]*VLOOKUP(Tabela3[[#This Row],[Categoria]],Cadastros!A:B,2,0))),"")</f>
        <v/>
      </c>
    </row>
    <row r="874" spans="4:18" x14ac:dyDescent="0.25">
      <c r="D874" s="5"/>
      <c r="N874" s="6" t="str">
        <f>IFERROR(Tabela3[[#This Row],[Última revisão do bem]]+(VLOOKUP(Tabela3[[#This Row],[Categoria]],Cadastros!A:D,4,0)+365),"")</f>
        <v/>
      </c>
      <c r="O874" s="7" t="str">
        <f ca="1">IF(Tabela3[[#This Row],[Data da compra]]&gt;0,(TODAY()-Tabela3[[#This Row],[Data da compra]])/365,"")</f>
        <v/>
      </c>
      <c r="P874" s="7" t="str">
        <f>IFERROR(VLOOKUP(Tabela3[[#This Row],[Categoria]],Cadastros!A:C,3,0),"")</f>
        <v/>
      </c>
      <c r="Q874" s="9" t="str">
        <f ca="1">IFERROR(Tabela3[[#This Row],[Vida útil]]-Tabela3[[#This Row],[Idade]],"")</f>
        <v/>
      </c>
      <c r="R874" s="8" t="str">
        <f ca="1">IFERROR(Tabela3[[#This Row],[Valor]]-(Tabela3[[#This Row],[Valor]]*(Tabela3[[#This Row],[Idade]]*VLOOKUP(Tabela3[[#This Row],[Categoria]],Cadastros!A:B,2,0))),"")</f>
        <v/>
      </c>
    </row>
    <row r="875" spans="4:18" x14ac:dyDescent="0.25">
      <c r="D875" s="5"/>
      <c r="N875" s="6" t="str">
        <f>IFERROR(Tabela3[[#This Row],[Última revisão do bem]]+(VLOOKUP(Tabela3[[#This Row],[Categoria]],Cadastros!A:D,4,0)+365),"")</f>
        <v/>
      </c>
      <c r="O875" s="7" t="str">
        <f ca="1">IF(Tabela3[[#This Row],[Data da compra]]&gt;0,(TODAY()-Tabela3[[#This Row],[Data da compra]])/365,"")</f>
        <v/>
      </c>
      <c r="P875" s="7" t="str">
        <f>IFERROR(VLOOKUP(Tabela3[[#This Row],[Categoria]],Cadastros!A:C,3,0),"")</f>
        <v/>
      </c>
      <c r="Q875" s="9" t="str">
        <f ca="1">IFERROR(Tabela3[[#This Row],[Vida útil]]-Tabela3[[#This Row],[Idade]],"")</f>
        <v/>
      </c>
      <c r="R875" s="8" t="str">
        <f ca="1">IFERROR(Tabela3[[#This Row],[Valor]]-(Tabela3[[#This Row],[Valor]]*(Tabela3[[#This Row],[Idade]]*VLOOKUP(Tabela3[[#This Row],[Categoria]],Cadastros!A:B,2,0))),"")</f>
        <v/>
      </c>
    </row>
    <row r="876" spans="4:18" x14ac:dyDescent="0.25">
      <c r="D876" s="5"/>
      <c r="N876" s="6" t="str">
        <f>IFERROR(Tabela3[[#This Row],[Última revisão do bem]]+(VLOOKUP(Tabela3[[#This Row],[Categoria]],Cadastros!A:D,4,0)+365),"")</f>
        <v/>
      </c>
      <c r="O876" s="7" t="str">
        <f ca="1">IF(Tabela3[[#This Row],[Data da compra]]&gt;0,(TODAY()-Tabela3[[#This Row],[Data da compra]])/365,"")</f>
        <v/>
      </c>
      <c r="P876" s="7" t="str">
        <f>IFERROR(VLOOKUP(Tabela3[[#This Row],[Categoria]],Cadastros!A:C,3,0),"")</f>
        <v/>
      </c>
      <c r="Q876" s="9" t="str">
        <f ca="1">IFERROR(Tabela3[[#This Row],[Vida útil]]-Tabela3[[#This Row],[Idade]],"")</f>
        <v/>
      </c>
      <c r="R876" s="8" t="str">
        <f ca="1">IFERROR(Tabela3[[#This Row],[Valor]]-(Tabela3[[#This Row],[Valor]]*(Tabela3[[#This Row],[Idade]]*VLOOKUP(Tabela3[[#This Row],[Categoria]],Cadastros!A:B,2,0))),"")</f>
        <v/>
      </c>
    </row>
    <row r="877" spans="4:18" x14ac:dyDescent="0.25">
      <c r="D877" s="5"/>
      <c r="N877" s="6" t="str">
        <f>IFERROR(Tabela3[[#This Row],[Última revisão do bem]]+(VLOOKUP(Tabela3[[#This Row],[Categoria]],Cadastros!A:D,4,0)+365),"")</f>
        <v/>
      </c>
      <c r="O877" s="7" t="str">
        <f ca="1">IF(Tabela3[[#This Row],[Data da compra]]&gt;0,(TODAY()-Tabela3[[#This Row],[Data da compra]])/365,"")</f>
        <v/>
      </c>
      <c r="P877" s="7" t="str">
        <f>IFERROR(VLOOKUP(Tabela3[[#This Row],[Categoria]],Cadastros!A:C,3,0),"")</f>
        <v/>
      </c>
      <c r="Q877" s="9" t="str">
        <f ca="1">IFERROR(Tabela3[[#This Row],[Vida útil]]-Tabela3[[#This Row],[Idade]],"")</f>
        <v/>
      </c>
      <c r="R877" s="8" t="str">
        <f ca="1">IFERROR(Tabela3[[#This Row],[Valor]]-(Tabela3[[#This Row],[Valor]]*(Tabela3[[#This Row],[Idade]]*VLOOKUP(Tabela3[[#This Row],[Categoria]],Cadastros!A:B,2,0))),"")</f>
        <v/>
      </c>
    </row>
    <row r="878" spans="4:18" x14ac:dyDescent="0.25">
      <c r="D878" s="5"/>
      <c r="N878" s="6" t="str">
        <f>IFERROR(Tabela3[[#This Row],[Última revisão do bem]]+(VLOOKUP(Tabela3[[#This Row],[Categoria]],Cadastros!A:D,4,0)+365),"")</f>
        <v/>
      </c>
      <c r="O878" s="7" t="str">
        <f ca="1">IF(Tabela3[[#This Row],[Data da compra]]&gt;0,(TODAY()-Tabela3[[#This Row],[Data da compra]])/365,"")</f>
        <v/>
      </c>
      <c r="P878" s="7" t="str">
        <f>IFERROR(VLOOKUP(Tabela3[[#This Row],[Categoria]],Cadastros!A:C,3,0),"")</f>
        <v/>
      </c>
      <c r="Q878" s="9" t="str">
        <f ca="1">IFERROR(Tabela3[[#This Row],[Vida útil]]-Tabela3[[#This Row],[Idade]],"")</f>
        <v/>
      </c>
      <c r="R878" s="8" t="str">
        <f ca="1">IFERROR(Tabela3[[#This Row],[Valor]]-(Tabela3[[#This Row],[Valor]]*(Tabela3[[#This Row],[Idade]]*VLOOKUP(Tabela3[[#This Row],[Categoria]],Cadastros!A:B,2,0))),"")</f>
        <v/>
      </c>
    </row>
    <row r="879" spans="4:18" x14ac:dyDescent="0.25">
      <c r="D879" s="5"/>
      <c r="N879" s="6" t="str">
        <f>IFERROR(Tabela3[[#This Row],[Última revisão do bem]]+(VLOOKUP(Tabela3[[#This Row],[Categoria]],Cadastros!A:D,4,0)+365),"")</f>
        <v/>
      </c>
      <c r="O879" s="7" t="str">
        <f ca="1">IF(Tabela3[[#This Row],[Data da compra]]&gt;0,(TODAY()-Tabela3[[#This Row],[Data da compra]])/365,"")</f>
        <v/>
      </c>
      <c r="P879" s="7" t="str">
        <f>IFERROR(VLOOKUP(Tabela3[[#This Row],[Categoria]],Cadastros!A:C,3,0),"")</f>
        <v/>
      </c>
      <c r="Q879" s="9" t="str">
        <f ca="1">IFERROR(Tabela3[[#This Row],[Vida útil]]-Tabela3[[#This Row],[Idade]],"")</f>
        <v/>
      </c>
      <c r="R879" s="8" t="str">
        <f ca="1">IFERROR(Tabela3[[#This Row],[Valor]]-(Tabela3[[#This Row],[Valor]]*(Tabela3[[#This Row],[Idade]]*VLOOKUP(Tabela3[[#This Row],[Categoria]],Cadastros!A:B,2,0))),"")</f>
        <v/>
      </c>
    </row>
    <row r="880" spans="4:18" x14ac:dyDescent="0.25">
      <c r="D880" s="5"/>
      <c r="N880" s="6" t="str">
        <f>IFERROR(Tabela3[[#This Row],[Última revisão do bem]]+(VLOOKUP(Tabela3[[#This Row],[Categoria]],Cadastros!A:D,4,0)+365),"")</f>
        <v/>
      </c>
      <c r="O880" s="7" t="str">
        <f ca="1">IF(Tabela3[[#This Row],[Data da compra]]&gt;0,(TODAY()-Tabela3[[#This Row],[Data da compra]])/365,"")</f>
        <v/>
      </c>
      <c r="P880" s="7" t="str">
        <f>IFERROR(VLOOKUP(Tabela3[[#This Row],[Categoria]],Cadastros!A:C,3,0),"")</f>
        <v/>
      </c>
      <c r="Q880" s="9" t="str">
        <f ca="1">IFERROR(Tabela3[[#This Row],[Vida útil]]-Tabela3[[#This Row],[Idade]],"")</f>
        <v/>
      </c>
      <c r="R880" s="8" t="str">
        <f ca="1">IFERROR(Tabela3[[#This Row],[Valor]]-(Tabela3[[#This Row],[Valor]]*(Tabela3[[#This Row],[Idade]]*VLOOKUP(Tabela3[[#This Row],[Categoria]],Cadastros!A:B,2,0))),"")</f>
        <v/>
      </c>
    </row>
    <row r="881" spans="4:18" x14ac:dyDescent="0.25">
      <c r="D881" s="5"/>
      <c r="N881" s="6" t="str">
        <f>IFERROR(Tabela3[[#This Row],[Última revisão do bem]]+(VLOOKUP(Tabela3[[#This Row],[Categoria]],Cadastros!A:D,4,0)+365),"")</f>
        <v/>
      </c>
      <c r="O881" s="7" t="str">
        <f ca="1">IF(Tabela3[[#This Row],[Data da compra]]&gt;0,(TODAY()-Tabela3[[#This Row],[Data da compra]])/365,"")</f>
        <v/>
      </c>
      <c r="P881" s="7" t="str">
        <f>IFERROR(VLOOKUP(Tabela3[[#This Row],[Categoria]],Cadastros!A:C,3,0),"")</f>
        <v/>
      </c>
      <c r="Q881" s="9" t="str">
        <f ca="1">IFERROR(Tabela3[[#This Row],[Vida útil]]-Tabela3[[#This Row],[Idade]],"")</f>
        <v/>
      </c>
      <c r="R881" s="8" t="str">
        <f ca="1">IFERROR(Tabela3[[#This Row],[Valor]]-(Tabela3[[#This Row],[Valor]]*(Tabela3[[#This Row],[Idade]]*VLOOKUP(Tabela3[[#This Row],[Categoria]],Cadastros!A:B,2,0))),"")</f>
        <v/>
      </c>
    </row>
    <row r="882" spans="4:18" x14ac:dyDescent="0.25">
      <c r="D882" s="5"/>
      <c r="N882" s="6" t="str">
        <f>IFERROR(Tabela3[[#This Row],[Última revisão do bem]]+(VLOOKUP(Tabela3[[#This Row],[Categoria]],Cadastros!A:D,4,0)+365),"")</f>
        <v/>
      </c>
      <c r="O882" s="7" t="str">
        <f ca="1">IF(Tabela3[[#This Row],[Data da compra]]&gt;0,(TODAY()-Tabela3[[#This Row],[Data da compra]])/365,"")</f>
        <v/>
      </c>
      <c r="P882" s="7" t="str">
        <f>IFERROR(VLOOKUP(Tabela3[[#This Row],[Categoria]],Cadastros!A:C,3,0),"")</f>
        <v/>
      </c>
      <c r="Q882" s="9" t="str">
        <f ca="1">IFERROR(Tabela3[[#This Row],[Vida útil]]-Tabela3[[#This Row],[Idade]],"")</f>
        <v/>
      </c>
      <c r="R882" s="8" t="str">
        <f ca="1">IFERROR(Tabela3[[#This Row],[Valor]]-(Tabela3[[#This Row],[Valor]]*(Tabela3[[#This Row],[Idade]]*VLOOKUP(Tabela3[[#This Row],[Categoria]],Cadastros!A:B,2,0))),"")</f>
        <v/>
      </c>
    </row>
    <row r="883" spans="4:18" x14ac:dyDescent="0.25">
      <c r="D883" s="5"/>
      <c r="N883" s="6" t="str">
        <f>IFERROR(Tabela3[[#This Row],[Última revisão do bem]]+(VLOOKUP(Tabela3[[#This Row],[Categoria]],Cadastros!A:D,4,0)+365),"")</f>
        <v/>
      </c>
      <c r="O883" s="7" t="str">
        <f ca="1">IF(Tabela3[[#This Row],[Data da compra]]&gt;0,(TODAY()-Tabela3[[#This Row],[Data da compra]])/365,"")</f>
        <v/>
      </c>
      <c r="P883" s="7" t="str">
        <f>IFERROR(VLOOKUP(Tabela3[[#This Row],[Categoria]],Cadastros!A:C,3,0),"")</f>
        <v/>
      </c>
      <c r="Q883" s="9" t="str">
        <f ca="1">IFERROR(Tabela3[[#This Row],[Vida útil]]-Tabela3[[#This Row],[Idade]],"")</f>
        <v/>
      </c>
      <c r="R883" s="8" t="str">
        <f ca="1">IFERROR(Tabela3[[#This Row],[Valor]]-(Tabela3[[#This Row],[Valor]]*(Tabela3[[#This Row],[Idade]]*VLOOKUP(Tabela3[[#This Row],[Categoria]],Cadastros!A:B,2,0))),"")</f>
        <v/>
      </c>
    </row>
    <row r="884" spans="4:18" x14ac:dyDescent="0.25">
      <c r="D884" s="5"/>
      <c r="N884" s="6" t="str">
        <f>IFERROR(Tabela3[[#This Row],[Última revisão do bem]]+(VLOOKUP(Tabela3[[#This Row],[Categoria]],Cadastros!A:D,4,0)+365),"")</f>
        <v/>
      </c>
      <c r="O884" s="7" t="str">
        <f ca="1">IF(Tabela3[[#This Row],[Data da compra]]&gt;0,(TODAY()-Tabela3[[#This Row],[Data da compra]])/365,"")</f>
        <v/>
      </c>
      <c r="P884" s="7" t="str">
        <f>IFERROR(VLOOKUP(Tabela3[[#This Row],[Categoria]],Cadastros!A:C,3,0),"")</f>
        <v/>
      </c>
      <c r="Q884" s="9" t="str">
        <f ca="1">IFERROR(Tabela3[[#This Row],[Vida útil]]-Tabela3[[#This Row],[Idade]],"")</f>
        <v/>
      </c>
      <c r="R884" s="8" t="str">
        <f ca="1">IFERROR(Tabela3[[#This Row],[Valor]]-(Tabela3[[#This Row],[Valor]]*(Tabela3[[#This Row],[Idade]]*VLOOKUP(Tabela3[[#This Row],[Categoria]],Cadastros!A:B,2,0))),"")</f>
        <v/>
      </c>
    </row>
    <row r="885" spans="4:18" x14ac:dyDescent="0.25">
      <c r="D885" s="5"/>
      <c r="N885" s="6" t="str">
        <f>IFERROR(Tabela3[[#This Row],[Última revisão do bem]]+(VLOOKUP(Tabela3[[#This Row],[Categoria]],Cadastros!A:D,4,0)+365),"")</f>
        <v/>
      </c>
      <c r="O885" s="7" t="str">
        <f ca="1">IF(Tabela3[[#This Row],[Data da compra]]&gt;0,(TODAY()-Tabela3[[#This Row],[Data da compra]])/365,"")</f>
        <v/>
      </c>
      <c r="P885" s="7" t="str">
        <f>IFERROR(VLOOKUP(Tabela3[[#This Row],[Categoria]],Cadastros!A:C,3,0),"")</f>
        <v/>
      </c>
      <c r="Q885" s="9" t="str">
        <f ca="1">IFERROR(Tabela3[[#This Row],[Vida útil]]-Tabela3[[#This Row],[Idade]],"")</f>
        <v/>
      </c>
      <c r="R885" s="8" t="str">
        <f ca="1">IFERROR(Tabela3[[#This Row],[Valor]]-(Tabela3[[#This Row],[Valor]]*(Tabela3[[#This Row],[Idade]]*VLOOKUP(Tabela3[[#This Row],[Categoria]],Cadastros!A:B,2,0))),"")</f>
        <v/>
      </c>
    </row>
    <row r="886" spans="4:18" x14ac:dyDescent="0.25">
      <c r="D886" s="5"/>
      <c r="N886" s="6" t="str">
        <f>IFERROR(Tabela3[[#This Row],[Última revisão do bem]]+(VLOOKUP(Tabela3[[#This Row],[Categoria]],Cadastros!A:D,4,0)+365),"")</f>
        <v/>
      </c>
      <c r="O886" s="7" t="str">
        <f ca="1">IF(Tabela3[[#This Row],[Data da compra]]&gt;0,(TODAY()-Tabela3[[#This Row],[Data da compra]])/365,"")</f>
        <v/>
      </c>
      <c r="P886" s="7" t="str">
        <f>IFERROR(VLOOKUP(Tabela3[[#This Row],[Categoria]],Cadastros!A:C,3,0),"")</f>
        <v/>
      </c>
      <c r="Q886" s="9" t="str">
        <f ca="1">IFERROR(Tabela3[[#This Row],[Vida útil]]-Tabela3[[#This Row],[Idade]],"")</f>
        <v/>
      </c>
      <c r="R886" s="8" t="str">
        <f ca="1">IFERROR(Tabela3[[#This Row],[Valor]]-(Tabela3[[#This Row],[Valor]]*(Tabela3[[#This Row],[Idade]]*VLOOKUP(Tabela3[[#This Row],[Categoria]],Cadastros!A:B,2,0))),"")</f>
        <v/>
      </c>
    </row>
    <row r="887" spans="4:18" x14ac:dyDescent="0.25">
      <c r="D887" s="5"/>
      <c r="N887" s="6" t="str">
        <f>IFERROR(Tabela3[[#This Row],[Última revisão do bem]]+(VLOOKUP(Tabela3[[#This Row],[Categoria]],Cadastros!A:D,4,0)+365),"")</f>
        <v/>
      </c>
      <c r="O887" s="7" t="str">
        <f ca="1">IF(Tabela3[[#This Row],[Data da compra]]&gt;0,(TODAY()-Tabela3[[#This Row],[Data da compra]])/365,"")</f>
        <v/>
      </c>
      <c r="P887" s="7" t="str">
        <f>IFERROR(VLOOKUP(Tabela3[[#This Row],[Categoria]],Cadastros!A:C,3,0),"")</f>
        <v/>
      </c>
      <c r="Q887" s="9" t="str">
        <f ca="1">IFERROR(Tabela3[[#This Row],[Vida útil]]-Tabela3[[#This Row],[Idade]],"")</f>
        <v/>
      </c>
      <c r="R887" s="8" t="str">
        <f ca="1">IFERROR(Tabela3[[#This Row],[Valor]]-(Tabela3[[#This Row],[Valor]]*(Tabela3[[#This Row],[Idade]]*VLOOKUP(Tabela3[[#This Row],[Categoria]],Cadastros!A:B,2,0))),"")</f>
        <v/>
      </c>
    </row>
    <row r="888" spans="4:18" x14ac:dyDescent="0.25">
      <c r="D888" s="5"/>
      <c r="N888" s="6" t="str">
        <f>IFERROR(Tabela3[[#This Row],[Última revisão do bem]]+(VLOOKUP(Tabela3[[#This Row],[Categoria]],Cadastros!A:D,4,0)+365),"")</f>
        <v/>
      </c>
      <c r="O888" s="7" t="str">
        <f ca="1">IF(Tabela3[[#This Row],[Data da compra]]&gt;0,(TODAY()-Tabela3[[#This Row],[Data da compra]])/365,"")</f>
        <v/>
      </c>
      <c r="P888" s="7" t="str">
        <f>IFERROR(VLOOKUP(Tabela3[[#This Row],[Categoria]],Cadastros!A:C,3,0),"")</f>
        <v/>
      </c>
      <c r="Q888" s="9" t="str">
        <f ca="1">IFERROR(Tabela3[[#This Row],[Vida útil]]-Tabela3[[#This Row],[Idade]],"")</f>
        <v/>
      </c>
      <c r="R888" s="8" t="str">
        <f ca="1">IFERROR(Tabela3[[#This Row],[Valor]]-(Tabela3[[#This Row],[Valor]]*(Tabela3[[#This Row],[Idade]]*VLOOKUP(Tabela3[[#This Row],[Categoria]],Cadastros!A:B,2,0))),"")</f>
        <v/>
      </c>
    </row>
    <row r="889" spans="4:18" x14ac:dyDescent="0.25">
      <c r="D889" s="5"/>
      <c r="N889" s="6" t="str">
        <f>IFERROR(Tabela3[[#This Row],[Última revisão do bem]]+(VLOOKUP(Tabela3[[#This Row],[Categoria]],Cadastros!A:D,4,0)+365),"")</f>
        <v/>
      </c>
      <c r="O889" s="7" t="str">
        <f ca="1">IF(Tabela3[[#This Row],[Data da compra]]&gt;0,(TODAY()-Tabela3[[#This Row],[Data da compra]])/365,"")</f>
        <v/>
      </c>
      <c r="P889" s="7" t="str">
        <f>IFERROR(VLOOKUP(Tabela3[[#This Row],[Categoria]],Cadastros!A:C,3,0),"")</f>
        <v/>
      </c>
      <c r="Q889" s="9" t="str">
        <f ca="1">IFERROR(Tabela3[[#This Row],[Vida útil]]-Tabela3[[#This Row],[Idade]],"")</f>
        <v/>
      </c>
      <c r="R889" s="8" t="str">
        <f ca="1">IFERROR(Tabela3[[#This Row],[Valor]]-(Tabela3[[#This Row],[Valor]]*(Tabela3[[#This Row],[Idade]]*VLOOKUP(Tabela3[[#This Row],[Categoria]],Cadastros!A:B,2,0))),"")</f>
        <v/>
      </c>
    </row>
    <row r="890" spans="4:18" x14ac:dyDescent="0.25">
      <c r="D890" s="5"/>
      <c r="N890" s="6" t="str">
        <f>IFERROR(Tabela3[[#This Row],[Última revisão do bem]]+(VLOOKUP(Tabela3[[#This Row],[Categoria]],Cadastros!A:D,4,0)+365),"")</f>
        <v/>
      </c>
      <c r="O890" s="7" t="str">
        <f ca="1">IF(Tabela3[[#This Row],[Data da compra]]&gt;0,(TODAY()-Tabela3[[#This Row],[Data da compra]])/365,"")</f>
        <v/>
      </c>
      <c r="P890" s="7" t="str">
        <f>IFERROR(VLOOKUP(Tabela3[[#This Row],[Categoria]],Cadastros!A:C,3,0),"")</f>
        <v/>
      </c>
      <c r="Q890" s="9" t="str">
        <f ca="1">IFERROR(Tabela3[[#This Row],[Vida útil]]-Tabela3[[#This Row],[Idade]],"")</f>
        <v/>
      </c>
      <c r="R890" s="8" t="str">
        <f ca="1">IFERROR(Tabela3[[#This Row],[Valor]]-(Tabela3[[#This Row],[Valor]]*(Tabela3[[#This Row],[Idade]]*VLOOKUP(Tabela3[[#This Row],[Categoria]],Cadastros!A:B,2,0))),"")</f>
        <v/>
      </c>
    </row>
    <row r="891" spans="4:18" x14ac:dyDescent="0.25">
      <c r="D891" s="5"/>
      <c r="N891" s="6" t="str">
        <f>IFERROR(Tabela3[[#This Row],[Última revisão do bem]]+(VLOOKUP(Tabela3[[#This Row],[Categoria]],Cadastros!A:D,4,0)+365),"")</f>
        <v/>
      </c>
      <c r="O891" s="7" t="str">
        <f ca="1">IF(Tabela3[[#This Row],[Data da compra]]&gt;0,(TODAY()-Tabela3[[#This Row],[Data da compra]])/365,"")</f>
        <v/>
      </c>
      <c r="P891" s="7" t="str">
        <f>IFERROR(VLOOKUP(Tabela3[[#This Row],[Categoria]],Cadastros!A:C,3,0),"")</f>
        <v/>
      </c>
      <c r="Q891" s="9" t="str">
        <f ca="1">IFERROR(Tabela3[[#This Row],[Vida útil]]-Tabela3[[#This Row],[Idade]],"")</f>
        <v/>
      </c>
      <c r="R891" s="8" t="str">
        <f ca="1">IFERROR(Tabela3[[#This Row],[Valor]]-(Tabela3[[#This Row],[Valor]]*(Tabela3[[#This Row],[Idade]]*VLOOKUP(Tabela3[[#This Row],[Categoria]],Cadastros!A:B,2,0))),"")</f>
        <v/>
      </c>
    </row>
    <row r="892" spans="4:18" x14ac:dyDescent="0.25">
      <c r="D892" s="5"/>
      <c r="N892" s="6" t="str">
        <f>IFERROR(Tabela3[[#This Row],[Última revisão do bem]]+(VLOOKUP(Tabela3[[#This Row],[Categoria]],Cadastros!A:D,4,0)+365),"")</f>
        <v/>
      </c>
      <c r="O892" s="7" t="str">
        <f ca="1">IF(Tabela3[[#This Row],[Data da compra]]&gt;0,(TODAY()-Tabela3[[#This Row],[Data da compra]])/365,"")</f>
        <v/>
      </c>
      <c r="P892" s="7" t="str">
        <f>IFERROR(VLOOKUP(Tabela3[[#This Row],[Categoria]],Cadastros!A:C,3,0),"")</f>
        <v/>
      </c>
      <c r="Q892" s="9" t="str">
        <f ca="1">IFERROR(Tabela3[[#This Row],[Vida útil]]-Tabela3[[#This Row],[Idade]],"")</f>
        <v/>
      </c>
      <c r="R892" s="8" t="str">
        <f ca="1">IFERROR(Tabela3[[#This Row],[Valor]]-(Tabela3[[#This Row],[Valor]]*(Tabela3[[#This Row],[Idade]]*VLOOKUP(Tabela3[[#This Row],[Categoria]],Cadastros!A:B,2,0))),"")</f>
        <v/>
      </c>
    </row>
    <row r="893" spans="4:18" x14ac:dyDescent="0.25">
      <c r="D893" s="5"/>
      <c r="N893" s="6" t="str">
        <f>IFERROR(Tabela3[[#This Row],[Última revisão do bem]]+(VLOOKUP(Tabela3[[#This Row],[Categoria]],Cadastros!A:D,4,0)+365),"")</f>
        <v/>
      </c>
      <c r="O893" s="7" t="str">
        <f ca="1">IF(Tabela3[[#This Row],[Data da compra]]&gt;0,(TODAY()-Tabela3[[#This Row],[Data da compra]])/365,"")</f>
        <v/>
      </c>
      <c r="P893" s="7" t="str">
        <f>IFERROR(VLOOKUP(Tabela3[[#This Row],[Categoria]],Cadastros!A:C,3,0),"")</f>
        <v/>
      </c>
      <c r="Q893" s="9" t="str">
        <f ca="1">IFERROR(Tabela3[[#This Row],[Vida útil]]-Tabela3[[#This Row],[Idade]],"")</f>
        <v/>
      </c>
      <c r="R893" s="8" t="str">
        <f ca="1">IFERROR(Tabela3[[#This Row],[Valor]]-(Tabela3[[#This Row],[Valor]]*(Tabela3[[#This Row],[Idade]]*VLOOKUP(Tabela3[[#This Row],[Categoria]],Cadastros!A:B,2,0))),"")</f>
        <v/>
      </c>
    </row>
    <row r="894" spans="4:18" x14ac:dyDescent="0.25">
      <c r="D894" s="5"/>
      <c r="N894" s="6" t="str">
        <f>IFERROR(Tabela3[[#This Row],[Última revisão do bem]]+(VLOOKUP(Tabela3[[#This Row],[Categoria]],Cadastros!A:D,4,0)+365),"")</f>
        <v/>
      </c>
      <c r="O894" s="7" t="str">
        <f ca="1">IF(Tabela3[[#This Row],[Data da compra]]&gt;0,(TODAY()-Tabela3[[#This Row],[Data da compra]])/365,"")</f>
        <v/>
      </c>
      <c r="P894" s="7" t="str">
        <f>IFERROR(VLOOKUP(Tabela3[[#This Row],[Categoria]],Cadastros!A:C,3,0),"")</f>
        <v/>
      </c>
      <c r="Q894" s="9" t="str">
        <f ca="1">IFERROR(Tabela3[[#This Row],[Vida útil]]-Tabela3[[#This Row],[Idade]],"")</f>
        <v/>
      </c>
      <c r="R894" s="8" t="str">
        <f ca="1">IFERROR(Tabela3[[#This Row],[Valor]]-(Tabela3[[#This Row],[Valor]]*(Tabela3[[#This Row],[Idade]]*VLOOKUP(Tabela3[[#This Row],[Categoria]],Cadastros!A:B,2,0))),"")</f>
        <v/>
      </c>
    </row>
    <row r="895" spans="4:18" x14ac:dyDescent="0.25">
      <c r="D895" s="5"/>
      <c r="N895" s="6" t="str">
        <f>IFERROR(Tabela3[[#This Row],[Última revisão do bem]]+(VLOOKUP(Tabela3[[#This Row],[Categoria]],Cadastros!A:D,4,0)+365),"")</f>
        <v/>
      </c>
      <c r="O895" s="7" t="str">
        <f ca="1">IF(Tabela3[[#This Row],[Data da compra]]&gt;0,(TODAY()-Tabela3[[#This Row],[Data da compra]])/365,"")</f>
        <v/>
      </c>
      <c r="P895" s="7" t="str">
        <f>IFERROR(VLOOKUP(Tabela3[[#This Row],[Categoria]],Cadastros!A:C,3,0),"")</f>
        <v/>
      </c>
      <c r="Q895" s="9" t="str">
        <f ca="1">IFERROR(Tabela3[[#This Row],[Vida útil]]-Tabela3[[#This Row],[Idade]],"")</f>
        <v/>
      </c>
      <c r="R895" s="8" t="str">
        <f ca="1">IFERROR(Tabela3[[#This Row],[Valor]]-(Tabela3[[#This Row],[Valor]]*(Tabela3[[#This Row],[Idade]]*VLOOKUP(Tabela3[[#This Row],[Categoria]],Cadastros!A:B,2,0))),"")</f>
        <v/>
      </c>
    </row>
    <row r="896" spans="4:18" x14ac:dyDescent="0.25">
      <c r="D896" s="5"/>
      <c r="N896" s="6" t="str">
        <f>IFERROR(Tabela3[[#This Row],[Última revisão do bem]]+(VLOOKUP(Tabela3[[#This Row],[Categoria]],Cadastros!A:D,4,0)+365),"")</f>
        <v/>
      </c>
      <c r="O896" s="7" t="str">
        <f ca="1">IF(Tabela3[[#This Row],[Data da compra]]&gt;0,(TODAY()-Tabela3[[#This Row],[Data da compra]])/365,"")</f>
        <v/>
      </c>
      <c r="P896" s="7" t="str">
        <f>IFERROR(VLOOKUP(Tabela3[[#This Row],[Categoria]],Cadastros!A:C,3,0),"")</f>
        <v/>
      </c>
      <c r="Q896" s="9" t="str">
        <f ca="1">IFERROR(Tabela3[[#This Row],[Vida útil]]-Tabela3[[#This Row],[Idade]],"")</f>
        <v/>
      </c>
      <c r="R896" s="8" t="str">
        <f ca="1">IFERROR(Tabela3[[#This Row],[Valor]]-(Tabela3[[#This Row],[Valor]]*(Tabela3[[#This Row],[Idade]]*VLOOKUP(Tabela3[[#This Row],[Categoria]],Cadastros!A:B,2,0))),"")</f>
        <v/>
      </c>
    </row>
    <row r="897" spans="4:18" x14ac:dyDescent="0.25">
      <c r="D897" s="5"/>
      <c r="N897" s="6" t="str">
        <f>IFERROR(Tabela3[[#This Row],[Última revisão do bem]]+(VLOOKUP(Tabela3[[#This Row],[Categoria]],Cadastros!A:D,4,0)+365),"")</f>
        <v/>
      </c>
      <c r="O897" s="7" t="str">
        <f ca="1">IF(Tabela3[[#This Row],[Data da compra]]&gt;0,(TODAY()-Tabela3[[#This Row],[Data da compra]])/365,"")</f>
        <v/>
      </c>
      <c r="P897" s="7" t="str">
        <f>IFERROR(VLOOKUP(Tabela3[[#This Row],[Categoria]],Cadastros!A:C,3,0),"")</f>
        <v/>
      </c>
      <c r="Q897" s="9" t="str">
        <f ca="1">IFERROR(Tabela3[[#This Row],[Vida útil]]-Tabela3[[#This Row],[Idade]],"")</f>
        <v/>
      </c>
      <c r="R897" s="8" t="str">
        <f ca="1">IFERROR(Tabela3[[#This Row],[Valor]]-(Tabela3[[#This Row],[Valor]]*(Tabela3[[#This Row],[Idade]]*VLOOKUP(Tabela3[[#This Row],[Categoria]],Cadastros!A:B,2,0))),"")</f>
        <v/>
      </c>
    </row>
    <row r="898" spans="4:18" x14ac:dyDescent="0.25">
      <c r="D898" s="5"/>
      <c r="N898" s="6" t="str">
        <f>IFERROR(Tabela3[[#This Row],[Última revisão do bem]]+(VLOOKUP(Tabela3[[#This Row],[Categoria]],Cadastros!A:D,4,0)+365),"")</f>
        <v/>
      </c>
      <c r="O898" s="7" t="str">
        <f ca="1">IF(Tabela3[[#This Row],[Data da compra]]&gt;0,(TODAY()-Tabela3[[#This Row],[Data da compra]])/365,"")</f>
        <v/>
      </c>
      <c r="P898" s="7" t="str">
        <f>IFERROR(VLOOKUP(Tabela3[[#This Row],[Categoria]],Cadastros!A:C,3,0),"")</f>
        <v/>
      </c>
      <c r="Q898" s="9" t="str">
        <f ca="1">IFERROR(Tabela3[[#This Row],[Vida útil]]-Tabela3[[#This Row],[Idade]],"")</f>
        <v/>
      </c>
      <c r="R898" s="8" t="str">
        <f ca="1">IFERROR(Tabela3[[#This Row],[Valor]]-(Tabela3[[#This Row],[Valor]]*(Tabela3[[#This Row],[Idade]]*VLOOKUP(Tabela3[[#This Row],[Categoria]],Cadastros!A:B,2,0))),"")</f>
        <v/>
      </c>
    </row>
    <row r="899" spans="4:18" x14ac:dyDescent="0.25">
      <c r="D899" s="5"/>
      <c r="N899" s="6" t="str">
        <f>IFERROR(Tabela3[[#This Row],[Última revisão do bem]]+(VLOOKUP(Tabela3[[#This Row],[Categoria]],Cadastros!A:D,4,0)+365),"")</f>
        <v/>
      </c>
      <c r="O899" s="7" t="str">
        <f ca="1">IF(Tabela3[[#This Row],[Data da compra]]&gt;0,(TODAY()-Tabela3[[#This Row],[Data da compra]])/365,"")</f>
        <v/>
      </c>
      <c r="P899" s="7" t="str">
        <f>IFERROR(VLOOKUP(Tabela3[[#This Row],[Categoria]],Cadastros!A:C,3,0),"")</f>
        <v/>
      </c>
      <c r="Q899" s="9" t="str">
        <f ca="1">IFERROR(Tabela3[[#This Row],[Vida útil]]-Tabela3[[#This Row],[Idade]],"")</f>
        <v/>
      </c>
      <c r="R899" s="8" t="str">
        <f ca="1">IFERROR(Tabela3[[#This Row],[Valor]]-(Tabela3[[#This Row],[Valor]]*(Tabela3[[#This Row],[Idade]]*VLOOKUP(Tabela3[[#This Row],[Categoria]],Cadastros!A:B,2,0))),"")</f>
        <v/>
      </c>
    </row>
    <row r="900" spans="4:18" x14ac:dyDescent="0.25">
      <c r="D900" s="5"/>
      <c r="N900" s="6" t="str">
        <f>IFERROR(Tabela3[[#This Row],[Última revisão do bem]]+(VLOOKUP(Tabela3[[#This Row],[Categoria]],Cadastros!A:D,4,0)+365),"")</f>
        <v/>
      </c>
      <c r="O900" s="7" t="str">
        <f ca="1">IF(Tabela3[[#This Row],[Data da compra]]&gt;0,(TODAY()-Tabela3[[#This Row],[Data da compra]])/365,"")</f>
        <v/>
      </c>
      <c r="P900" s="7" t="str">
        <f>IFERROR(VLOOKUP(Tabela3[[#This Row],[Categoria]],Cadastros!A:C,3,0),"")</f>
        <v/>
      </c>
      <c r="Q900" s="9" t="str">
        <f ca="1">IFERROR(Tabela3[[#This Row],[Vida útil]]-Tabela3[[#This Row],[Idade]],"")</f>
        <v/>
      </c>
      <c r="R900" s="8" t="str">
        <f ca="1">IFERROR(Tabela3[[#This Row],[Valor]]-(Tabela3[[#This Row],[Valor]]*(Tabela3[[#This Row],[Idade]]*VLOOKUP(Tabela3[[#This Row],[Categoria]],Cadastros!A:B,2,0))),"")</f>
        <v/>
      </c>
    </row>
    <row r="901" spans="4:18" x14ac:dyDescent="0.25">
      <c r="D901" s="5"/>
      <c r="N901" s="6" t="str">
        <f>IFERROR(Tabela3[[#This Row],[Última revisão do bem]]+(VLOOKUP(Tabela3[[#This Row],[Categoria]],Cadastros!A:D,4,0)+365),"")</f>
        <v/>
      </c>
      <c r="O901" s="7" t="str">
        <f ca="1">IF(Tabela3[[#This Row],[Data da compra]]&gt;0,(TODAY()-Tabela3[[#This Row],[Data da compra]])/365,"")</f>
        <v/>
      </c>
      <c r="P901" s="7" t="str">
        <f>IFERROR(VLOOKUP(Tabela3[[#This Row],[Categoria]],Cadastros!A:C,3,0),"")</f>
        <v/>
      </c>
      <c r="Q901" s="9" t="str">
        <f ca="1">IFERROR(Tabela3[[#This Row],[Vida útil]]-Tabela3[[#This Row],[Idade]],"")</f>
        <v/>
      </c>
      <c r="R901" s="8" t="str">
        <f ca="1">IFERROR(Tabela3[[#This Row],[Valor]]-(Tabela3[[#This Row],[Valor]]*(Tabela3[[#This Row],[Idade]]*VLOOKUP(Tabela3[[#This Row],[Categoria]],Cadastros!A:B,2,0))),"")</f>
        <v/>
      </c>
    </row>
    <row r="902" spans="4:18" x14ac:dyDescent="0.25">
      <c r="D902" s="5"/>
      <c r="N902" s="6" t="str">
        <f>IFERROR(Tabela3[[#This Row],[Última revisão do bem]]+(VLOOKUP(Tabela3[[#This Row],[Categoria]],Cadastros!A:D,4,0)+365),"")</f>
        <v/>
      </c>
      <c r="O902" s="7" t="str">
        <f ca="1">IF(Tabela3[[#This Row],[Data da compra]]&gt;0,(TODAY()-Tabela3[[#This Row],[Data da compra]])/365,"")</f>
        <v/>
      </c>
      <c r="P902" s="7" t="str">
        <f>IFERROR(VLOOKUP(Tabela3[[#This Row],[Categoria]],Cadastros!A:C,3,0),"")</f>
        <v/>
      </c>
      <c r="Q902" s="9" t="str">
        <f ca="1">IFERROR(Tabela3[[#This Row],[Vida útil]]-Tabela3[[#This Row],[Idade]],"")</f>
        <v/>
      </c>
      <c r="R902" s="8" t="str">
        <f ca="1">IFERROR(Tabela3[[#This Row],[Valor]]-(Tabela3[[#This Row],[Valor]]*(Tabela3[[#This Row],[Idade]]*VLOOKUP(Tabela3[[#This Row],[Categoria]],Cadastros!A:B,2,0))),"")</f>
        <v/>
      </c>
    </row>
    <row r="903" spans="4:18" x14ac:dyDescent="0.25">
      <c r="D903" s="5"/>
      <c r="N903" s="6" t="str">
        <f>IFERROR(Tabela3[[#This Row],[Última revisão do bem]]+(VLOOKUP(Tabela3[[#This Row],[Categoria]],Cadastros!A:D,4,0)+365),"")</f>
        <v/>
      </c>
      <c r="O903" s="7" t="str">
        <f ca="1">IF(Tabela3[[#This Row],[Data da compra]]&gt;0,(TODAY()-Tabela3[[#This Row],[Data da compra]])/365,"")</f>
        <v/>
      </c>
      <c r="P903" s="7" t="str">
        <f>IFERROR(VLOOKUP(Tabela3[[#This Row],[Categoria]],Cadastros!A:C,3,0),"")</f>
        <v/>
      </c>
      <c r="Q903" s="9" t="str">
        <f ca="1">IFERROR(Tabela3[[#This Row],[Vida útil]]-Tabela3[[#This Row],[Idade]],"")</f>
        <v/>
      </c>
      <c r="R903" s="8" t="str">
        <f ca="1">IFERROR(Tabela3[[#This Row],[Valor]]-(Tabela3[[#This Row],[Valor]]*(Tabela3[[#This Row],[Idade]]*VLOOKUP(Tabela3[[#This Row],[Categoria]],Cadastros!A:B,2,0))),"")</f>
        <v/>
      </c>
    </row>
    <row r="904" spans="4:18" x14ac:dyDescent="0.25">
      <c r="D904" s="5"/>
      <c r="N904" s="6" t="str">
        <f>IFERROR(Tabela3[[#This Row],[Última revisão do bem]]+(VLOOKUP(Tabela3[[#This Row],[Categoria]],Cadastros!A:D,4,0)+365),"")</f>
        <v/>
      </c>
      <c r="O904" s="7" t="str">
        <f ca="1">IF(Tabela3[[#This Row],[Data da compra]]&gt;0,(TODAY()-Tabela3[[#This Row],[Data da compra]])/365,"")</f>
        <v/>
      </c>
      <c r="P904" s="7" t="str">
        <f>IFERROR(VLOOKUP(Tabela3[[#This Row],[Categoria]],Cadastros!A:C,3,0),"")</f>
        <v/>
      </c>
      <c r="Q904" s="9" t="str">
        <f ca="1">IFERROR(Tabela3[[#This Row],[Vida útil]]-Tabela3[[#This Row],[Idade]],"")</f>
        <v/>
      </c>
      <c r="R904" s="8" t="str">
        <f ca="1">IFERROR(Tabela3[[#This Row],[Valor]]-(Tabela3[[#This Row],[Valor]]*(Tabela3[[#This Row],[Idade]]*VLOOKUP(Tabela3[[#This Row],[Categoria]],Cadastros!A:B,2,0))),"")</f>
        <v/>
      </c>
    </row>
    <row r="905" spans="4:18" x14ac:dyDescent="0.25">
      <c r="D905" s="5"/>
      <c r="N905" s="6" t="str">
        <f>IFERROR(Tabela3[[#This Row],[Última revisão do bem]]+(VLOOKUP(Tabela3[[#This Row],[Categoria]],Cadastros!A:D,4,0)+365),"")</f>
        <v/>
      </c>
      <c r="O905" s="7" t="str">
        <f ca="1">IF(Tabela3[[#This Row],[Data da compra]]&gt;0,(TODAY()-Tabela3[[#This Row],[Data da compra]])/365,"")</f>
        <v/>
      </c>
      <c r="P905" s="7" t="str">
        <f>IFERROR(VLOOKUP(Tabela3[[#This Row],[Categoria]],Cadastros!A:C,3,0),"")</f>
        <v/>
      </c>
      <c r="Q905" s="9" t="str">
        <f ca="1">IFERROR(Tabela3[[#This Row],[Vida útil]]-Tabela3[[#This Row],[Idade]],"")</f>
        <v/>
      </c>
      <c r="R905" s="8" t="str">
        <f ca="1">IFERROR(Tabela3[[#This Row],[Valor]]-(Tabela3[[#This Row],[Valor]]*(Tabela3[[#This Row],[Idade]]*VLOOKUP(Tabela3[[#This Row],[Categoria]],Cadastros!A:B,2,0))),"")</f>
        <v/>
      </c>
    </row>
    <row r="906" spans="4:18" x14ac:dyDescent="0.25">
      <c r="D906" s="22"/>
      <c r="N906" s="6" t="str">
        <f>IFERROR(Tabela3[[#This Row],[Última revisão do bem]]+(VLOOKUP(Tabela3[[#This Row],[Categoria]],Cadastros!A:D,4,0)+365),"")</f>
        <v/>
      </c>
      <c r="O906" s="7" t="str">
        <f ca="1">IF(Tabela3[[#This Row],[Data da compra]]&gt;0,(TODAY()-Tabela3[[#This Row],[Data da compra]])/365,"")</f>
        <v/>
      </c>
      <c r="P906" s="7" t="str">
        <f>IFERROR(VLOOKUP(Tabela3[[#This Row],[Categoria]],Cadastros!A:C,3,0),"")</f>
        <v/>
      </c>
      <c r="Q906" s="9" t="str">
        <f ca="1">IFERROR(Tabela3[[#This Row],[Vida útil]]-Tabela3[[#This Row],[Idade]],"")</f>
        <v/>
      </c>
      <c r="R906" s="23" t="str">
        <f ca="1">IFERROR(Tabela3[[#This Row],[Valor]]-(Tabela3[[#This Row],[Valor]]*(Tabela3[[#This Row],[Idade]]*VLOOKUP(Tabela3[[#This Row],[Categoria]],Cadastros!A:B,2,0))),"")</f>
        <v/>
      </c>
    </row>
    <row r="907" spans="4:18" x14ac:dyDescent="0.25">
      <c r="D907" s="5"/>
      <c r="N907" s="6" t="str">
        <f>IFERROR(Tabela3[[#This Row],[Última revisão do bem]]+(VLOOKUP(Tabela3[[#This Row],[Categoria]],Cadastros!A:D,4,0)+365),"")</f>
        <v/>
      </c>
      <c r="O907" s="7" t="str">
        <f ca="1">IF(Tabela3[[#This Row],[Data da compra]]&gt;0,(TODAY()-Tabela3[[#This Row],[Data da compra]])/365,"")</f>
        <v/>
      </c>
      <c r="P907" s="7" t="str">
        <f>IFERROR(VLOOKUP(Tabela3[[#This Row],[Categoria]],Cadastros!A:C,3,0),"")</f>
        <v/>
      </c>
      <c r="Q907" s="9" t="str">
        <f ca="1">IFERROR(Tabela3[[#This Row],[Vida útil]]-Tabela3[[#This Row],[Idade]],"")</f>
        <v/>
      </c>
      <c r="R907" s="8" t="str">
        <f ca="1">IFERROR(Tabela3[[#This Row],[Valor]]-(Tabela3[[#This Row],[Valor]]*(Tabela3[[#This Row],[Idade]]*VLOOKUP(Tabela3[[#This Row],[Categoria]],Cadastros!A:B,2,0))),"")</f>
        <v/>
      </c>
    </row>
    <row r="908" spans="4:18" x14ac:dyDescent="0.25">
      <c r="D908" s="5"/>
      <c r="N908" s="6" t="str">
        <f>IFERROR(Tabela3[[#This Row],[Última revisão do bem]]+(VLOOKUP(Tabela3[[#This Row],[Categoria]],Cadastros!A:D,4,0)+365),"")</f>
        <v/>
      </c>
      <c r="O908" s="7" t="str">
        <f ca="1">IF(Tabela3[[#This Row],[Data da compra]]&gt;0,(TODAY()-Tabela3[[#This Row],[Data da compra]])/365,"")</f>
        <v/>
      </c>
      <c r="P908" s="7" t="str">
        <f>IFERROR(VLOOKUP(Tabela3[[#This Row],[Categoria]],Cadastros!A:C,3,0),"")</f>
        <v/>
      </c>
      <c r="Q908" s="9" t="str">
        <f ca="1">IFERROR(Tabela3[[#This Row],[Vida útil]]-Tabela3[[#This Row],[Idade]],"")</f>
        <v/>
      </c>
      <c r="R908" s="8" t="str">
        <f ca="1">IFERROR(Tabela3[[#This Row],[Valor]]-(Tabela3[[#This Row],[Valor]]*(Tabela3[[#This Row],[Idade]]*VLOOKUP(Tabela3[[#This Row],[Categoria]],Cadastros!A:B,2,0))),"")</f>
        <v/>
      </c>
    </row>
    <row r="909" spans="4:18" x14ac:dyDescent="0.25">
      <c r="D909" s="5"/>
      <c r="N909" s="6" t="str">
        <f>IFERROR(Tabela3[[#This Row],[Última revisão do bem]]+(VLOOKUP(Tabela3[[#This Row],[Categoria]],Cadastros!A:D,4,0)+365),"")</f>
        <v/>
      </c>
      <c r="O909" s="7" t="str">
        <f ca="1">IF(Tabela3[[#This Row],[Data da compra]]&gt;0,(TODAY()-Tabela3[[#This Row],[Data da compra]])/365,"")</f>
        <v/>
      </c>
      <c r="P909" s="7" t="str">
        <f>IFERROR(VLOOKUP(Tabela3[[#This Row],[Categoria]],Cadastros!A:C,3,0),"")</f>
        <v/>
      </c>
      <c r="Q909" s="9" t="str">
        <f ca="1">IFERROR(Tabela3[[#This Row],[Vida útil]]-Tabela3[[#This Row],[Idade]],"")</f>
        <v/>
      </c>
      <c r="R909" s="8" t="str">
        <f ca="1">IFERROR(Tabela3[[#This Row],[Valor]]-(Tabela3[[#This Row],[Valor]]*(Tabela3[[#This Row],[Idade]]*VLOOKUP(Tabela3[[#This Row],[Categoria]],Cadastros!A:B,2,0))),"")</f>
        <v/>
      </c>
    </row>
    <row r="910" spans="4:18" x14ac:dyDescent="0.25">
      <c r="D910" s="5"/>
      <c r="N910" s="6" t="str">
        <f>IFERROR(Tabela3[[#This Row],[Última revisão do bem]]+(VLOOKUP(Tabela3[[#This Row],[Categoria]],Cadastros!A:D,4,0)+365),"")</f>
        <v/>
      </c>
      <c r="O910" s="7" t="str">
        <f ca="1">IF(Tabela3[[#This Row],[Data da compra]]&gt;0,(TODAY()-Tabela3[[#This Row],[Data da compra]])/365,"")</f>
        <v/>
      </c>
      <c r="P910" s="7" t="str">
        <f>IFERROR(VLOOKUP(Tabela3[[#This Row],[Categoria]],Cadastros!A:C,3,0),"")</f>
        <v/>
      </c>
      <c r="Q910" s="9" t="str">
        <f ca="1">IFERROR(Tabela3[[#This Row],[Vida útil]]-Tabela3[[#This Row],[Idade]],"")</f>
        <v/>
      </c>
      <c r="R910" s="8" t="str">
        <f ca="1">IFERROR(Tabela3[[#This Row],[Valor]]-(Tabela3[[#This Row],[Valor]]*(Tabela3[[#This Row],[Idade]]*VLOOKUP(Tabela3[[#This Row],[Categoria]],Cadastros!A:B,2,0))),"")</f>
        <v/>
      </c>
    </row>
    <row r="911" spans="4:18" x14ac:dyDescent="0.25">
      <c r="D911" s="5"/>
      <c r="N911" s="6" t="str">
        <f>IFERROR(Tabela3[[#This Row],[Última revisão do bem]]+(VLOOKUP(Tabela3[[#This Row],[Categoria]],Cadastros!A:D,4,0)+365),"")</f>
        <v/>
      </c>
      <c r="O911" s="7" t="str">
        <f ca="1">IF(Tabela3[[#This Row],[Data da compra]]&gt;0,(TODAY()-Tabela3[[#This Row],[Data da compra]])/365,"")</f>
        <v/>
      </c>
      <c r="P911" s="7" t="str">
        <f>IFERROR(VLOOKUP(Tabela3[[#This Row],[Categoria]],Cadastros!A:C,3,0),"")</f>
        <v/>
      </c>
      <c r="Q911" s="9" t="str">
        <f ca="1">IFERROR(Tabela3[[#This Row],[Vida útil]]-Tabela3[[#This Row],[Idade]],"")</f>
        <v/>
      </c>
      <c r="R911" s="8" t="str">
        <f ca="1">IFERROR(Tabela3[[#This Row],[Valor]]-(Tabela3[[#This Row],[Valor]]*(Tabela3[[#This Row],[Idade]]*VLOOKUP(Tabela3[[#This Row],[Categoria]],Cadastros!A:B,2,0))),"")</f>
        <v/>
      </c>
    </row>
    <row r="912" spans="4:18" x14ac:dyDescent="0.25">
      <c r="D912" s="5"/>
      <c r="N912" s="6" t="str">
        <f>IFERROR(Tabela3[[#This Row],[Última revisão do bem]]+(VLOOKUP(Tabela3[[#This Row],[Categoria]],Cadastros!A:D,4,0)+365),"")</f>
        <v/>
      </c>
      <c r="O912" s="7" t="str">
        <f ca="1">IF(Tabela3[[#This Row],[Data da compra]]&gt;0,(TODAY()-Tabela3[[#This Row],[Data da compra]])/365,"")</f>
        <v/>
      </c>
      <c r="P912" s="7" t="str">
        <f>IFERROR(VLOOKUP(Tabela3[[#This Row],[Categoria]],Cadastros!A:C,3,0),"")</f>
        <v/>
      </c>
      <c r="Q912" s="9" t="str">
        <f ca="1">IFERROR(Tabela3[[#This Row],[Vida útil]]-Tabela3[[#This Row],[Idade]],"")</f>
        <v/>
      </c>
      <c r="R912" s="8" t="str">
        <f ca="1">IFERROR(Tabela3[[#This Row],[Valor]]-(Tabela3[[#This Row],[Valor]]*(Tabela3[[#This Row],[Idade]]*VLOOKUP(Tabela3[[#This Row],[Categoria]],Cadastros!A:B,2,0))),"")</f>
        <v/>
      </c>
    </row>
    <row r="913" spans="4:18" x14ac:dyDescent="0.25">
      <c r="D913" s="5"/>
      <c r="N913" s="6" t="str">
        <f>IFERROR(Tabela3[[#This Row],[Última revisão do bem]]+(VLOOKUP(Tabela3[[#This Row],[Categoria]],Cadastros!A:D,4,0)+365),"")</f>
        <v/>
      </c>
      <c r="O913" s="7" t="str">
        <f ca="1">IF(Tabela3[[#This Row],[Data da compra]]&gt;0,(TODAY()-Tabela3[[#This Row],[Data da compra]])/365,"")</f>
        <v/>
      </c>
      <c r="P913" s="7" t="str">
        <f>IFERROR(VLOOKUP(Tabela3[[#This Row],[Categoria]],Cadastros!A:C,3,0),"")</f>
        <v/>
      </c>
      <c r="Q913" s="9" t="str">
        <f ca="1">IFERROR(Tabela3[[#This Row],[Vida útil]]-Tabela3[[#This Row],[Idade]],"")</f>
        <v/>
      </c>
      <c r="R913" s="8" t="str">
        <f ca="1">IFERROR(Tabela3[[#This Row],[Valor]]-(Tabela3[[#This Row],[Valor]]*(Tabela3[[#This Row],[Idade]]*VLOOKUP(Tabela3[[#This Row],[Categoria]],Cadastros!A:B,2,0))),"")</f>
        <v/>
      </c>
    </row>
    <row r="914" spans="4:18" x14ac:dyDescent="0.25">
      <c r="D914" s="5"/>
      <c r="N914" s="6" t="str">
        <f>IFERROR(Tabela3[[#This Row],[Última revisão do bem]]+(VLOOKUP(Tabela3[[#This Row],[Categoria]],Cadastros!A:D,4,0)+365),"")</f>
        <v/>
      </c>
      <c r="O914" s="7" t="str">
        <f ca="1">IF(Tabela3[[#This Row],[Data da compra]]&gt;0,(TODAY()-Tabela3[[#This Row],[Data da compra]])/365,"")</f>
        <v/>
      </c>
      <c r="P914" s="7" t="str">
        <f>IFERROR(VLOOKUP(Tabela3[[#This Row],[Categoria]],Cadastros!A:C,3,0),"")</f>
        <v/>
      </c>
      <c r="Q914" s="9" t="str">
        <f ca="1">IFERROR(Tabela3[[#This Row],[Vida útil]]-Tabela3[[#This Row],[Idade]],"")</f>
        <v/>
      </c>
      <c r="R914" s="8" t="str">
        <f ca="1">IFERROR(Tabela3[[#This Row],[Valor]]-(Tabela3[[#This Row],[Valor]]*(Tabela3[[#This Row],[Idade]]*VLOOKUP(Tabela3[[#This Row],[Categoria]],Cadastros!A:B,2,0))),"")</f>
        <v/>
      </c>
    </row>
    <row r="915" spans="4:18" x14ac:dyDescent="0.25">
      <c r="D915" s="5"/>
      <c r="N915" s="6" t="str">
        <f>IFERROR(Tabela3[[#This Row],[Última revisão do bem]]+(VLOOKUP(Tabela3[[#This Row],[Categoria]],Cadastros!A:D,4,0)+365),"")</f>
        <v/>
      </c>
      <c r="O915" s="7" t="str">
        <f ca="1">IF(Tabela3[[#This Row],[Data da compra]]&gt;0,(TODAY()-Tabela3[[#This Row],[Data da compra]])/365,"")</f>
        <v/>
      </c>
      <c r="P915" s="7" t="str">
        <f>IFERROR(VLOOKUP(Tabela3[[#This Row],[Categoria]],Cadastros!A:C,3,0),"")</f>
        <v/>
      </c>
      <c r="Q915" s="9" t="str">
        <f ca="1">IFERROR(Tabela3[[#This Row],[Vida útil]]-Tabela3[[#This Row],[Idade]],"")</f>
        <v/>
      </c>
      <c r="R915" s="8" t="str">
        <f ca="1">IFERROR(Tabela3[[#This Row],[Valor]]-(Tabela3[[#This Row],[Valor]]*(Tabela3[[#This Row],[Idade]]*VLOOKUP(Tabela3[[#This Row],[Categoria]],Cadastros!A:B,2,0))),"")</f>
        <v/>
      </c>
    </row>
    <row r="916" spans="4:18" x14ac:dyDescent="0.25">
      <c r="D916" s="5"/>
      <c r="N916" s="6" t="str">
        <f>IFERROR(Tabela3[[#This Row],[Última revisão do bem]]+(VLOOKUP(Tabela3[[#This Row],[Categoria]],Cadastros!A:D,4,0)+365),"")</f>
        <v/>
      </c>
      <c r="O916" s="7" t="str">
        <f ca="1">IF(Tabela3[[#This Row],[Data da compra]]&gt;0,(TODAY()-Tabela3[[#This Row],[Data da compra]])/365,"")</f>
        <v/>
      </c>
      <c r="P916" s="7" t="str">
        <f>IFERROR(VLOOKUP(Tabela3[[#This Row],[Categoria]],Cadastros!A:C,3,0),"")</f>
        <v/>
      </c>
      <c r="Q916" s="9" t="str">
        <f ca="1">IFERROR(Tabela3[[#This Row],[Vida útil]]-Tabela3[[#This Row],[Idade]],"")</f>
        <v/>
      </c>
      <c r="R916" s="8" t="str">
        <f ca="1">IFERROR(Tabela3[[#This Row],[Valor]]-(Tabela3[[#This Row],[Valor]]*(Tabela3[[#This Row],[Idade]]*VLOOKUP(Tabela3[[#This Row],[Categoria]],Cadastros!A:B,2,0))),"")</f>
        <v/>
      </c>
    </row>
    <row r="917" spans="4:18" x14ac:dyDescent="0.25">
      <c r="D917" s="5"/>
      <c r="N917" s="6" t="str">
        <f>IFERROR(Tabela3[[#This Row],[Última revisão do bem]]+(VLOOKUP(Tabela3[[#This Row],[Categoria]],Cadastros!A:D,4,0)+365),"")</f>
        <v/>
      </c>
      <c r="O917" s="7" t="str">
        <f ca="1">IF(Tabela3[[#This Row],[Data da compra]]&gt;0,(TODAY()-Tabela3[[#This Row],[Data da compra]])/365,"")</f>
        <v/>
      </c>
      <c r="P917" s="7" t="str">
        <f>IFERROR(VLOOKUP(Tabela3[[#This Row],[Categoria]],Cadastros!A:C,3,0),"")</f>
        <v/>
      </c>
      <c r="Q917" s="9" t="str">
        <f ca="1">IFERROR(Tabela3[[#This Row],[Vida útil]]-Tabela3[[#This Row],[Idade]],"")</f>
        <v/>
      </c>
      <c r="R917" s="8" t="str">
        <f ca="1">IFERROR(Tabela3[[#This Row],[Valor]]-(Tabela3[[#This Row],[Valor]]*(Tabela3[[#This Row],[Idade]]*VLOOKUP(Tabela3[[#This Row],[Categoria]],Cadastros!A:B,2,0))),"")</f>
        <v/>
      </c>
    </row>
    <row r="918" spans="4:18" x14ac:dyDescent="0.25">
      <c r="D918" s="5"/>
      <c r="N918" s="6" t="str">
        <f>IFERROR(Tabela3[[#This Row],[Última revisão do bem]]+(VLOOKUP(Tabela3[[#This Row],[Categoria]],Cadastros!A:D,4,0)+365),"")</f>
        <v/>
      </c>
      <c r="O918" s="7" t="str">
        <f ca="1">IF(Tabela3[[#This Row],[Data da compra]]&gt;0,(TODAY()-Tabela3[[#This Row],[Data da compra]])/365,"")</f>
        <v/>
      </c>
      <c r="P918" s="7" t="str">
        <f>IFERROR(VLOOKUP(Tabela3[[#This Row],[Categoria]],Cadastros!A:C,3,0),"")</f>
        <v/>
      </c>
      <c r="Q918" s="9" t="str">
        <f ca="1">IFERROR(Tabela3[[#This Row],[Vida útil]]-Tabela3[[#This Row],[Idade]],"")</f>
        <v/>
      </c>
      <c r="R918" s="8" t="str">
        <f ca="1">IFERROR(Tabela3[[#This Row],[Valor]]-(Tabela3[[#This Row],[Valor]]*(Tabela3[[#This Row],[Idade]]*VLOOKUP(Tabela3[[#This Row],[Categoria]],Cadastros!A:B,2,0))),"")</f>
        <v/>
      </c>
    </row>
    <row r="919" spans="4:18" x14ac:dyDescent="0.25">
      <c r="D919" s="5"/>
      <c r="N919" s="6" t="str">
        <f>IFERROR(Tabela3[[#This Row],[Última revisão do bem]]+(VLOOKUP(Tabela3[[#This Row],[Categoria]],Cadastros!A:D,4,0)+365),"")</f>
        <v/>
      </c>
      <c r="O919" s="7" t="str">
        <f ca="1">IF(Tabela3[[#This Row],[Data da compra]]&gt;0,(TODAY()-Tabela3[[#This Row],[Data da compra]])/365,"")</f>
        <v/>
      </c>
      <c r="P919" s="7" t="str">
        <f>IFERROR(VLOOKUP(Tabela3[[#This Row],[Categoria]],Cadastros!A:C,3,0),"")</f>
        <v/>
      </c>
      <c r="Q919" s="9" t="str">
        <f ca="1">IFERROR(Tabela3[[#This Row],[Vida útil]]-Tabela3[[#This Row],[Idade]],"")</f>
        <v/>
      </c>
      <c r="R919" s="8" t="str">
        <f ca="1">IFERROR(Tabela3[[#This Row],[Valor]]-(Tabela3[[#This Row],[Valor]]*(Tabela3[[#This Row],[Idade]]*VLOOKUP(Tabela3[[#This Row],[Categoria]],Cadastros!A:B,2,0))),"")</f>
        <v/>
      </c>
    </row>
    <row r="920" spans="4:18" x14ac:dyDescent="0.25">
      <c r="D920" s="5"/>
      <c r="N920" s="6" t="str">
        <f>IFERROR(Tabela3[[#This Row],[Última revisão do bem]]+(VLOOKUP(Tabela3[[#This Row],[Categoria]],Cadastros!A:D,4,0)+365),"")</f>
        <v/>
      </c>
      <c r="O920" s="7" t="str">
        <f ca="1">IF(Tabela3[[#This Row],[Data da compra]]&gt;0,(TODAY()-Tabela3[[#This Row],[Data da compra]])/365,"")</f>
        <v/>
      </c>
      <c r="P920" s="7" t="str">
        <f>IFERROR(VLOOKUP(Tabela3[[#This Row],[Categoria]],Cadastros!A:C,3,0),"")</f>
        <v/>
      </c>
      <c r="Q920" s="9" t="str">
        <f ca="1">IFERROR(Tabela3[[#This Row],[Vida útil]]-Tabela3[[#This Row],[Idade]],"")</f>
        <v/>
      </c>
      <c r="R920" s="8" t="str">
        <f ca="1">IFERROR(Tabela3[[#This Row],[Valor]]-(Tabela3[[#This Row],[Valor]]*(Tabela3[[#This Row],[Idade]]*VLOOKUP(Tabela3[[#This Row],[Categoria]],Cadastros!A:B,2,0))),"")</f>
        <v/>
      </c>
    </row>
    <row r="921" spans="4:18" x14ac:dyDescent="0.25">
      <c r="D921" s="5"/>
      <c r="N921" s="6" t="str">
        <f>IFERROR(Tabela3[[#This Row],[Última revisão do bem]]+(VLOOKUP(Tabela3[[#This Row],[Categoria]],Cadastros!A:D,4,0)+365),"")</f>
        <v/>
      </c>
      <c r="O921" s="7" t="str">
        <f ca="1">IF(Tabela3[[#This Row],[Data da compra]]&gt;0,(TODAY()-Tabela3[[#This Row],[Data da compra]])/365,"")</f>
        <v/>
      </c>
      <c r="P921" s="7" t="str">
        <f>IFERROR(VLOOKUP(Tabela3[[#This Row],[Categoria]],Cadastros!A:C,3,0),"")</f>
        <v/>
      </c>
      <c r="Q921" s="9" t="str">
        <f ca="1">IFERROR(Tabela3[[#This Row],[Vida útil]]-Tabela3[[#This Row],[Idade]],"")</f>
        <v/>
      </c>
      <c r="R921" s="8" t="str">
        <f ca="1">IFERROR(Tabela3[[#This Row],[Valor]]-(Tabela3[[#This Row],[Valor]]*(Tabela3[[#This Row],[Idade]]*VLOOKUP(Tabela3[[#This Row],[Categoria]],Cadastros!A:B,2,0))),"")</f>
        <v/>
      </c>
    </row>
    <row r="922" spans="4:18" x14ac:dyDescent="0.25">
      <c r="D922" s="5"/>
      <c r="N922" s="6" t="str">
        <f>IFERROR(Tabela3[[#This Row],[Última revisão do bem]]+(VLOOKUP(Tabela3[[#This Row],[Categoria]],Cadastros!A:D,4,0)+365),"")</f>
        <v/>
      </c>
      <c r="O922" s="7" t="str">
        <f ca="1">IF(Tabela3[[#This Row],[Data da compra]]&gt;0,(TODAY()-Tabela3[[#This Row],[Data da compra]])/365,"")</f>
        <v/>
      </c>
      <c r="P922" s="7" t="str">
        <f>IFERROR(VLOOKUP(Tabela3[[#This Row],[Categoria]],Cadastros!A:C,3,0),"")</f>
        <v/>
      </c>
      <c r="Q922" s="9" t="str">
        <f ca="1">IFERROR(Tabela3[[#This Row],[Vida útil]]-Tabela3[[#This Row],[Idade]],"")</f>
        <v/>
      </c>
      <c r="R922" s="8" t="str">
        <f ca="1">IFERROR(Tabela3[[#This Row],[Valor]]-(Tabela3[[#This Row],[Valor]]*(Tabela3[[#This Row],[Idade]]*VLOOKUP(Tabela3[[#This Row],[Categoria]],Cadastros!A:B,2,0))),"")</f>
        <v/>
      </c>
    </row>
    <row r="923" spans="4:18" x14ac:dyDescent="0.25">
      <c r="D923" s="5"/>
      <c r="N923" s="6" t="str">
        <f>IFERROR(Tabela3[[#This Row],[Última revisão do bem]]+(VLOOKUP(Tabela3[[#This Row],[Categoria]],Cadastros!A:D,4,0)+365),"")</f>
        <v/>
      </c>
      <c r="O923" s="7" t="str">
        <f ca="1">IF(Tabela3[[#This Row],[Data da compra]]&gt;0,(TODAY()-Tabela3[[#This Row],[Data da compra]])/365,"")</f>
        <v/>
      </c>
      <c r="P923" s="7" t="str">
        <f>IFERROR(VLOOKUP(Tabela3[[#This Row],[Categoria]],Cadastros!A:C,3,0),"")</f>
        <v/>
      </c>
      <c r="Q923" s="9" t="str">
        <f ca="1">IFERROR(Tabela3[[#This Row],[Vida útil]]-Tabela3[[#This Row],[Idade]],"")</f>
        <v/>
      </c>
      <c r="R923" s="8" t="str">
        <f ca="1">IFERROR(Tabela3[[#This Row],[Valor]]-(Tabela3[[#This Row],[Valor]]*(Tabela3[[#This Row],[Idade]]*VLOOKUP(Tabela3[[#This Row],[Categoria]],Cadastros!A:B,2,0))),"")</f>
        <v/>
      </c>
    </row>
    <row r="924" spans="4:18" x14ac:dyDescent="0.25">
      <c r="D924" s="22"/>
      <c r="N924" s="6" t="str">
        <f>IFERROR(Tabela3[[#This Row],[Última revisão do bem]]+(VLOOKUP(Tabela3[[#This Row],[Categoria]],Cadastros!A:D,4,0)+365),"")</f>
        <v/>
      </c>
      <c r="O924" s="7" t="str">
        <f ca="1">IF(Tabela3[[#This Row],[Data da compra]]&gt;0,(TODAY()-Tabela3[[#This Row],[Data da compra]])/365,"")</f>
        <v/>
      </c>
      <c r="P924" s="7" t="str">
        <f>IFERROR(VLOOKUP(Tabela3[[#This Row],[Categoria]],Cadastros!A:C,3,0),"")</f>
        <v/>
      </c>
      <c r="Q924" s="9" t="str">
        <f ca="1">IFERROR(Tabela3[[#This Row],[Vida útil]]-Tabela3[[#This Row],[Idade]],"")</f>
        <v/>
      </c>
      <c r="R924" s="23" t="str">
        <f ca="1">IFERROR(Tabela3[[#This Row],[Valor]]-(Tabela3[[#This Row],[Valor]]*(Tabela3[[#This Row],[Idade]]*VLOOKUP(Tabela3[[#This Row],[Categoria]],Cadastros!A:B,2,0))),"")</f>
        <v/>
      </c>
    </row>
    <row r="925" spans="4:18" x14ac:dyDescent="0.25">
      <c r="D925" s="5"/>
      <c r="N925" s="6" t="str">
        <f>IFERROR(Tabela3[[#This Row],[Última revisão do bem]]+(VLOOKUP(Tabela3[[#This Row],[Categoria]],Cadastros!A:D,4,0)+365),"")</f>
        <v/>
      </c>
      <c r="O925" s="7" t="str">
        <f ca="1">IF(Tabela3[[#This Row],[Data da compra]]&gt;0,(TODAY()-Tabela3[[#This Row],[Data da compra]])/365,"")</f>
        <v/>
      </c>
      <c r="P925" s="7" t="str">
        <f>IFERROR(VLOOKUP(Tabela3[[#This Row],[Categoria]],Cadastros!A:C,3,0),"")</f>
        <v/>
      </c>
      <c r="Q925" s="9" t="str">
        <f ca="1">IFERROR(Tabela3[[#This Row],[Vida útil]]-Tabela3[[#This Row],[Idade]],"")</f>
        <v/>
      </c>
      <c r="R925" s="8" t="str">
        <f ca="1">IFERROR(Tabela3[[#This Row],[Valor]]-(Tabela3[[#This Row],[Valor]]*(Tabela3[[#This Row],[Idade]]*VLOOKUP(Tabela3[[#This Row],[Categoria]],Cadastros!A:B,2,0))),"")</f>
        <v/>
      </c>
    </row>
    <row r="926" spans="4:18" x14ac:dyDescent="0.25">
      <c r="D926" s="5"/>
      <c r="N926" s="6" t="str">
        <f>IFERROR(Tabela3[[#This Row],[Última revisão do bem]]+(VLOOKUP(Tabela3[[#This Row],[Categoria]],Cadastros!A:D,4,0)+365),"")</f>
        <v/>
      </c>
      <c r="O926" s="7" t="str">
        <f ca="1">IF(Tabela3[[#This Row],[Data da compra]]&gt;0,(TODAY()-Tabela3[[#This Row],[Data da compra]])/365,"")</f>
        <v/>
      </c>
      <c r="P926" s="7" t="str">
        <f>IFERROR(VLOOKUP(Tabela3[[#This Row],[Categoria]],Cadastros!A:C,3,0),"")</f>
        <v/>
      </c>
      <c r="Q926" s="9" t="str">
        <f ca="1">IFERROR(Tabela3[[#This Row],[Vida útil]]-Tabela3[[#This Row],[Idade]],"")</f>
        <v/>
      </c>
      <c r="R926" s="8" t="str">
        <f ca="1">IFERROR(Tabela3[[#This Row],[Valor]]-(Tabela3[[#This Row],[Valor]]*(Tabela3[[#This Row],[Idade]]*VLOOKUP(Tabela3[[#This Row],[Categoria]],Cadastros!A:B,2,0))),"")</f>
        <v/>
      </c>
    </row>
    <row r="927" spans="4:18" x14ac:dyDescent="0.25">
      <c r="D927" s="5"/>
      <c r="N927" s="6" t="str">
        <f>IFERROR(Tabela3[[#This Row],[Última revisão do bem]]+(VLOOKUP(Tabela3[[#This Row],[Categoria]],Cadastros!A:D,4,0)+365),"")</f>
        <v/>
      </c>
      <c r="O927" s="7" t="str">
        <f ca="1">IF(Tabela3[[#This Row],[Data da compra]]&gt;0,(TODAY()-Tabela3[[#This Row],[Data da compra]])/365,"")</f>
        <v/>
      </c>
      <c r="P927" s="7" t="str">
        <f>IFERROR(VLOOKUP(Tabela3[[#This Row],[Categoria]],Cadastros!A:C,3,0),"")</f>
        <v/>
      </c>
      <c r="Q927" s="9" t="str">
        <f ca="1">IFERROR(Tabela3[[#This Row],[Vida útil]]-Tabela3[[#This Row],[Idade]],"")</f>
        <v/>
      </c>
      <c r="R927" s="8" t="str">
        <f ca="1">IFERROR(Tabela3[[#This Row],[Valor]]-(Tabela3[[#This Row],[Valor]]*(Tabela3[[#This Row],[Idade]]*VLOOKUP(Tabela3[[#This Row],[Categoria]],Cadastros!A:B,2,0))),"")</f>
        <v/>
      </c>
    </row>
    <row r="928" spans="4:18" x14ac:dyDescent="0.25">
      <c r="D928" s="5"/>
      <c r="N928" s="6" t="str">
        <f>IFERROR(Tabela3[[#This Row],[Última revisão do bem]]+(VLOOKUP(Tabela3[[#This Row],[Categoria]],Cadastros!A:D,4,0)+365),"")</f>
        <v/>
      </c>
      <c r="O928" s="7" t="str">
        <f ca="1">IF(Tabela3[[#This Row],[Data da compra]]&gt;0,(TODAY()-Tabela3[[#This Row],[Data da compra]])/365,"")</f>
        <v/>
      </c>
      <c r="P928" s="7" t="str">
        <f>IFERROR(VLOOKUP(Tabela3[[#This Row],[Categoria]],Cadastros!A:C,3,0),"")</f>
        <v/>
      </c>
      <c r="Q928" s="9" t="str">
        <f ca="1">IFERROR(Tabela3[[#This Row],[Vida útil]]-Tabela3[[#This Row],[Idade]],"")</f>
        <v/>
      </c>
      <c r="R928" s="8" t="str">
        <f ca="1">IFERROR(Tabela3[[#This Row],[Valor]]-(Tabela3[[#This Row],[Valor]]*(Tabela3[[#This Row],[Idade]]*VLOOKUP(Tabela3[[#This Row],[Categoria]],Cadastros!A:B,2,0))),"")</f>
        <v/>
      </c>
    </row>
    <row r="929" spans="4:18" x14ac:dyDescent="0.25">
      <c r="D929" s="5"/>
      <c r="N929" s="6" t="str">
        <f>IFERROR(Tabela3[[#This Row],[Última revisão do bem]]+(VLOOKUP(Tabela3[[#This Row],[Categoria]],Cadastros!A:D,4,0)+365),"")</f>
        <v/>
      </c>
      <c r="O929" s="7" t="str">
        <f ca="1">IF(Tabela3[[#This Row],[Data da compra]]&gt;0,(TODAY()-Tabela3[[#This Row],[Data da compra]])/365,"")</f>
        <v/>
      </c>
      <c r="P929" s="7" t="str">
        <f>IFERROR(VLOOKUP(Tabela3[[#This Row],[Categoria]],Cadastros!A:C,3,0),"")</f>
        <v/>
      </c>
      <c r="Q929" s="9" t="str">
        <f ca="1">IFERROR(Tabela3[[#This Row],[Vida útil]]-Tabela3[[#This Row],[Idade]],"")</f>
        <v/>
      </c>
      <c r="R929" s="8" t="str">
        <f ca="1">IFERROR(Tabela3[[#This Row],[Valor]]-(Tabela3[[#This Row],[Valor]]*(Tabela3[[#This Row],[Idade]]*VLOOKUP(Tabela3[[#This Row],[Categoria]],Cadastros!A:B,2,0))),"")</f>
        <v/>
      </c>
    </row>
    <row r="930" spans="4:18" x14ac:dyDescent="0.25">
      <c r="D930" s="5"/>
      <c r="N930" s="6" t="str">
        <f>IFERROR(Tabela3[[#This Row],[Última revisão do bem]]+(VLOOKUP(Tabela3[[#This Row],[Categoria]],Cadastros!A:D,4,0)+365),"")</f>
        <v/>
      </c>
      <c r="O930" s="7" t="str">
        <f ca="1">IF(Tabela3[[#This Row],[Data da compra]]&gt;0,(TODAY()-Tabela3[[#This Row],[Data da compra]])/365,"")</f>
        <v/>
      </c>
      <c r="P930" s="7" t="str">
        <f>IFERROR(VLOOKUP(Tabela3[[#This Row],[Categoria]],Cadastros!A:C,3,0),"")</f>
        <v/>
      </c>
      <c r="Q930" s="9" t="str">
        <f ca="1">IFERROR(Tabela3[[#This Row],[Vida útil]]-Tabela3[[#This Row],[Idade]],"")</f>
        <v/>
      </c>
      <c r="R930" s="8" t="str">
        <f ca="1">IFERROR(Tabela3[[#This Row],[Valor]]-(Tabela3[[#This Row],[Valor]]*(Tabela3[[#This Row],[Idade]]*VLOOKUP(Tabela3[[#This Row],[Categoria]],Cadastros!A:B,2,0))),"")</f>
        <v/>
      </c>
    </row>
    <row r="931" spans="4:18" x14ac:dyDescent="0.25">
      <c r="D931" s="5"/>
      <c r="N931" s="6" t="str">
        <f>IFERROR(Tabela3[[#This Row],[Última revisão do bem]]+(VLOOKUP(Tabela3[[#This Row],[Categoria]],Cadastros!A:D,4,0)+365),"")</f>
        <v/>
      </c>
      <c r="O931" s="7" t="str">
        <f ca="1">IF(Tabela3[[#This Row],[Data da compra]]&gt;0,(TODAY()-Tabela3[[#This Row],[Data da compra]])/365,"")</f>
        <v/>
      </c>
      <c r="P931" s="7" t="str">
        <f>IFERROR(VLOOKUP(Tabela3[[#This Row],[Categoria]],Cadastros!A:C,3,0),"")</f>
        <v/>
      </c>
      <c r="Q931" s="9" t="str">
        <f ca="1">IFERROR(Tabela3[[#This Row],[Vida útil]]-Tabela3[[#This Row],[Idade]],"")</f>
        <v/>
      </c>
      <c r="R931" s="8" t="str">
        <f ca="1">IFERROR(Tabela3[[#This Row],[Valor]]-(Tabela3[[#This Row],[Valor]]*(Tabela3[[#This Row],[Idade]]*VLOOKUP(Tabela3[[#This Row],[Categoria]],Cadastros!A:B,2,0))),"")</f>
        <v/>
      </c>
    </row>
    <row r="932" spans="4:18" x14ac:dyDescent="0.25">
      <c r="D932" s="5"/>
      <c r="N932" s="6" t="str">
        <f>IFERROR(Tabela3[[#This Row],[Última revisão do bem]]+(VLOOKUP(Tabela3[[#This Row],[Categoria]],Cadastros!A:D,4,0)+365),"")</f>
        <v/>
      </c>
      <c r="O932" s="7" t="str">
        <f ca="1">IF(Tabela3[[#This Row],[Data da compra]]&gt;0,(TODAY()-Tabela3[[#This Row],[Data da compra]])/365,"")</f>
        <v/>
      </c>
      <c r="P932" s="7" t="str">
        <f>IFERROR(VLOOKUP(Tabela3[[#This Row],[Categoria]],Cadastros!A:C,3,0),"")</f>
        <v/>
      </c>
      <c r="Q932" s="9" t="str">
        <f ca="1">IFERROR(Tabela3[[#This Row],[Vida útil]]-Tabela3[[#This Row],[Idade]],"")</f>
        <v/>
      </c>
      <c r="R932" s="8" t="str">
        <f ca="1">IFERROR(Tabela3[[#This Row],[Valor]]-(Tabela3[[#This Row],[Valor]]*(Tabela3[[#This Row],[Idade]]*VLOOKUP(Tabela3[[#This Row],[Categoria]],Cadastros!A:B,2,0))),"")</f>
        <v/>
      </c>
    </row>
    <row r="933" spans="4:18" x14ac:dyDescent="0.25">
      <c r="D933" s="5"/>
      <c r="N933" s="6" t="str">
        <f>IFERROR(Tabela3[[#This Row],[Última revisão do bem]]+(VLOOKUP(Tabela3[[#This Row],[Categoria]],Cadastros!A:D,4,0)+365),"")</f>
        <v/>
      </c>
      <c r="O933" s="7" t="str">
        <f ca="1">IF(Tabela3[[#This Row],[Data da compra]]&gt;0,(TODAY()-Tabela3[[#This Row],[Data da compra]])/365,"")</f>
        <v/>
      </c>
      <c r="P933" s="7" t="str">
        <f>IFERROR(VLOOKUP(Tabela3[[#This Row],[Categoria]],Cadastros!A:C,3,0),"")</f>
        <v/>
      </c>
      <c r="Q933" s="9" t="str">
        <f ca="1">IFERROR(Tabela3[[#This Row],[Vida útil]]-Tabela3[[#This Row],[Idade]],"")</f>
        <v/>
      </c>
      <c r="R933" s="8" t="str">
        <f ca="1">IFERROR(Tabela3[[#This Row],[Valor]]-(Tabela3[[#This Row],[Valor]]*(Tabela3[[#This Row],[Idade]]*VLOOKUP(Tabela3[[#This Row],[Categoria]],Cadastros!A:B,2,0))),"")</f>
        <v/>
      </c>
    </row>
    <row r="934" spans="4:18" x14ac:dyDescent="0.25">
      <c r="D934" s="5"/>
      <c r="N934" s="6" t="str">
        <f>IFERROR(Tabela3[[#This Row],[Última revisão do bem]]+(VLOOKUP(Tabela3[[#This Row],[Categoria]],Cadastros!A:D,4,0)+365),"")</f>
        <v/>
      </c>
      <c r="O934" s="7" t="str">
        <f ca="1">IF(Tabela3[[#This Row],[Data da compra]]&gt;0,(TODAY()-Tabela3[[#This Row],[Data da compra]])/365,"")</f>
        <v/>
      </c>
      <c r="P934" s="7" t="str">
        <f>IFERROR(VLOOKUP(Tabela3[[#This Row],[Categoria]],Cadastros!A:C,3,0),"")</f>
        <v/>
      </c>
      <c r="Q934" s="9" t="str">
        <f ca="1">IFERROR(Tabela3[[#This Row],[Vida útil]]-Tabela3[[#This Row],[Idade]],"")</f>
        <v/>
      </c>
      <c r="R934" s="8" t="str">
        <f ca="1">IFERROR(Tabela3[[#This Row],[Valor]]-(Tabela3[[#This Row],[Valor]]*(Tabela3[[#This Row],[Idade]]*VLOOKUP(Tabela3[[#This Row],[Categoria]],Cadastros!A:B,2,0))),"")</f>
        <v/>
      </c>
    </row>
    <row r="935" spans="4:18" x14ac:dyDescent="0.25">
      <c r="D935" s="5"/>
      <c r="N935" s="6" t="str">
        <f>IFERROR(Tabela3[[#This Row],[Última revisão do bem]]+(VLOOKUP(Tabela3[[#This Row],[Categoria]],Cadastros!A:D,4,0)+365),"")</f>
        <v/>
      </c>
      <c r="O935" s="7" t="str">
        <f ca="1">IF(Tabela3[[#This Row],[Data da compra]]&gt;0,(TODAY()-Tabela3[[#This Row],[Data da compra]])/365,"")</f>
        <v/>
      </c>
      <c r="P935" s="7" t="str">
        <f>IFERROR(VLOOKUP(Tabela3[[#This Row],[Categoria]],Cadastros!A:C,3,0),"")</f>
        <v/>
      </c>
      <c r="Q935" s="9" t="str">
        <f ca="1">IFERROR(Tabela3[[#This Row],[Vida útil]]-Tabela3[[#This Row],[Idade]],"")</f>
        <v/>
      </c>
      <c r="R935" s="8" t="str">
        <f ca="1">IFERROR(Tabela3[[#This Row],[Valor]]-(Tabela3[[#This Row],[Valor]]*(Tabela3[[#This Row],[Idade]]*VLOOKUP(Tabela3[[#This Row],[Categoria]],Cadastros!A:B,2,0))),"")</f>
        <v/>
      </c>
    </row>
    <row r="936" spans="4:18" x14ac:dyDescent="0.25">
      <c r="D936" s="5"/>
      <c r="N936" s="6" t="str">
        <f>IFERROR(Tabela3[[#This Row],[Última revisão do bem]]+(VLOOKUP(Tabela3[[#This Row],[Categoria]],Cadastros!A:D,4,0)+365),"")</f>
        <v/>
      </c>
      <c r="O936" s="7" t="str">
        <f ca="1">IF(Tabela3[[#This Row],[Data da compra]]&gt;0,(TODAY()-Tabela3[[#This Row],[Data da compra]])/365,"")</f>
        <v/>
      </c>
      <c r="P936" s="7" t="str">
        <f>IFERROR(VLOOKUP(Tabela3[[#This Row],[Categoria]],Cadastros!A:C,3,0),"")</f>
        <v/>
      </c>
      <c r="Q936" s="9" t="str">
        <f ca="1">IFERROR(Tabela3[[#This Row],[Vida útil]]-Tabela3[[#This Row],[Idade]],"")</f>
        <v/>
      </c>
      <c r="R936" s="8" t="str">
        <f ca="1">IFERROR(Tabela3[[#This Row],[Valor]]-(Tabela3[[#This Row],[Valor]]*(Tabela3[[#This Row],[Idade]]*VLOOKUP(Tabela3[[#This Row],[Categoria]],Cadastros!A:B,2,0))),"")</f>
        <v/>
      </c>
    </row>
    <row r="937" spans="4:18" x14ac:dyDescent="0.25">
      <c r="D937" s="5"/>
      <c r="N937" s="6" t="str">
        <f>IFERROR(Tabela3[[#This Row],[Última revisão do bem]]+(VLOOKUP(Tabela3[[#This Row],[Categoria]],Cadastros!A:D,4,0)+365),"")</f>
        <v/>
      </c>
      <c r="O937" s="7" t="str">
        <f ca="1">IF(Tabela3[[#This Row],[Data da compra]]&gt;0,(TODAY()-Tabela3[[#This Row],[Data da compra]])/365,"")</f>
        <v/>
      </c>
      <c r="P937" s="7" t="str">
        <f>IFERROR(VLOOKUP(Tabela3[[#This Row],[Categoria]],Cadastros!A:C,3,0),"")</f>
        <v/>
      </c>
      <c r="Q937" s="9" t="str">
        <f ca="1">IFERROR(Tabela3[[#This Row],[Vida útil]]-Tabela3[[#This Row],[Idade]],"")</f>
        <v/>
      </c>
      <c r="R937" s="8" t="str">
        <f ca="1">IFERROR(Tabela3[[#This Row],[Valor]]-(Tabela3[[#This Row],[Valor]]*(Tabela3[[#This Row],[Idade]]*VLOOKUP(Tabela3[[#This Row],[Categoria]],Cadastros!A:B,2,0))),"")</f>
        <v/>
      </c>
    </row>
    <row r="938" spans="4:18" x14ac:dyDescent="0.25">
      <c r="D938" s="5"/>
      <c r="N938" s="6" t="str">
        <f>IFERROR(Tabela3[[#This Row],[Última revisão do bem]]+(VLOOKUP(Tabela3[[#This Row],[Categoria]],Cadastros!A:D,4,0)+365),"")</f>
        <v/>
      </c>
      <c r="O938" s="7" t="str">
        <f ca="1">IF(Tabela3[[#This Row],[Data da compra]]&gt;0,(TODAY()-Tabela3[[#This Row],[Data da compra]])/365,"")</f>
        <v/>
      </c>
      <c r="P938" s="7" t="str">
        <f>IFERROR(VLOOKUP(Tabela3[[#This Row],[Categoria]],Cadastros!A:C,3,0),"")</f>
        <v/>
      </c>
      <c r="Q938" s="9" t="str">
        <f ca="1">IFERROR(Tabela3[[#This Row],[Vida útil]]-Tabela3[[#This Row],[Idade]],"")</f>
        <v/>
      </c>
      <c r="R938" s="8" t="str">
        <f ca="1">IFERROR(Tabela3[[#This Row],[Valor]]-(Tabela3[[#This Row],[Valor]]*(Tabela3[[#This Row],[Idade]]*VLOOKUP(Tabela3[[#This Row],[Categoria]],Cadastros!A:B,2,0))),"")</f>
        <v/>
      </c>
    </row>
    <row r="939" spans="4:18" x14ac:dyDescent="0.25">
      <c r="D939" s="5"/>
      <c r="N939" s="6" t="str">
        <f>IFERROR(Tabela3[[#This Row],[Última revisão do bem]]+(VLOOKUP(Tabela3[[#This Row],[Categoria]],Cadastros!A:D,4,0)+365),"")</f>
        <v/>
      </c>
      <c r="O939" s="7" t="str">
        <f ca="1">IF(Tabela3[[#This Row],[Data da compra]]&gt;0,(TODAY()-Tabela3[[#This Row],[Data da compra]])/365,"")</f>
        <v/>
      </c>
      <c r="P939" s="7" t="str">
        <f>IFERROR(VLOOKUP(Tabela3[[#This Row],[Categoria]],Cadastros!A:C,3,0),"")</f>
        <v/>
      </c>
      <c r="Q939" s="9" t="str">
        <f ca="1">IFERROR(Tabela3[[#This Row],[Vida útil]]-Tabela3[[#This Row],[Idade]],"")</f>
        <v/>
      </c>
      <c r="R939" s="8" t="str">
        <f ca="1">IFERROR(Tabela3[[#This Row],[Valor]]-(Tabela3[[#This Row],[Valor]]*(Tabela3[[#This Row],[Idade]]*VLOOKUP(Tabela3[[#This Row],[Categoria]],Cadastros!A:B,2,0))),"")</f>
        <v/>
      </c>
    </row>
    <row r="940" spans="4:18" x14ac:dyDescent="0.25">
      <c r="D940" s="5"/>
      <c r="N940" s="6" t="str">
        <f>IFERROR(Tabela3[[#This Row],[Última revisão do bem]]+(VLOOKUP(Tabela3[[#This Row],[Categoria]],Cadastros!A:D,4,0)+365),"")</f>
        <v/>
      </c>
      <c r="O940" s="7" t="str">
        <f ca="1">IF(Tabela3[[#This Row],[Data da compra]]&gt;0,(TODAY()-Tabela3[[#This Row],[Data da compra]])/365,"")</f>
        <v/>
      </c>
      <c r="P940" s="7" t="str">
        <f>IFERROR(VLOOKUP(Tabela3[[#This Row],[Categoria]],Cadastros!A:C,3,0),"")</f>
        <v/>
      </c>
      <c r="Q940" s="9" t="str">
        <f ca="1">IFERROR(Tabela3[[#This Row],[Vida útil]]-Tabela3[[#This Row],[Idade]],"")</f>
        <v/>
      </c>
      <c r="R940" s="8" t="str">
        <f ca="1">IFERROR(Tabela3[[#This Row],[Valor]]-(Tabela3[[#This Row],[Valor]]*(Tabela3[[#This Row],[Idade]]*VLOOKUP(Tabela3[[#This Row],[Categoria]],Cadastros!A:B,2,0))),"")</f>
        <v/>
      </c>
    </row>
    <row r="941" spans="4:18" x14ac:dyDescent="0.25">
      <c r="D941" s="5"/>
      <c r="N941" s="6" t="str">
        <f>IFERROR(Tabela3[[#This Row],[Última revisão do bem]]+(VLOOKUP(Tabela3[[#This Row],[Categoria]],Cadastros!A:D,4,0)+365),"")</f>
        <v/>
      </c>
      <c r="O941" s="7" t="str">
        <f ca="1">IF(Tabela3[[#This Row],[Data da compra]]&gt;0,(TODAY()-Tabela3[[#This Row],[Data da compra]])/365,"")</f>
        <v/>
      </c>
      <c r="P941" s="7" t="str">
        <f>IFERROR(VLOOKUP(Tabela3[[#This Row],[Categoria]],Cadastros!A:C,3,0),"")</f>
        <v/>
      </c>
      <c r="Q941" s="9" t="str">
        <f ca="1">IFERROR(Tabela3[[#This Row],[Vida útil]]-Tabela3[[#This Row],[Idade]],"")</f>
        <v/>
      </c>
      <c r="R941" s="8" t="str">
        <f ca="1">IFERROR(Tabela3[[#This Row],[Valor]]-(Tabela3[[#This Row],[Valor]]*(Tabela3[[#This Row],[Idade]]*VLOOKUP(Tabela3[[#This Row],[Categoria]],Cadastros!A:B,2,0))),"")</f>
        <v/>
      </c>
    </row>
    <row r="942" spans="4:18" x14ac:dyDescent="0.25">
      <c r="D942" s="22"/>
      <c r="N942" s="6" t="str">
        <f>IFERROR(Tabela3[[#This Row],[Última revisão do bem]]+(VLOOKUP(Tabela3[[#This Row],[Categoria]],Cadastros!A:D,4,0)+365),"")</f>
        <v/>
      </c>
      <c r="O942" s="7" t="str">
        <f ca="1">IF(Tabela3[[#This Row],[Data da compra]]&gt;0,(TODAY()-Tabela3[[#This Row],[Data da compra]])/365,"")</f>
        <v/>
      </c>
      <c r="P942" s="7" t="str">
        <f>IFERROR(VLOOKUP(Tabela3[[#This Row],[Categoria]],Cadastros!A:C,3,0),"")</f>
        <v/>
      </c>
      <c r="Q942" s="9" t="str">
        <f ca="1">IFERROR(Tabela3[[#This Row],[Vida útil]]-Tabela3[[#This Row],[Idade]],"")</f>
        <v/>
      </c>
      <c r="R942" s="23" t="str">
        <f ca="1">IFERROR(Tabela3[[#This Row],[Valor]]-(Tabela3[[#This Row],[Valor]]*(Tabela3[[#This Row],[Idade]]*VLOOKUP(Tabela3[[#This Row],[Categoria]],Cadastros!A:B,2,0))),"")</f>
        <v/>
      </c>
    </row>
    <row r="943" spans="4:18" x14ac:dyDescent="0.25">
      <c r="D943" s="5"/>
      <c r="N943" s="6" t="str">
        <f>IFERROR(Tabela3[[#This Row],[Última revisão do bem]]+(VLOOKUP(Tabela3[[#This Row],[Categoria]],Cadastros!A:D,4,0)+365),"")</f>
        <v/>
      </c>
      <c r="O943" s="7" t="str">
        <f ca="1">IF(Tabela3[[#This Row],[Data da compra]]&gt;0,(TODAY()-Tabela3[[#This Row],[Data da compra]])/365,"")</f>
        <v/>
      </c>
      <c r="P943" s="7" t="str">
        <f>IFERROR(VLOOKUP(Tabela3[[#This Row],[Categoria]],Cadastros!A:C,3,0),"")</f>
        <v/>
      </c>
      <c r="Q943" s="9" t="str">
        <f ca="1">IFERROR(Tabela3[[#This Row],[Vida útil]]-Tabela3[[#This Row],[Idade]],"")</f>
        <v/>
      </c>
      <c r="R943" s="8" t="str">
        <f ca="1">IFERROR(Tabela3[[#This Row],[Valor]]-(Tabela3[[#This Row],[Valor]]*(Tabela3[[#This Row],[Idade]]*VLOOKUP(Tabela3[[#This Row],[Categoria]],Cadastros!A:B,2,0))),"")</f>
        <v/>
      </c>
    </row>
    <row r="944" spans="4:18" x14ac:dyDescent="0.25">
      <c r="D944" s="5"/>
      <c r="N944" s="6" t="str">
        <f>IFERROR(Tabela3[[#This Row],[Última revisão do bem]]+(VLOOKUP(Tabela3[[#This Row],[Categoria]],Cadastros!A:D,4,0)+365),"")</f>
        <v/>
      </c>
      <c r="O944" s="7" t="str">
        <f ca="1">IF(Tabela3[[#This Row],[Data da compra]]&gt;0,(TODAY()-Tabela3[[#This Row],[Data da compra]])/365,"")</f>
        <v/>
      </c>
      <c r="P944" s="7" t="str">
        <f>IFERROR(VLOOKUP(Tabela3[[#This Row],[Categoria]],Cadastros!A:C,3,0),"")</f>
        <v/>
      </c>
      <c r="Q944" s="9" t="str">
        <f ca="1">IFERROR(Tabela3[[#This Row],[Vida útil]]-Tabela3[[#This Row],[Idade]],"")</f>
        <v/>
      </c>
      <c r="R944" s="8" t="str">
        <f ca="1">IFERROR(Tabela3[[#This Row],[Valor]]-(Tabela3[[#This Row],[Valor]]*(Tabela3[[#This Row],[Idade]]*VLOOKUP(Tabela3[[#This Row],[Categoria]],Cadastros!A:B,2,0))),"")</f>
        <v/>
      </c>
    </row>
    <row r="945" spans="4:18" x14ac:dyDescent="0.25">
      <c r="D945" s="5"/>
      <c r="N945" s="6" t="str">
        <f>IFERROR(Tabela3[[#This Row],[Última revisão do bem]]+(VLOOKUP(Tabela3[[#This Row],[Categoria]],Cadastros!A:D,4,0)+365),"")</f>
        <v/>
      </c>
      <c r="O945" s="7" t="str">
        <f ca="1">IF(Tabela3[[#This Row],[Data da compra]]&gt;0,(TODAY()-Tabela3[[#This Row],[Data da compra]])/365,"")</f>
        <v/>
      </c>
      <c r="P945" s="7" t="str">
        <f>IFERROR(VLOOKUP(Tabela3[[#This Row],[Categoria]],Cadastros!A:C,3,0),"")</f>
        <v/>
      </c>
      <c r="Q945" s="9" t="str">
        <f ca="1">IFERROR(Tabela3[[#This Row],[Vida útil]]-Tabela3[[#This Row],[Idade]],"")</f>
        <v/>
      </c>
      <c r="R945" s="8" t="str">
        <f ca="1">IFERROR(Tabela3[[#This Row],[Valor]]-(Tabela3[[#This Row],[Valor]]*(Tabela3[[#This Row],[Idade]]*VLOOKUP(Tabela3[[#This Row],[Categoria]],Cadastros!A:B,2,0))),"")</f>
        <v/>
      </c>
    </row>
    <row r="946" spans="4:18" x14ac:dyDescent="0.25">
      <c r="D946" s="5"/>
      <c r="N946" s="6" t="str">
        <f>IFERROR(Tabela3[[#This Row],[Última revisão do bem]]+(VLOOKUP(Tabela3[[#This Row],[Categoria]],Cadastros!A:D,4,0)+365),"")</f>
        <v/>
      </c>
      <c r="O946" s="7" t="str">
        <f ca="1">IF(Tabela3[[#This Row],[Data da compra]]&gt;0,(TODAY()-Tabela3[[#This Row],[Data da compra]])/365,"")</f>
        <v/>
      </c>
      <c r="P946" s="7" t="str">
        <f>IFERROR(VLOOKUP(Tabela3[[#This Row],[Categoria]],Cadastros!A:C,3,0),"")</f>
        <v/>
      </c>
      <c r="Q946" s="9" t="str">
        <f ca="1">IFERROR(Tabela3[[#This Row],[Vida útil]]-Tabela3[[#This Row],[Idade]],"")</f>
        <v/>
      </c>
      <c r="R946" s="8" t="str">
        <f ca="1">IFERROR(Tabela3[[#This Row],[Valor]]-(Tabela3[[#This Row],[Valor]]*(Tabela3[[#This Row],[Idade]]*VLOOKUP(Tabela3[[#This Row],[Categoria]],Cadastros!A:B,2,0))),"")</f>
        <v/>
      </c>
    </row>
    <row r="947" spans="4:18" x14ac:dyDescent="0.25">
      <c r="D947" s="5"/>
      <c r="N947" s="6" t="str">
        <f>IFERROR(Tabela3[[#This Row],[Última revisão do bem]]+(VLOOKUP(Tabela3[[#This Row],[Categoria]],Cadastros!A:D,4,0)+365),"")</f>
        <v/>
      </c>
      <c r="O947" s="7" t="str">
        <f ca="1">IF(Tabela3[[#This Row],[Data da compra]]&gt;0,(TODAY()-Tabela3[[#This Row],[Data da compra]])/365,"")</f>
        <v/>
      </c>
      <c r="P947" s="7" t="str">
        <f>IFERROR(VLOOKUP(Tabela3[[#This Row],[Categoria]],Cadastros!A:C,3,0),"")</f>
        <v/>
      </c>
      <c r="Q947" s="9" t="str">
        <f ca="1">IFERROR(Tabela3[[#This Row],[Vida útil]]-Tabela3[[#This Row],[Idade]],"")</f>
        <v/>
      </c>
      <c r="R947" s="8" t="str">
        <f ca="1">IFERROR(Tabela3[[#This Row],[Valor]]-(Tabela3[[#This Row],[Valor]]*(Tabela3[[#This Row],[Idade]]*VLOOKUP(Tabela3[[#This Row],[Categoria]],Cadastros!A:B,2,0))),"")</f>
        <v/>
      </c>
    </row>
    <row r="948" spans="4:18" x14ac:dyDescent="0.25">
      <c r="D948" s="5"/>
      <c r="N948" s="6" t="str">
        <f>IFERROR(Tabela3[[#This Row],[Última revisão do bem]]+(VLOOKUP(Tabela3[[#This Row],[Categoria]],Cadastros!A:D,4,0)+365),"")</f>
        <v/>
      </c>
      <c r="O948" s="7" t="str">
        <f ca="1">IF(Tabela3[[#This Row],[Data da compra]]&gt;0,(TODAY()-Tabela3[[#This Row],[Data da compra]])/365,"")</f>
        <v/>
      </c>
      <c r="P948" s="7" t="str">
        <f>IFERROR(VLOOKUP(Tabela3[[#This Row],[Categoria]],Cadastros!A:C,3,0),"")</f>
        <v/>
      </c>
      <c r="Q948" s="9" t="str">
        <f ca="1">IFERROR(Tabela3[[#This Row],[Vida útil]]-Tabela3[[#This Row],[Idade]],"")</f>
        <v/>
      </c>
      <c r="R948" s="8" t="str">
        <f ca="1">IFERROR(Tabela3[[#This Row],[Valor]]-(Tabela3[[#This Row],[Valor]]*(Tabela3[[#This Row],[Idade]]*VLOOKUP(Tabela3[[#This Row],[Categoria]],Cadastros!A:B,2,0))),"")</f>
        <v/>
      </c>
    </row>
    <row r="949" spans="4:18" x14ac:dyDescent="0.25">
      <c r="D949" s="5"/>
      <c r="N949" s="6" t="str">
        <f>IFERROR(Tabela3[[#This Row],[Última revisão do bem]]+(VLOOKUP(Tabela3[[#This Row],[Categoria]],Cadastros!A:D,4,0)+365),"")</f>
        <v/>
      </c>
      <c r="O949" s="7" t="str">
        <f ca="1">IF(Tabela3[[#This Row],[Data da compra]]&gt;0,(TODAY()-Tabela3[[#This Row],[Data da compra]])/365,"")</f>
        <v/>
      </c>
      <c r="P949" s="7" t="str">
        <f>IFERROR(VLOOKUP(Tabela3[[#This Row],[Categoria]],Cadastros!A:C,3,0),"")</f>
        <v/>
      </c>
      <c r="Q949" s="9" t="str">
        <f ca="1">IFERROR(Tabela3[[#This Row],[Vida útil]]-Tabela3[[#This Row],[Idade]],"")</f>
        <v/>
      </c>
      <c r="R949" s="8" t="str">
        <f ca="1">IFERROR(Tabela3[[#This Row],[Valor]]-(Tabela3[[#This Row],[Valor]]*(Tabela3[[#This Row],[Idade]]*VLOOKUP(Tabela3[[#This Row],[Categoria]],Cadastros!A:B,2,0))),"")</f>
        <v/>
      </c>
    </row>
    <row r="950" spans="4:18" x14ac:dyDescent="0.25">
      <c r="D950" s="5"/>
      <c r="N950" s="6" t="str">
        <f>IFERROR(Tabela3[[#This Row],[Última revisão do bem]]+(VLOOKUP(Tabela3[[#This Row],[Categoria]],Cadastros!A:D,4,0)+365),"")</f>
        <v/>
      </c>
      <c r="O950" s="7" t="str">
        <f ca="1">IF(Tabela3[[#This Row],[Data da compra]]&gt;0,(TODAY()-Tabela3[[#This Row],[Data da compra]])/365,"")</f>
        <v/>
      </c>
      <c r="P950" s="7" t="str">
        <f>IFERROR(VLOOKUP(Tabela3[[#This Row],[Categoria]],Cadastros!A:C,3,0),"")</f>
        <v/>
      </c>
      <c r="Q950" s="9" t="str">
        <f ca="1">IFERROR(Tabela3[[#This Row],[Vida útil]]-Tabela3[[#This Row],[Idade]],"")</f>
        <v/>
      </c>
      <c r="R950" s="8" t="str">
        <f ca="1">IFERROR(Tabela3[[#This Row],[Valor]]-(Tabela3[[#This Row],[Valor]]*(Tabela3[[#This Row],[Idade]]*VLOOKUP(Tabela3[[#This Row],[Categoria]],Cadastros!A:B,2,0))),"")</f>
        <v/>
      </c>
    </row>
    <row r="951" spans="4:18" x14ac:dyDescent="0.25">
      <c r="D951" s="5"/>
      <c r="N951" s="6" t="str">
        <f>IFERROR(Tabela3[[#This Row],[Última revisão do bem]]+(VLOOKUP(Tabela3[[#This Row],[Categoria]],Cadastros!A:D,4,0)+365),"")</f>
        <v/>
      </c>
      <c r="O951" s="7" t="str">
        <f ca="1">IF(Tabela3[[#This Row],[Data da compra]]&gt;0,(TODAY()-Tabela3[[#This Row],[Data da compra]])/365,"")</f>
        <v/>
      </c>
      <c r="P951" s="7" t="str">
        <f>IFERROR(VLOOKUP(Tabela3[[#This Row],[Categoria]],Cadastros!A:C,3,0),"")</f>
        <v/>
      </c>
      <c r="Q951" s="9" t="str">
        <f ca="1">IFERROR(Tabela3[[#This Row],[Vida útil]]-Tabela3[[#This Row],[Idade]],"")</f>
        <v/>
      </c>
      <c r="R951" s="8" t="str">
        <f ca="1">IFERROR(Tabela3[[#This Row],[Valor]]-(Tabela3[[#This Row],[Valor]]*(Tabela3[[#This Row],[Idade]]*VLOOKUP(Tabela3[[#This Row],[Categoria]],Cadastros!A:B,2,0))),"")</f>
        <v/>
      </c>
    </row>
    <row r="952" spans="4:18" x14ac:dyDescent="0.25">
      <c r="D952" s="5"/>
      <c r="N952" s="6" t="str">
        <f>IFERROR(Tabela3[[#This Row],[Última revisão do bem]]+(VLOOKUP(Tabela3[[#This Row],[Categoria]],Cadastros!A:D,4,0)+365),"")</f>
        <v/>
      </c>
      <c r="O952" s="7" t="str">
        <f ca="1">IF(Tabela3[[#This Row],[Data da compra]]&gt;0,(TODAY()-Tabela3[[#This Row],[Data da compra]])/365,"")</f>
        <v/>
      </c>
      <c r="P952" s="7" t="str">
        <f>IFERROR(VLOOKUP(Tabela3[[#This Row],[Categoria]],Cadastros!A:C,3,0),"")</f>
        <v/>
      </c>
      <c r="Q952" s="9" t="str">
        <f ca="1">IFERROR(Tabela3[[#This Row],[Vida útil]]-Tabela3[[#This Row],[Idade]],"")</f>
        <v/>
      </c>
      <c r="R952" s="8" t="str">
        <f ca="1">IFERROR(Tabela3[[#This Row],[Valor]]-(Tabela3[[#This Row],[Valor]]*(Tabela3[[#This Row],[Idade]]*VLOOKUP(Tabela3[[#This Row],[Categoria]],Cadastros!A:B,2,0))),"")</f>
        <v/>
      </c>
    </row>
    <row r="953" spans="4:18" x14ac:dyDescent="0.25">
      <c r="D953" s="5"/>
      <c r="N953" s="6" t="str">
        <f>IFERROR(Tabela3[[#This Row],[Última revisão do bem]]+(VLOOKUP(Tabela3[[#This Row],[Categoria]],Cadastros!A:D,4,0)+365),"")</f>
        <v/>
      </c>
      <c r="O953" s="7" t="str">
        <f ca="1">IF(Tabela3[[#This Row],[Data da compra]]&gt;0,(TODAY()-Tabela3[[#This Row],[Data da compra]])/365,"")</f>
        <v/>
      </c>
      <c r="P953" s="7" t="str">
        <f>IFERROR(VLOOKUP(Tabela3[[#This Row],[Categoria]],Cadastros!A:C,3,0),"")</f>
        <v/>
      </c>
      <c r="Q953" s="9" t="str">
        <f ca="1">IFERROR(Tabela3[[#This Row],[Vida útil]]-Tabela3[[#This Row],[Idade]],"")</f>
        <v/>
      </c>
      <c r="R953" s="8" t="str">
        <f ca="1">IFERROR(Tabela3[[#This Row],[Valor]]-(Tabela3[[#This Row],[Valor]]*(Tabela3[[#This Row],[Idade]]*VLOOKUP(Tabela3[[#This Row],[Categoria]],Cadastros!A:B,2,0))),"")</f>
        <v/>
      </c>
    </row>
    <row r="954" spans="4:18" x14ac:dyDescent="0.25">
      <c r="D954" s="5"/>
      <c r="N954" s="6" t="str">
        <f>IFERROR(Tabela3[[#This Row],[Última revisão do bem]]+(VLOOKUP(Tabela3[[#This Row],[Categoria]],Cadastros!A:D,4,0)+365),"")</f>
        <v/>
      </c>
      <c r="O954" s="7" t="str">
        <f ca="1">IF(Tabela3[[#This Row],[Data da compra]]&gt;0,(TODAY()-Tabela3[[#This Row],[Data da compra]])/365,"")</f>
        <v/>
      </c>
      <c r="P954" s="7" t="str">
        <f>IFERROR(VLOOKUP(Tabela3[[#This Row],[Categoria]],Cadastros!A:C,3,0),"")</f>
        <v/>
      </c>
      <c r="Q954" s="9" t="str">
        <f ca="1">IFERROR(Tabela3[[#This Row],[Vida útil]]-Tabela3[[#This Row],[Idade]],"")</f>
        <v/>
      </c>
      <c r="R954" s="8" t="str">
        <f ca="1">IFERROR(Tabela3[[#This Row],[Valor]]-(Tabela3[[#This Row],[Valor]]*(Tabela3[[#This Row],[Idade]]*VLOOKUP(Tabela3[[#This Row],[Categoria]],Cadastros!A:B,2,0))),"")</f>
        <v/>
      </c>
    </row>
    <row r="955" spans="4:18" x14ac:dyDescent="0.25">
      <c r="D955" s="5"/>
      <c r="N955" s="6" t="str">
        <f>IFERROR(Tabela3[[#This Row],[Última revisão do bem]]+(VLOOKUP(Tabela3[[#This Row],[Categoria]],Cadastros!A:D,4,0)+365),"")</f>
        <v/>
      </c>
      <c r="O955" s="7" t="str">
        <f ca="1">IF(Tabela3[[#This Row],[Data da compra]]&gt;0,(TODAY()-Tabela3[[#This Row],[Data da compra]])/365,"")</f>
        <v/>
      </c>
      <c r="P955" s="7" t="str">
        <f>IFERROR(VLOOKUP(Tabela3[[#This Row],[Categoria]],Cadastros!A:C,3,0),"")</f>
        <v/>
      </c>
      <c r="Q955" s="9" t="str">
        <f ca="1">IFERROR(Tabela3[[#This Row],[Vida útil]]-Tabela3[[#This Row],[Idade]],"")</f>
        <v/>
      </c>
      <c r="R955" s="8" t="str">
        <f ca="1">IFERROR(Tabela3[[#This Row],[Valor]]-(Tabela3[[#This Row],[Valor]]*(Tabela3[[#This Row],[Idade]]*VLOOKUP(Tabela3[[#This Row],[Categoria]],Cadastros!A:B,2,0))),"")</f>
        <v/>
      </c>
    </row>
    <row r="956" spans="4:18" x14ac:dyDescent="0.25">
      <c r="D956" s="5"/>
      <c r="N956" s="6" t="str">
        <f>IFERROR(Tabela3[[#This Row],[Última revisão do bem]]+(VLOOKUP(Tabela3[[#This Row],[Categoria]],Cadastros!A:D,4,0)+365),"")</f>
        <v/>
      </c>
      <c r="O956" s="7" t="str">
        <f ca="1">IF(Tabela3[[#This Row],[Data da compra]]&gt;0,(TODAY()-Tabela3[[#This Row],[Data da compra]])/365,"")</f>
        <v/>
      </c>
      <c r="P956" s="7" t="str">
        <f>IFERROR(VLOOKUP(Tabela3[[#This Row],[Categoria]],Cadastros!A:C,3,0),"")</f>
        <v/>
      </c>
      <c r="Q956" s="9" t="str">
        <f ca="1">IFERROR(Tabela3[[#This Row],[Vida útil]]-Tabela3[[#This Row],[Idade]],"")</f>
        <v/>
      </c>
      <c r="R956" s="8" t="str">
        <f ca="1">IFERROR(Tabela3[[#This Row],[Valor]]-(Tabela3[[#This Row],[Valor]]*(Tabela3[[#This Row],[Idade]]*VLOOKUP(Tabela3[[#This Row],[Categoria]],Cadastros!A:B,2,0))),"")</f>
        <v/>
      </c>
    </row>
    <row r="957" spans="4:18" x14ac:dyDescent="0.25">
      <c r="D957" s="5"/>
      <c r="N957" s="6" t="str">
        <f>IFERROR(Tabela3[[#This Row],[Última revisão do bem]]+(VLOOKUP(Tabela3[[#This Row],[Categoria]],Cadastros!A:D,4,0)+365),"")</f>
        <v/>
      </c>
      <c r="O957" s="7" t="str">
        <f ca="1">IF(Tabela3[[#This Row],[Data da compra]]&gt;0,(TODAY()-Tabela3[[#This Row],[Data da compra]])/365,"")</f>
        <v/>
      </c>
      <c r="P957" s="7" t="str">
        <f>IFERROR(VLOOKUP(Tabela3[[#This Row],[Categoria]],Cadastros!A:C,3,0),"")</f>
        <v/>
      </c>
      <c r="Q957" s="9" t="str">
        <f ca="1">IFERROR(Tabela3[[#This Row],[Vida útil]]-Tabela3[[#This Row],[Idade]],"")</f>
        <v/>
      </c>
      <c r="R957" s="8" t="str">
        <f ca="1">IFERROR(Tabela3[[#This Row],[Valor]]-(Tabela3[[#This Row],[Valor]]*(Tabela3[[#This Row],[Idade]]*VLOOKUP(Tabela3[[#This Row],[Categoria]],Cadastros!A:B,2,0))),"")</f>
        <v/>
      </c>
    </row>
    <row r="958" spans="4:18" x14ac:dyDescent="0.25">
      <c r="D958" s="5"/>
      <c r="N958" s="6" t="str">
        <f>IFERROR(Tabela3[[#This Row],[Última revisão do bem]]+(VLOOKUP(Tabela3[[#This Row],[Categoria]],Cadastros!A:D,4,0)+365),"")</f>
        <v/>
      </c>
      <c r="O958" s="7" t="str">
        <f ca="1">IF(Tabela3[[#This Row],[Data da compra]]&gt;0,(TODAY()-Tabela3[[#This Row],[Data da compra]])/365,"")</f>
        <v/>
      </c>
      <c r="P958" s="7" t="str">
        <f>IFERROR(VLOOKUP(Tabela3[[#This Row],[Categoria]],Cadastros!A:C,3,0),"")</f>
        <v/>
      </c>
      <c r="Q958" s="9" t="str">
        <f ca="1">IFERROR(Tabela3[[#This Row],[Vida útil]]-Tabela3[[#This Row],[Idade]],"")</f>
        <v/>
      </c>
      <c r="R958" s="8" t="str">
        <f ca="1">IFERROR(Tabela3[[#This Row],[Valor]]-(Tabela3[[#This Row],[Valor]]*(Tabela3[[#This Row],[Idade]]*VLOOKUP(Tabela3[[#This Row],[Categoria]],Cadastros!A:B,2,0))),"")</f>
        <v/>
      </c>
    </row>
    <row r="959" spans="4:18" x14ac:dyDescent="0.25">
      <c r="D959" s="5"/>
      <c r="N959" s="6" t="str">
        <f>IFERROR(Tabela3[[#This Row],[Última revisão do bem]]+(VLOOKUP(Tabela3[[#This Row],[Categoria]],Cadastros!A:D,4,0)+365),"")</f>
        <v/>
      </c>
      <c r="O959" s="7" t="str">
        <f ca="1">IF(Tabela3[[#This Row],[Data da compra]]&gt;0,(TODAY()-Tabela3[[#This Row],[Data da compra]])/365,"")</f>
        <v/>
      </c>
      <c r="P959" s="7" t="str">
        <f>IFERROR(VLOOKUP(Tabela3[[#This Row],[Categoria]],Cadastros!A:C,3,0),"")</f>
        <v/>
      </c>
      <c r="Q959" s="9" t="str">
        <f ca="1">IFERROR(Tabela3[[#This Row],[Vida útil]]-Tabela3[[#This Row],[Idade]],"")</f>
        <v/>
      </c>
      <c r="R959" s="8" t="str">
        <f ca="1">IFERROR(Tabela3[[#This Row],[Valor]]-(Tabela3[[#This Row],[Valor]]*(Tabela3[[#This Row],[Idade]]*VLOOKUP(Tabela3[[#This Row],[Categoria]],Cadastros!A:B,2,0))),"")</f>
        <v/>
      </c>
    </row>
    <row r="960" spans="4:18" x14ac:dyDescent="0.25">
      <c r="D960" s="22"/>
      <c r="N960" s="6" t="str">
        <f>IFERROR(Tabela3[[#This Row],[Última revisão do bem]]+(VLOOKUP(Tabela3[[#This Row],[Categoria]],Cadastros!A:D,4,0)+365),"")</f>
        <v/>
      </c>
      <c r="O960" s="7" t="str">
        <f ca="1">IF(Tabela3[[#This Row],[Data da compra]]&gt;0,(TODAY()-Tabela3[[#This Row],[Data da compra]])/365,"")</f>
        <v/>
      </c>
      <c r="P960" s="7" t="str">
        <f>IFERROR(VLOOKUP(Tabela3[[#This Row],[Categoria]],Cadastros!A:C,3,0),"")</f>
        <v/>
      </c>
      <c r="Q960" s="9" t="str">
        <f ca="1">IFERROR(Tabela3[[#This Row],[Vida útil]]-Tabela3[[#This Row],[Idade]],"")</f>
        <v/>
      </c>
      <c r="R960" s="23" t="str">
        <f ca="1">IFERROR(Tabela3[[#This Row],[Valor]]-(Tabela3[[#This Row],[Valor]]*(Tabela3[[#This Row],[Idade]]*VLOOKUP(Tabela3[[#This Row],[Categoria]],Cadastros!A:B,2,0))),"")</f>
        <v/>
      </c>
    </row>
    <row r="961" spans="4:18" x14ac:dyDescent="0.25">
      <c r="D961" s="5"/>
      <c r="N961" s="6" t="str">
        <f>IFERROR(Tabela3[[#This Row],[Última revisão do bem]]+(VLOOKUP(Tabela3[[#This Row],[Categoria]],Cadastros!A:D,4,0)+365),"")</f>
        <v/>
      </c>
      <c r="O961" s="7" t="str">
        <f ca="1">IF(Tabela3[[#This Row],[Data da compra]]&gt;0,(TODAY()-Tabela3[[#This Row],[Data da compra]])/365,"")</f>
        <v/>
      </c>
      <c r="P961" s="7" t="str">
        <f>IFERROR(VLOOKUP(Tabela3[[#This Row],[Categoria]],Cadastros!A:C,3,0),"")</f>
        <v/>
      </c>
      <c r="Q961" s="9" t="str">
        <f ca="1">IFERROR(Tabela3[[#This Row],[Vida útil]]-Tabela3[[#This Row],[Idade]],"")</f>
        <v/>
      </c>
      <c r="R961" s="8" t="str">
        <f ca="1">IFERROR(Tabela3[[#This Row],[Valor]]-(Tabela3[[#This Row],[Valor]]*(Tabela3[[#This Row],[Idade]]*VLOOKUP(Tabela3[[#This Row],[Categoria]],Cadastros!A:B,2,0))),"")</f>
        <v/>
      </c>
    </row>
    <row r="962" spans="4:18" x14ac:dyDescent="0.25">
      <c r="D962" s="5"/>
      <c r="N962" s="6" t="str">
        <f>IFERROR(Tabela3[[#This Row],[Última revisão do bem]]+(VLOOKUP(Tabela3[[#This Row],[Categoria]],Cadastros!A:D,4,0)+365),"")</f>
        <v/>
      </c>
      <c r="O962" s="7" t="str">
        <f ca="1">IF(Tabela3[[#This Row],[Data da compra]]&gt;0,(TODAY()-Tabela3[[#This Row],[Data da compra]])/365,"")</f>
        <v/>
      </c>
      <c r="P962" s="7" t="str">
        <f>IFERROR(VLOOKUP(Tabela3[[#This Row],[Categoria]],Cadastros!A:C,3,0),"")</f>
        <v/>
      </c>
      <c r="Q962" s="9" t="str">
        <f ca="1">IFERROR(Tabela3[[#This Row],[Vida útil]]-Tabela3[[#This Row],[Idade]],"")</f>
        <v/>
      </c>
      <c r="R962" s="8" t="str">
        <f ca="1">IFERROR(Tabela3[[#This Row],[Valor]]-(Tabela3[[#This Row],[Valor]]*(Tabela3[[#This Row],[Idade]]*VLOOKUP(Tabela3[[#This Row],[Categoria]],Cadastros!A:B,2,0))),"")</f>
        <v/>
      </c>
    </row>
    <row r="963" spans="4:18" x14ac:dyDescent="0.25">
      <c r="D963" s="5"/>
      <c r="N963" s="6" t="str">
        <f>IFERROR(Tabela3[[#This Row],[Última revisão do bem]]+(VLOOKUP(Tabela3[[#This Row],[Categoria]],Cadastros!A:D,4,0)+365),"")</f>
        <v/>
      </c>
      <c r="O963" s="7" t="str">
        <f ca="1">IF(Tabela3[[#This Row],[Data da compra]]&gt;0,(TODAY()-Tabela3[[#This Row],[Data da compra]])/365,"")</f>
        <v/>
      </c>
      <c r="P963" s="7" t="str">
        <f>IFERROR(VLOOKUP(Tabela3[[#This Row],[Categoria]],Cadastros!A:C,3,0),"")</f>
        <v/>
      </c>
      <c r="Q963" s="9" t="str">
        <f ca="1">IFERROR(Tabela3[[#This Row],[Vida útil]]-Tabela3[[#This Row],[Idade]],"")</f>
        <v/>
      </c>
      <c r="R963" s="8" t="str">
        <f ca="1">IFERROR(Tabela3[[#This Row],[Valor]]-(Tabela3[[#This Row],[Valor]]*(Tabela3[[#This Row],[Idade]]*VLOOKUP(Tabela3[[#This Row],[Categoria]],Cadastros!A:B,2,0))),"")</f>
        <v/>
      </c>
    </row>
    <row r="964" spans="4:18" x14ac:dyDescent="0.25">
      <c r="D964" s="5"/>
      <c r="N964" s="6" t="str">
        <f>IFERROR(Tabela3[[#This Row],[Última revisão do bem]]+(VLOOKUP(Tabela3[[#This Row],[Categoria]],Cadastros!A:D,4,0)+365),"")</f>
        <v/>
      </c>
      <c r="O964" s="7" t="str">
        <f ca="1">IF(Tabela3[[#This Row],[Data da compra]]&gt;0,(TODAY()-Tabela3[[#This Row],[Data da compra]])/365,"")</f>
        <v/>
      </c>
      <c r="P964" s="7" t="str">
        <f>IFERROR(VLOOKUP(Tabela3[[#This Row],[Categoria]],Cadastros!A:C,3,0),"")</f>
        <v/>
      </c>
      <c r="Q964" s="9" t="str">
        <f ca="1">IFERROR(Tabela3[[#This Row],[Vida útil]]-Tabela3[[#This Row],[Idade]],"")</f>
        <v/>
      </c>
      <c r="R964" s="8" t="str">
        <f ca="1">IFERROR(Tabela3[[#This Row],[Valor]]-(Tabela3[[#This Row],[Valor]]*(Tabela3[[#This Row],[Idade]]*VLOOKUP(Tabela3[[#This Row],[Categoria]],Cadastros!A:B,2,0))),"")</f>
        <v/>
      </c>
    </row>
    <row r="965" spans="4:18" x14ac:dyDescent="0.25">
      <c r="D965" s="5"/>
      <c r="N965" s="6" t="str">
        <f>IFERROR(Tabela3[[#This Row],[Última revisão do bem]]+(VLOOKUP(Tabela3[[#This Row],[Categoria]],Cadastros!A:D,4,0)+365),"")</f>
        <v/>
      </c>
      <c r="O965" s="7" t="str">
        <f ca="1">IF(Tabela3[[#This Row],[Data da compra]]&gt;0,(TODAY()-Tabela3[[#This Row],[Data da compra]])/365,"")</f>
        <v/>
      </c>
      <c r="P965" s="7" t="str">
        <f>IFERROR(VLOOKUP(Tabela3[[#This Row],[Categoria]],Cadastros!A:C,3,0),"")</f>
        <v/>
      </c>
      <c r="Q965" s="9" t="str">
        <f ca="1">IFERROR(Tabela3[[#This Row],[Vida útil]]-Tabela3[[#This Row],[Idade]],"")</f>
        <v/>
      </c>
      <c r="R965" s="8" t="str">
        <f ca="1">IFERROR(Tabela3[[#This Row],[Valor]]-(Tabela3[[#This Row],[Valor]]*(Tabela3[[#This Row],[Idade]]*VLOOKUP(Tabela3[[#This Row],[Categoria]],Cadastros!A:B,2,0))),"")</f>
        <v/>
      </c>
    </row>
    <row r="966" spans="4:18" x14ac:dyDescent="0.25">
      <c r="D966" s="5"/>
      <c r="N966" s="6" t="str">
        <f>IFERROR(Tabela3[[#This Row],[Última revisão do bem]]+(VLOOKUP(Tabela3[[#This Row],[Categoria]],Cadastros!A:D,4,0)+365),"")</f>
        <v/>
      </c>
      <c r="O966" s="7" t="str">
        <f ca="1">IF(Tabela3[[#This Row],[Data da compra]]&gt;0,(TODAY()-Tabela3[[#This Row],[Data da compra]])/365,"")</f>
        <v/>
      </c>
      <c r="P966" s="7" t="str">
        <f>IFERROR(VLOOKUP(Tabela3[[#This Row],[Categoria]],Cadastros!A:C,3,0),"")</f>
        <v/>
      </c>
      <c r="Q966" s="9" t="str">
        <f ca="1">IFERROR(Tabela3[[#This Row],[Vida útil]]-Tabela3[[#This Row],[Idade]],"")</f>
        <v/>
      </c>
      <c r="R966" s="8" t="str">
        <f ca="1">IFERROR(Tabela3[[#This Row],[Valor]]-(Tabela3[[#This Row],[Valor]]*(Tabela3[[#This Row],[Idade]]*VLOOKUP(Tabela3[[#This Row],[Categoria]],Cadastros!A:B,2,0))),"")</f>
        <v/>
      </c>
    </row>
    <row r="967" spans="4:18" x14ac:dyDescent="0.25">
      <c r="D967" s="5"/>
      <c r="N967" s="6" t="str">
        <f>IFERROR(Tabela3[[#This Row],[Última revisão do bem]]+(VLOOKUP(Tabela3[[#This Row],[Categoria]],Cadastros!A:D,4,0)+365),"")</f>
        <v/>
      </c>
      <c r="O967" s="7" t="str">
        <f ca="1">IF(Tabela3[[#This Row],[Data da compra]]&gt;0,(TODAY()-Tabela3[[#This Row],[Data da compra]])/365,"")</f>
        <v/>
      </c>
      <c r="P967" s="7" t="str">
        <f>IFERROR(VLOOKUP(Tabela3[[#This Row],[Categoria]],Cadastros!A:C,3,0),"")</f>
        <v/>
      </c>
      <c r="Q967" s="9" t="str">
        <f ca="1">IFERROR(Tabela3[[#This Row],[Vida útil]]-Tabela3[[#This Row],[Idade]],"")</f>
        <v/>
      </c>
      <c r="R967" s="8" t="str">
        <f ca="1">IFERROR(Tabela3[[#This Row],[Valor]]-(Tabela3[[#This Row],[Valor]]*(Tabela3[[#This Row],[Idade]]*VLOOKUP(Tabela3[[#This Row],[Categoria]],Cadastros!A:B,2,0))),"")</f>
        <v/>
      </c>
    </row>
    <row r="968" spans="4:18" x14ac:dyDescent="0.25">
      <c r="D968" s="5"/>
      <c r="N968" s="6" t="str">
        <f>IFERROR(Tabela3[[#This Row],[Última revisão do bem]]+(VLOOKUP(Tabela3[[#This Row],[Categoria]],Cadastros!A:D,4,0)+365),"")</f>
        <v/>
      </c>
      <c r="O968" s="7" t="str">
        <f ca="1">IF(Tabela3[[#This Row],[Data da compra]]&gt;0,(TODAY()-Tabela3[[#This Row],[Data da compra]])/365,"")</f>
        <v/>
      </c>
      <c r="P968" s="7" t="str">
        <f>IFERROR(VLOOKUP(Tabela3[[#This Row],[Categoria]],Cadastros!A:C,3,0),"")</f>
        <v/>
      </c>
      <c r="Q968" s="9" t="str">
        <f ca="1">IFERROR(Tabela3[[#This Row],[Vida útil]]-Tabela3[[#This Row],[Idade]],"")</f>
        <v/>
      </c>
      <c r="R968" s="8" t="str">
        <f ca="1">IFERROR(Tabela3[[#This Row],[Valor]]-(Tabela3[[#This Row],[Valor]]*(Tabela3[[#This Row],[Idade]]*VLOOKUP(Tabela3[[#This Row],[Categoria]],Cadastros!A:B,2,0))),"")</f>
        <v/>
      </c>
    </row>
    <row r="969" spans="4:18" x14ac:dyDescent="0.25">
      <c r="D969" s="5"/>
      <c r="N969" s="6" t="str">
        <f>IFERROR(Tabela3[[#This Row],[Última revisão do bem]]+(VLOOKUP(Tabela3[[#This Row],[Categoria]],Cadastros!A:D,4,0)+365),"")</f>
        <v/>
      </c>
      <c r="O969" s="7" t="str">
        <f ca="1">IF(Tabela3[[#This Row],[Data da compra]]&gt;0,(TODAY()-Tabela3[[#This Row],[Data da compra]])/365,"")</f>
        <v/>
      </c>
      <c r="P969" s="7" t="str">
        <f>IFERROR(VLOOKUP(Tabela3[[#This Row],[Categoria]],Cadastros!A:C,3,0),"")</f>
        <v/>
      </c>
      <c r="Q969" s="9" t="str">
        <f ca="1">IFERROR(Tabela3[[#This Row],[Vida útil]]-Tabela3[[#This Row],[Idade]],"")</f>
        <v/>
      </c>
      <c r="R969" s="8" t="str">
        <f ca="1">IFERROR(Tabela3[[#This Row],[Valor]]-(Tabela3[[#This Row],[Valor]]*(Tabela3[[#This Row],[Idade]]*VLOOKUP(Tabela3[[#This Row],[Categoria]],Cadastros!A:B,2,0))),"")</f>
        <v/>
      </c>
    </row>
    <row r="970" spans="4:18" x14ac:dyDescent="0.25">
      <c r="D970" s="5"/>
      <c r="N970" s="6" t="str">
        <f>IFERROR(Tabela3[[#This Row],[Última revisão do bem]]+(VLOOKUP(Tabela3[[#This Row],[Categoria]],Cadastros!A:D,4,0)+365),"")</f>
        <v/>
      </c>
      <c r="O970" s="7" t="str">
        <f ca="1">IF(Tabela3[[#This Row],[Data da compra]]&gt;0,(TODAY()-Tabela3[[#This Row],[Data da compra]])/365,"")</f>
        <v/>
      </c>
      <c r="P970" s="7" t="str">
        <f>IFERROR(VLOOKUP(Tabela3[[#This Row],[Categoria]],Cadastros!A:C,3,0),"")</f>
        <v/>
      </c>
      <c r="Q970" s="9" t="str">
        <f ca="1">IFERROR(Tabela3[[#This Row],[Vida útil]]-Tabela3[[#This Row],[Idade]],"")</f>
        <v/>
      </c>
      <c r="R970" s="8" t="str">
        <f ca="1">IFERROR(Tabela3[[#This Row],[Valor]]-(Tabela3[[#This Row],[Valor]]*(Tabela3[[#This Row],[Idade]]*VLOOKUP(Tabela3[[#This Row],[Categoria]],Cadastros!A:B,2,0))),"")</f>
        <v/>
      </c>
    </row>
    <row r="971" spans="4:18" x14ac:dyDescent="0.25">
      <c r="D971" s="5"/>
      <c r="N971" s="6" t="str">
        <f>IFERROR(Tabela3[[#This Row],[Última revisão do bem]]+(VLOOKUP(Tabela3[[#This Row],[Categoria]],Cadastros!A:D,4,0)+365),"")</f>
        <v/>
      </c>
      <c r="O971" s="7" t="str">
        <f ca="1">IF(Tabela3[[#This Row],[Data da compra]]&gt;0,(TODAY()-Tabela3[[#This Row],[Data da compra]])/365,"")</f>
        <v/>
      </c>
      <c r="P971" s="7" t="str">
        <f>IFERROR(VLOOKUP(Tabela3[[#This Row],[Categoria]],Cadastros!A:C,3,0),"")</f>
        <v/>
      </c>
      <c r="Q971" s="9" t="str">
        <f ca="1">IFERROR(Tabela3[[#This Row],[Vida útil]]-Tabela3[[#This Row],[Idade]],"")</f>
        <v/>
      </c>
      <c r="R971" s="8" t="str">
        <f ca="1">IFERROR(Tabela3[[#This Row],[Valor]]-(Tabela3[[#This Row],[Valor]]*(Tabela3[[#This Row],[Idade]]*VLOOKUP(Tabela3[[#This Row],[Categoria]],Cadastros!A:B,2,0))),"")</f>
        <v/>
      </c>
    </row>
    <row r="972" spans="4:18" x14ac:dyDescent="0.25">
      <c r="D972" s="5"/>
      <c r="N972" s="6" t="str">
        <f>IFERROR(Tabela3[[#This Row],[Última revisão do bem]]+(VLOOKUP(Tabela3[[#This Row],[Categoria]],Cadastros!A:D,4,0)+365),"")</f>
        <v/>
      </c>
      <c r="O972" s="7" t="str">
        <f ca="1">IF(Tabela3[[#This Row],[Data da compra]]&gt;0,(TODAY()-Tabela3[[#This Row],[Data da compra]])/365,"")</f>
        <v/>
      </c>
      <c r="P972" s="7" t="str">
        <f>IFERROR(VLOOKUP(Tabela3[[#This Row],[Categoria]],Cadastros!A:C,3,0),"")</f>
        <v/>
      </c>
      <c r="Q972" s="9" t="str">
        <f ca="1">IFERROR(Tabela3[[#This Row],[Vida útil]]-Tabela3[[#This Row],[Idade]],"")</f>
        <v/>
      </c>
      <c r="R972" s="8" t="str">
        <f ca="1">IFERROR(Tabela3[[#This Row],[Valor]]-(Tabela3[[#This Row],[Valor]]*(Tabela3[[#This Row],[Idade]]*VLOOKUP(Tabela3[[#This Row],[Categoria]],Cadastros!A:B,2,0))),"")</f>
        <v/>
      </c>
    </row>
    <row r="973" spans="4:18" x14ac:dyDescent="0.25">
      <c r="D973" s="5"/>
      <c r="N973" s="6" t="str">
        <f>IFERROR(Tabela3[[#This Row],[Última revisão do bem]]+(VLOOKUP(Tabela3[[#This Row],[Categoria]],Cadastros!A:D,4,0)+365),"")</f>
        <v/>
      </c>
      <c r="O973" s="7" t="str">
        <f ca="1">IF(Tabela3[[#This Row],[Data da compra]]&gt;0,(TODAY()-Tabela3[[#This Row],[Data da compra]])/365,"")</f>
        <v/>
      </c>
      <c r="P973" s="7" t="str">
        <f>IFERROR(VLOOKUP(Tabela3[[#This Row],[Categoria]],Cadastros!A:C,3,0),"")</f>
        <v/>
      </c>
      <c r="Q973" s="9" t="str">
        <f ca="1">IFERROR(Tabela3[[#This Row],[Vida útil]]-Tabela3[[#This Row],[Idade]],"")</f>
        <v/>
      </c>
      <c r="R973" s="8" t="str">
        <f ca="1">IFERROR(Tabela3[[#This Row],[Valor]]-(Tabela3[[#This Row],[Valor]]*(Tabela3[[#This Row],[Idade]]*VLOOKUP(Tabela3[[#This Row],[Categoria]],Cadastros!A:B,2,0))),"")</f>
        <v/>
      </c>
    </row>
    <row r="974" spans="4:18" x14ac:dyDescent="0.25">
      <c r="D974" s="5"/>
      <c r="N974" s="6" t="str">
        <f>IFERROR(Tabela3[[#This Row],[Última revisão do bem]]+(VLOOKUP(Tabela3[[#This Row],[Categoria]],Cadastros!A:D,4,0)+365),"")</f>
        <v/>
      </c>
      <c r="O974" s="7" t="str">
        <f ca="1">IF(Tabela3[[#This Row],[Data da compra]]&gt;0,(TODAY()-Tabela3[[#This Row],[Data da compra]])/365,"")</f>
        <v/>
      </c>
      <c r="P974" s="7" t="str">
        <f>IFERROR(VLOOKUP(Tabela3[[#This Row],[Categoria]],Cadastros!A:C,3,0),"")</f>
        <v/>
      </c>
      <c r="Q974" s="9" t="str">
        <f ca="1">IFERROR(Tabela3[[#This Row],[Vida útil]]-Tabela3[[#This Row],[Idade]],"")</f>
        <v/>
      </c>
      <c r="R974" s="8" t="str">
        <f ca="1">IFERROR(Tabela3[[#This Row],[Valor]]-(Tabela3[[#This Row],[Valor]]*(Tabela3[[#This Row],[Idade]]*VLOOKUP(Tabela3[[#This Row],[Categoria]],Cadastros!A:B,2,0))),"")</f>
        <v/>
      </c>
    </row>
    <row r="975" spans="4:18" x14ac:dyDescent="0.25">
      <c r="D975" s="5"/>
      <c r="N975" s="6" t="str">
        <f>IFERROR(Tabela3[[#This Row],[Última revisão do bem]]+(VLOOKUP(Tabela3[[#This Row],[Categoria]],Cadastros!A:D,4,0)+365),"")</f>
        <v/>
      </c>
      <c r="O975" s="7" t="str">
        <f ca="1">IF(Tabela3[[#This Row],[Data da compra]]&gt;0,(TODAY()-Tabela3[[#This Row],[Data da compra]])/365,"")</f>
        <v/>
      </c>
      <c r="P975" s="7" t="str">
        <f>IFERROR(VLOOKUP(Tabela3[[#This Row],[Categoria]],Cadastros!A:C,3,0),"")</f>
        <v/>
      </c>
      <c r="Q975" s="9" t="str">
        <f ca="1">IFERROR(Tabela3[[#This Row],[Vida útil]]-Tabela3[[#This Row],[Idade]],"")</f>
        <v/>
      </c>
      <c r="R975" s="8" t="str">
        <f ca="1">IFERROR(Tabela3[[#This Row],[Valor]]-(Tabela3[[#This Row],[Valor]]*(Tabela3[[#This Row],[Idade]]*VLOOKUP(Tabela3[[#This Row],[Categoria]],Cadastros!A:B,2,0))),"")</f>
        <v/>
      </c>
    </row>
    <row r="976" spans="4:18" x14ac:dyDescent="0.25">
      <c r="D976" s="5"/>
      <c r="N976" s="6" t="str">
        <f>IFERROR(Tabela3[[#This Row],[Última revisão do bem]]+(VLOOKUP(Tabela3[[#This Row],[Categoria]],Cadastros!A:D,4,0)+365),"")</f>
        <v/>
      </c>
      <c r="O976" s="7" t="str">
        <f ca="1">IF(Tabela3[[#This Row],[Data da compra]]&gt;0,(TODAY()-Tabela3[[#This Row],[Data da compra]])/365,"")</f>
        <v/>
      </c>
      <c r="P976" s="7" t="str">
        <f>IFERROR(VLOOKUP(Tabela3[[#This Row],[Categoria]],Cadastros!A:C,3,0),"")</f>
        <v/>
      </c>
      <c r="Q976" s="9" t="str">
        <f ca="1">IFERROR(Tabela3[[#This Row],[Vida útil]]-Tabela3[[#This Row],[Idade]],"")</f>
        <v/>
      </c>
      <c r="R976" s="8" t="str">
        <f ca="1">IFERROR(Tabela3[[#This Row],[Valor]]-(Tabela3[[#This Row],[Valor]]*(Tabela3[[#This Row],[Idade]]*VLOOKUP(Tabela3[[#This Row],[Categoria]],Cadastros!A:B,2,0))),"")</f>
        <v/>
      </c>
    </row>
    <row r="977" spans="4:18" x14ac:dyDescent="0.25">
      <c r="D977" s="5"/>
      <c r="N977" s="6" t="str">
        <f>IFERROR(Tabela3[[#This Row],[Última revisão do bem]]+(VLOOKUP(Tabela3[[#This Row],[Categoria]],Cadastros!A:D,4,0)+365),"")</f>
        <v/>
      </c>
      <c r="O977" s="7" t="str">
        <f ca="1">IF(Tabela3[[#This Row],[Data da compra]]&gt;0,(TODAY()-Tabela3[[#This Row],[Data da compra]])/365,"")</f>
        <v/>
      </c>
      <c r="P977" s="7" t="str">
        <f>IFERROR(VLOOKUP(Tabela3[[#This Row],[Categoria]],Cadastros!A:C,3,0),"")</f>
        <v/>
      </c>
      <c r="Q977" s="9" t="str">
        <f ca="1">IFERROR(Tabela3[[#This Row],[Vida útil]]-Tabela3[[#This Row],[Idade]],"")</f>
        <v/>
      </c>
      <c r="R977" s="8" t="str">
        <f ca="1">IFERROR(Tabela3[[#This Row],[Valor]]-(Tabela3[[#This Row],[Valor]]*(Tabela3[[#This Row],[Idade]]*VLOOKUP(Tabela3[[#This Row],[Categoria]],Cadastros!A:B,2,0))),"")</f>
        <v/>
      </c>
    </row>
    <row r="978" spans="4:18" x14ac:dyDescent="0.25">
      <c r="D978" s="22"/>
      <c r="N978" s="6" t="str">
        <f>IFERROR(Tabela3[[#This Row],[Última revisão do bem]]+(VLOOKUP(Tabela3[[#This Row],[Categoria]],Cadastros!A:D,4,0)+365),"")</f>
        <v/>
      </c>
      <c r="O978" s="7" t="str">
        <f ca="1">IF(Tabela3[[#This Row],[Data da compra]]&gt;0,(TODAY()-Tabela3[[#This Row],[Data da compra]])/365,"")</f>
        <v/>
      </c>
      <c r="P978" s="7" t="str">
        <f>IFERROR(VLOOKUP(Tabela3[[#This Row],[Categoria]],Cadastros!A:C,3,0),"")</f>
        <v/>
      </c>
      <c r="Q978" s="9" t="str">
        <f ca="1">IFERROR(Tabela3[[#This Row],[Vida útil]]-Tabela3[[#This Row],[Idade]],"")</f>
        <v/>
      </c>
      <c r="R978" s="23" t="str">
        <f ca="1">IFERROR(Tabela3[[#This Row],[Valor]]-(Tabela3[[#This Row],[Valor]]*(Tabela3[[#This Row],[Idade]]*VLOOKUP(Tabela3[[#This Row],[Categoria]],Cadastros!A:B,2,0))),"")</f>
        <v/>
      </c>
    </row>
    <row r="979" spans="4:18" x14ac:dyDescent="0.25">
      <c r="D979" s="5"/>
      <c r="N979" s="6" t="str">
        <f>IFERROR(Tabela3[[#This Row],[Última revisão do bem]]+(VLOOKUP(Tabela3[[#This Row],[Categoria]],Cadastros!A:D,4,0)+365),"")</f>
        <v/>
      </c>
      <c r="O979" s="7" t="str">
        <f ca="1">IF(Tabela3[[#This Row],[Data da compra]]&gt;0,(TODAY()-Tabela3[[#This Row],[Data da compra]])/365,"")</f>
        <v/>
      </c>
      <c r="P979" s="7" t="str">
        <f>IFERROR(VLOOKUP(Tabela3[[#This Row],[Categoria]],Cadastros!A:C,3,0),"")</f>
        <v/>
      </c>
      <c r="Q979" s="9" t="str">
        <f ca="1">IFERROR(Tabela3[[#This Row],[Vida útil]]-Tabela3[[#This Row],[Idade]],"")</f>
        <v/>
      </c>
      <c r="R979" s="8" t="str">
        <f ca="1">IFERROR(Tabela3[[#This Row],[Valor]]-(Tabela3[[#This Row],[Valor]]*(Tabela3[[#This Row],[Idade]]*VLOOKUP(Tabela3[[#This Row],[Categoria]],Cadastros!A:B,2,0))),"")</f>
        <v/>
      </c>
    </row>
    <row r="980" spans="4:18" x14ac:dyDescent="0.25">
      <c r="D980" s="5"/>
      <c r="N980" s="6" t="str">
        <f>IFERROR(Tabela3[[#This Row],[Última revisão do bem]]+(VLOOKUP(Tabela3[[#This Row],[Categoria]],Cadastros!A:D,4,0)+365),"")</f>
        <v/>
      </c>
      <c r="O980" s="7" t="str">
        <f ca="1">IF(Tabela3[[#This Row],[Data da compra]]&gt;0,(TODAY()-Tabela3[[#This Row],[Data da compra]])/365,"")</f>
        <v/>
      </c>
      <c r="P980" s="7" t="str">
        <f>IFERROR(VLOOKUP(Tabela3[[#This Row],[Categoria]],Cadastros!A:C,3,0),"")</f>
        <v/>
      </c>
      <c r="Q980" s="9" t="str">
        <f ca="1">IFERROR(Tabela3[[#This Row],[Vida útil]]-Tabela3[[#This Row],[Idade]],"")</f>
        <v/>
      </c>
      <c r="R980" s="8" t="str">
        <f ca="1">IFERROR(Tabela3[[#This Row],[Valor]]-(Tabela3[[#This Row],[Valor]]*(Tabela3[[#This Row],[Idade]]*VLOOKUP(Tabela3[[#This Row],[Categoria]],Cadastros!A:B,2,0))),"")</f>
        <v/>
      </c>
    </row>
    <row r="981" spans="4:18" x14ac:dyDescent="0.25">
      <c r="D981" s="5"/>
      <c r="N981" s="6" t="str">
        <f>IFERROR(Tabela3[[#This Row],[Última revisão do bem]]+(VLOOKUP(Tabela3[[#This Row],[Categoria]],Cadastros!A:D,4,0)+365),"")</f>
        <v/>
      </c>
      <c r="O981" s="7" t="str">
        <f ca="1">IF(Tabela3[[#This Row],[Data da compra]]&gt;0,(TODAY()-Tabela3[[#This Row],[Data da compra]])/365,"")</f>
        <v/>
      </c>
      <c r="P981" s="7" t="str">
        <f>IFERROR(VLOOKUP(Tabela3[[#This Row],[Categoria]],Cadastros!A:C,3,0),"")</f>
        <v/>
      </c>
      <c r="Q981" s="9" t="str">
        <f ca="1">IFERROR(Tabela3[[#This Row],[Vida útil]]-Tabela3[[#This Row],[Idade]],"")</f>
        <v/>
      </c>
      <c r="R981" s="8" t="str">
        <f ca="1">IFERROR(Tabela3[[#This Row],[Valor]]-(Tabela3[[#This Row],[Valor]]*(Tabela3[[#This Row],[Idade]]*VLOOKUP(Tabela3[[#This Row],[Categoria]],Cadastros!A:B,2,0))),"")</f>
        <v/>
      </c>
    </row>
    <row r="982" spans="4:18" x14ac:dyDescent="0.25">
      <c r="D982" s="5"/>
      <c r="N982" s="6" t="str">
        <f>IFERROR(Tabela3[[#This Row],[Última revisão do bem]]+(VLOOKUP(Tabela3[[#This Row],[Categoria]],Cadastros!A:D,4,0)+365),"")</f>
        <v/>
      </c>
      <c r="O982" s="7" t="str">
        <f ca="1">IF(Tabela3[[#This Row],[Data da compra]]&gt;0,(TODAY()-Tabela3[[#This Row],[Data da compra]])/365,"")</f>
        <v/>
      </c>
      <c r="P982" s="7" t="str">
        <f>IFERROR(VLOOKUP(Tabela3[[#This Row],[Categoria]],Cadastros!A:C,3,0),"")</f>
        <v/>
      </c>
      <c r="Q982" s="9" t="str">
        <f ca="1">IFERROR(Tabela3[[#This Row],[Vida útil]]-Tabela3[[#This Row],[Idade]],"")</f>
        <v/>
      </c>
      <c r="R982" s="8" t="str">
        <f ca="1">IFERROR(Tabela3[[#This Row],[Valor]]-(Tabela3[[#This Row],[Valor]]*(Tabela3[[#This Row],[Idade]]*VLOOKUP(Tabela3[[#This Row],[Categoria]],Cadastros!A:B,2,0))),"")</f>
        <v/>
      </c>
    </row>
    <row r="983" spans="4:18" x14ac:dyDescent="0.25">
      <c r="D983" s="5"/>
      <c r="N983" s="6" t="str">
        <f>IFERROR(Tabela3[[#This Row],[Última revisão do bem]]+(VLOOKUP(Tabela3[[#This Row],[Categoria]],Cadastros!A:D,4,0)+365),"")</f>
        <v/>
      </c>
      <c r="O983" s="7" t="str">
        <f ca="1">IF(Tabela3[[#This Row],[Data da compra]]&gt;0,(TODAY()-Tabela3[[#This Row],[Data da compra]])/365,"")</f>
        <v/>
      </c>
      <c r="P983" s="7" t="str">
        <f>IFERROR(VLOOKUP(Tabela3[[#This Row],[Categoria]],Cadastros!A:C,3,0),"")</f>
        <v/>
      </c>
      <c r="Q983" s="9" t="str">
        <f ca="1">IFERROR(Tabela3[[#This Row],[Vida útil]]-Tabela3[[#This Row],[Idade]],"")</f>
        <v/>
      </c>
      <c r="R983" s="8" t="str">
        <f ca="1">IFERROR(Tabela3[[#This Row],[Valor]]-(Tabela3[[#This Row],[Valor]]*(Tabela3[[#This Row],[Idade]]*VLOOKUP(Tabela3[[#This Row],[Categoria]],Cadastros!A:B,2,0))),"")</f>
        <v/>
      </c>
    </row>
    <row r="984" spans="4:18" x14ac:dyDescent="0.25">
      <c r="D984" s="5"/>
      <c r="N984" s="6" t="str">
        <f>IFERROR(Tabela3[[#This Row],[Última revisão do bem]]+(VLOOKUP(Tabela3[[#This Row],[Categoria]],Cadastros!A:D,4,0)+365),"")</f>
        <v/>
      </c>
      <c r="O984" s="7" t="str">
        <f ca="1">IF(Tabela3[[#This Row],[Data da compra]]&gt;0,(TODAY()-Tabela3[[#This Row],[Data da compra]])/365,"")</f>
        <v/>
      </c>
      <c r="P984" s="7" t="str">
        <f>IFERROR(VLOOKUP(Tabela3[[#This Row],[Categoria]],Cadastros!A:C,3,0),"")</f>
        <v/>
      </c>
      <c r="Q984" s="9" t="str">
        <f ca="1">IFERROR(Tabela3[[#This Row],[Vida útil]]-Tabela3[[#This Row],[Idade]],"")</f>
        <v/>
      </c>
      <c r="R984" s="8" t="str">
        <f ca="1">IFERROR(Tabela3[[#This Row],[Valor]]-(Tabela3[[#This Row],[Valor]]*(Tabela3[[#This Row],[Idade]]*VLOOKUP(Tabela3[[#This Row],[Categoria]],Cadastros!A:B,2,0))),"")</f>
        <v/>
      </c>
    </row>
    <row r="985" spans="4:18" x14ac:dyDescent="0.25">
      <c r="D985" s="5"/>
      <c r="N985" s="6" t="str">
        <f>IFERROR(Tabela3[[#This Row],[Última revisão do bem]]+(VLOOKUP(Tabela3[[#This Row],[Categoria]],Cadastros!A:D,4,0)+365),"")</f>
        <v/>
      </c>
      <c r="O985" s="7" t="str">
        <f ca="1">IF(Tabela3[[#This Row],[Data da compra]]&gt;0,(TODAY()-Tabela3[[#This Row],[Data da compra]])/365,"")</f>
        <v/>
      </c>
      <c r="P985" s="7" t="str">
        <f>IFERROR(VLOOKUP(Tabela3[[#This Row],[Categoria]],Cadastros!A:C,3,0),"")</f>
        <v/>
      </c>
      <c r="Q985" s="9" t="str">
        <f ca="1">IFERROR(Tabela3[[#This Row],[Vida útil]]-Tabela3[[#This Row],[Idade]],"")</f>
        <v/>
      </c>
      <c r="R985" s="8" t="str">
        <f ca="1">IFERROR(Tabela3[[#This Row],[Valor]]-(Tabela3[[#This Row],[Valor]]*(Tabela3[[#This Row],[Idade]]*VLOOKUP(Tabela3[[#This Row],[Categoria]],Cadastros!A:B,2,0))),"")</f>
        <v/>
      </c>
    </row>
    <row r="986" spans="4:18" x14ac:dyDescent="0.25">
      <c r="D986" s="5"/>
      <c r="N986" s="6" t="str">
        <f>IFERROR(Tabela3[[#This Row],[Última revisão do bem]]+(VLOOKUP(Tabela3[[#This Row],[Categoria]],Cadastros!A:D,4,0)+365),"")</f>
        <v/>
      </c>
      <c r="O986" s="7" t="str">
        <f ca="1">IF(Tabela3[[#This Row],[Data da compra]]&gt;0,(TODAY()-Tabela3[[#This Row],[Data da compra]])/365,"")</f>
        <v/>
      </c>
      <c r="P986" s="7" t="str">
        <f>IFERROR(VLOOKUP(Tabela3[[#This Row],[Categoria]],Cadastros!A:C,3,0),"")</f>
        <v/>
      </c>
      <c r="Q986" s="9" t="str">
        <f ca="1">IFERROR(Tabela3[[#This Row],[Vida útil]]-Tabela3[[#This Row],[Idade]],"")</f>
        <v/>
      </c>
      <c r="R986" s="8" t="str">
        <f ca="1">IFERROR(Tabela3[[#This Row],[Valor]]-(Tabela3[[#This Row],[Valor]]*(Tabela3[[#This Row],[Idade]]*VLOOKUP(Tabela3[[#This Row],[Categoria]],Cadastros!A:B,2,0))),"")</f>
        <v/>
      </c>
    </row>
    <row r="987" spans="4:18" x14ac:dyDescent="0.25">
      <c r="D987" s="5"/>
      <c r="N987" s="6" t="str">
        <f>IFERROR(Tabela3[[#This Row],[Última revisão do bem]]+(VLOOKUP(Tabela3[[#This Row],[Categoria]],Cadastros!A:D,4,0)+365),"")</f>
        <v/>
      </c>
      <c r="O987" s="7" t="str">
        <f ca="1">IF(Tabela3[[#This Row],[Data da compra]]&gt;0,(TODAY()-Tabela3[[#This Row],[Data da compra]])/365,"")</f>
        <v/>
      </c>
      <c r="P987" s="7" t="str">
        <f>IFERROR(VLOOKUP(Tabela3[[#This Row],[Categoria]],Cadastros!A:C,3,0),"")</f>
        <v/>
      </c>
      <c r="Q987" s="9" t="str">
        <f ca="1">IFERROR(Tabela3[[#This Row],[Vida útil]]-Tabela3[[#This Row],[Idade]],"")</f>
        <v/>
      </c>
      <c r="R987" s="8" t="str">
        <f ca="1">IFERROR(Tabela3[[#This Row],[Valor]]-(Tabela3[[#This Row],[Valor]]*(Tabela3[[#This Row],[Idade]]*VLOOKUP(Tabela3[[#This Row],[Categoria]],Cadastros!A:B,2,0))),"")</f>
        <v/>
      </c>
    </row>
    <row r="988" spans="4:18" x14ac:dyDescent="0.25">
      <c r="D988" s="5"/>
      <c r="N988" s="6" t="str">
        <f>IFERROR(Tabela3[[#This Row],[Última revisão do bem]]+(VLOOKUP(Tabela3[[#This Row],[Categoria]],Cadastros!A:D,4,0)+365),"")</f>
        <v/>
      </c>
      <c r="O988" s="7" t="str">
        <f ca="1">IF(Tabela3[[#This Row],[Data da compra]]&gt;0,(TODAY()-Tabela3[[#This Row],[Data da compra]])/365,"")</f>
        <v/>
      </c>
      <c r="P988" s="7" t="str">
        <f>IFERROR(VLOOKUP(Tabela3[[#This Row],[Categoria]],Cadastros!A:C,3,0),"")</f>
        <v/>
      </c>
      <c r="Q988" s="9" t="str">
        <f ca="1">IFERROR(Tabela3[[#This Row],[Vida útil]]-Tabela3[[#This Row],[Idade]],"")</f>
        <v/>
      </c>
      <c r="R988" s="8" t="str">
        <f ca="1">IFERROR(Tabela3[[#This Row],[Valor]]-(Tabela3[[#This Row],[Valor]]*(Tabela3[[#This Row],[Idade]]*VLOOKUP(Tabela3[[#This Row],[Categoria]],Cadastros!A:B,2,0))),"")</f>
        <v/>
      </c>
    </row>
    <row r="989" spans="4:18" x14ac:dyDescent="0.25">
      <c r="D989" s="5"/>
      <c r="N989" s="6" t="str">
        <f>IFERROR(Tabela3[[#This Row],[Última revisão do bem]]+(VLOOKUP(Tabela3[[#This Row],[Categoria]],Cadastros!A:D,4,0)+365),"")</f>
        <v/>
      </c>
      <c r="O989" s="7" t="str">
        <f ca="1">IF(Tabela3[[#This Row],[Data da compra]]&gt;0,(TODAY()-Tabela3[[#This Row],[Data da compra]])/365,"")</f>
        <v/>
      </c>
      <c r="P989" s="7" t="str">
        <f>IFERROR(VLOOKUP(Tabela3[[#This Row],[Categoria]],Cadastros!A:C,3,0),"")</f>
        <v/>
      </c>
      <c r="Q989" s="9" t="str">
        <f ca="1">IFERROR(Tabela3[[#This Row],[Vida útil]]-Tabela3[[#This Row],[Idade]],"")</f>
        <v/>
      </c>
      <c r="R989" s="8" t="str">
        <f ca="1">IFERROR(Tabela3[[#This Row],[Valor]]-(Tabela3[[#This Row],[Valor]]*(Tabela3[[#This Row],[Idade]]*VLOOKUP(Tabela3[[#This Row],[Categoria]],Cadastros!A:B,2,0))),"")</f>
        <v/>
      </c>
    </row>
    <row r="990" spans="4:18" x14ac:dyDescent="0.25">
      <c r="D990" s="5"/>
      <c r="N990" s="6" t="str">
        <f>IFERROR(Tabela3[[#This Row],[Última revisão do bem]]+(VLOOKUP(Tabela3[[#This Row],[Categoria]],Cadastros!A:D,4,0)+365),"")</f>
        <v/>
      </c>
      <c r="O990" s="7" t="str">
        <f ca="1">IF(Tabela3[[#This Row],[Data da compra]]&gt;0,(TODAY()-Tabela3[[#This Row],[Data da compra]])/365,"")</f>
        <v/>
      </c>
      <c r="P990" s="7" t="str">
        <f>IFERROR(VLOOKUP(Tabela3[[#This Row],[Categoria]],Cadastros!A:C,3,0),"")</f>
        <v/>
      </c>
      <c r="Q990" s="9" t="str">
        <f ca="1">IFERROR(Tabela3[[#This Row],[Vida útil]]-Tabela3[[#This Row],[Idade]],"")</f>
        <v/>
      </c>
      <c r="R990" s="8" t="str">
        <f ca="1">IFERROR(Tabela3[[#This Row],[Valor]]-(Tabela3[[#This Row],[Valor]]*(Tabela3[[#This Row],[Idade]]*VLOOKUP(Tabela3[[#This Row],[Categoria]],Cadastros!A:B,2,0))),"")</f>
        <v/>
      </c>
    </row>
    <row r="991" spans="4:18" x14ac:dyDescent="0.25">
      <c r="D991" s="5"/>
      <c r="N991" s="6" t="str">
        <f>IFERROR(Tabela3[[#This Row],[Última revisão do bem]]+(VLOOKUP(Tabela3[[#This Row],[Categoria]],Cadastros!A:D,4,0)+365),"")</f>
        <v/>
      </c>
      <c r="O991" s="7" t="str">
        <f ca="1">IF(Tabela3[[#This Row],[Data da compra]]&gt;0,(TODAY()-Tabela3[[#This Row],[Data da compra]])/365,"")</f>
        <v/>
      </c>
      <c r="P991" s="7" t="str">
        <f>IFERROR(VLOOKUP(Tabela3[[#This Row],[Categoria]],Cadastros!A:C,3,0),"")</f>
        <v/>
      </c>
      <c r="Q991" s="9" t="str">
        <f ca="1">IFERROR(Tabela3[[#This Row],[Vida útil]]-Tabela3[[#This Row],[Idade]],"")</f>
        <v/>
      </c>
      <c r="R991" s="8" t="str">
        <f ca="1">IFERROR(Tabela3[[#This Row],[Valor]]-(Tabela3[[#This Row],[Valor]]*(Tabela3[[#This Row],[Idade]]*VLOOKUP(Tabela3[[#This Row],[Categoria]],Cadastros!A:B,2,0))),"")</f>
        <v/>
      </c>
    </row>
    <row r="992" spans="4:18" x14ac:dyDescent="0.25">
      <c r="D992" s="5"/>
      <c r="N992" s="6" t="str">
        <f>IFERROR(Tabela3[[#This Row],[Última revisão do bem]]+(VLOOKUP(Tabela3[[#This Row],[Categoria]],Cadastros!A:D,4,0)+365),"")</f>
        <v/>
      </c>
      <c r="O992" s="7" t="str">
        <f ca="1">IF(Tabela3[[#This Row],[Data da compra]]&gt;0,(TODAY()-Tabela3[[#This Row],[Data da compra]])/365,"")</f>
        <v/>
      </c>
      <c r="P992" s="7" t="str">
        <f>IFERROR(VLOOKUP(Tabela3[[#This Row],[Categoria]],Cadastros!A:C,3,0),"")</f>
        <v/>
      </c>
      <c r="Q992" s="9" t="str">
        <f ca="1">IFERROR(Tabela3[[#This Row],[Vida útil]]-Tabela3[[#This Row],[Idade]],"")</f>
        <v/>
      </c>
      <c r="R992" s="8" t="str">
        <f ca="1">IFERROR(Tabela3[[#This Row],[Valor]]-(Tabela3[[#This Row],[Valor]]*(Tabela3[[#This Row],[Idade]]*VLOOKUP(Tabela3[[#This Row],[Categoria]],Cadastros!A:B,2,0))),"")</f>
        <v/>
      </c>
    </row>
    <row r="993" spans="4:18" x14ac:dyDescent="0.25">
      <c r="D993" s="5"/>
      <c r="N993" s="6" t="str">
        <f>IFERROR(Tabela3[[#This Row],[Última revisão do bem]]+(VLOOKUP(Tabela3[[#This Row],[Categoria]],Cadastros!A:D,4,0)+365),"")</f>
        <v/>
      </c>
      <c r="O993" s="7" t="str">
        <f ca="1">IF(Tabela3[[#This Row],[Data da compra]]&gt;0,(TODAY()-Tabela3[[#This Row],[Data da compra]])/365,"")</f>
        <v/>
      </c>
      <c r="P993" s="7" t="str">
        <f>IFERROR(VLOOKUP(Tabela3[[#This Row],[Categoria]],Cadastros!A:C,3,0),"")</f>
        <v/>
      </c>
      <c r="Q993" s="9" t="str">
        <f ca="1">IFERROR(Tabela3[[#This Row],[Vida útil]]-Tabela3[[#This Row],[Idade]],"")</f>
        <v/>
      </c>
      <c r="R993" s="8" t="str">
        <f ca="1">IFERROR(Tabela3[[#This Row],[Valor]]-(Tabela3[[#This Row],[Valor]]*(Tabela3[[#This Row],[Idade]]*VLOOKUP(Tabela3[[#This Row],[Categoria]],Cadastros!A:B,2,0))),"")</f>
        <v/>
      </c>
    </row>
    <row r="994" spans="4:18" x14ac:dyDescent="0.25">
      <c r="D994" s="5"/>
      <c r="N994" s="6" t="str">
        <f>IFERROR(Tabela3[[#This Row],[Última revisão do bem]]+(VLOOKUP(Tabela3[[#This Row],[Categoria]],Cadastros!A:D,4,0)+365),"")</f>
        <v/>
      </c>
      <c r="O994" s="7" t="str">
        <f ca="1">IF(Tabela3[[#This Row],[Data da compra]]&gt;0,(TODAY()-Tabela3[[#This Row],[Data da compra]])/365,"")</f>
        <v/>
      </c>
      <c r="P994" s="7" t="str">
        <f>IFERROR(VLOOKUP(Tabela3[[#This Row],[Categoria]],Cadastros!A:C,3,0),"")</f>
        <v/>
      </c>
      <c r="Q994" s="9" t="str">
        <f ca="1">IFERROR(Tabela3[[#This Row],[Vida útil]]-Tabela3[[#This Row],[Idade]],"")</f>
        <v/>
      </c>
      <c r="R994" s="8" t="str">
        <f ca="1">IFERROR(Tabela3[[#This Row],[Valor]]-(Tabela3[[#This Row],[Valor]]*(Tabela3[[#This Row],[Idade]]*VLOOKUP(Tabela3[[#This Row],[Categoria]],Cadastros!A:B,2,0))),"")</f>
        <v/>
      </c>
    </row>
    <row r="995" spans="4:18" x14ac:dyDescent="0.25">
      <c r="D995" s="5"/>
      <c r="N995" s="6" t="str">
        <f>IFERROR(Tabela3[[#This Row],[Última revisão do bem]]+(VLOOKUP(Tabela3[[#This Row],[Categoria]],Cadastros!A:D,4,0)+365),"")</f>
        <v/>
      </c>
      <c r="O995" s="7" t="str">
        <f ca="1">IF(Tabela3[[#This Row],[Data da compra]]&gt;0,(TODAY()-Tabela3[[#This Row],[Data da compra]])/365,"")</f>
        <v/>
      </c>
      <c r="P995" s="7" t="str">
        <f>IFERROR(VLOOKUP(Tabela3[[#This Row],[Categoria]],Cadastros!A:C,3,0),"")</f>
        <v/>
      </c>
      <c r="Q995" s="9" t="str">
        <f ca="1">IFERROR(Tabela3[[#This Row],[Vida útil]]-Tabela3[[#This Row],[Idade]],"")</f>
        <v/>
      </c>
      <c r="R995" s="8" t="str">
        <f ca="1">IFERROR(Tabela3[[#This Row],[Valor]]-(Tabela3[[#This Row],[Valor]]*(Tabela3[[#This Row],[Idade]]*VLOOKUP(Tabela3[[#This Row],[Categoria]],Cadastros!A:B,2,0))),"")</f>
        <v/>
      </c>
    </row>
    <row r="996" spans="4:18" x14ac:dyDescent="0.25">
      <c r="D996" s="22"/>
      <c r="N996" s="6" t="str">
        <f>IFERROR(Tabela3[[#This Row],[Última revisão do bem]]+(VLOOKUP(Tabela3[[#This Row],[Categoria]],Cadastros!A:D,4,0)+365),"")</f>
        <v/>
      </c>
      <c r="O996" s="7" t="str">
        <f ca="1">IF(Tabela3[[#This Row],[Data da compra]]&gt;0,(TODAY()-Tabela3[[#This Row],[Data da compra]])/365,"")</f>
        <v/>
      </c>
      <c r="P996" s="7" t="str">
        <f>IFERROR(VLOOKUP(Tabela3[[#This Row],[Categoria]],Cadastros!A:C,3,0),"")</f>
        <v/>
      </c>
      <c r="Q996" s="9" t="str">
        <f ca="1">IFERROR(Tabela3[[#This Row],[Vida útil]]-Tabela3[[#This Row],[Idade]],"")</f>
        <v/>
      </c>
      <c r="R996" s="23" t="str">
        <f ca="1">IFERROR(Tabela3[[#This Row],[Valor]]-(Tabela3[[#This Row],[Valor]]*(Tabela3[[#This Row],[Idade]]*VLOOKUP(Tabela3[[#This Row],[Categoria]],Cadastros!A:B,2,0))),"")</f>
        <v/>
      </c>
    </row>
    <row r="997" spans="4:18" x14ac:dyDescent="0.25">
      <c r="D997" s="5"/>
      <c r="N997" s="6" t="str">
        <f>IFERROR(Tabela3[[#This Row],[Última revisão do bem]]+(VLOOKUP(Tabela3[[#This Row],[Categoria]],Cadastros!A:D,4,0)+365),"")</f>
        <v/>
      </c>
      <c r="O997" s="7" t="str">
        <f ca="1">IF(Tabela3[[#This Row],[Data da compra]]&gt;0,(TODAY()-Tabela3[[#This Row],[Data da compra]])/365,"")</f>
        <v/>
      </c>
      <c r="P997" s="7" t="str">
        <f>IFERROR(VLOOKUP(Tabela3[[#This Row],[Categoria]],Cadastros!A:C,3,0),"")</f>
        <v/>
      </c>
      <c r="Q997" s="9" t="str">
        <f ca="1">IFERROR(Tabela3[[#This Row],[Vida útil]]-Tabela3[[#This Row],[Idade]],"")</f>
        <v/>
      </c>
      <c r="R997" s="8" t="str">
        <f ca="1">IFERROR(Tabela3[[#This Row],[Valor]]-(Tabela3[[#This Row],[Valor]]*(Tabela3[[#This Row],[Idade]]*VLOOKUP(Tabela3[[#This Row],[Categoria]],Cadastros!A:B,2,0))),"")</f>
        <v/>
      </c>
    </row>
    <row r="998" spans="4:18" x14ac:dyDescent="0.25">
      <c r="D998" s="5"/>
      <c r="N998" s="6" t="str">
        <f>IFERROR(Tabela3[[#This Row],[Última revisão do bem]]+(VLOOKUP(Tabela3[[#This Row],[Categoria]],Cadastros!A:D,4,0)+365),"")</f>
        <v/>
      </c>
      <c r="O998" s="7" t="str">
        <f ca="1">IF(Tabela3[[#This Row],[Data da compra]]&gt;0,(TODAY()-Tabela3[[#This Row],[Data da compra]])/365,"")</f>
        <v/>
      </c>
      <c r="P998" s="7" t="str">
        <f>IFERROR(VLOOKUP(Tabela3[[#This Row],[Categoria]],Cadastros!A:C,3,0),"")</f>
        <v/>
      </c>
      <c r="Q998" s="9" t="str">
        <f ca="1">IFERROR(Tabela3[[#This Row],[Vida útil]]-Tabela3[[#This Row],[Idade]],"")</f>
        <v/>
      </c>
      <c r="R998" s="8" t="str">
        <f ca="1">IFERROR(Tabela3[[#This Row],[Valor]]-(Tabela3[[#This Row],[Valor]]*(Tabela3[[#This Row],[Idade]]*VLOOKUP(Tabela3[[#This Row],[Categoria]],Cadastros!A:B,2,0))),"")</f>
        <v/>
      </c>
    </row>
    <row r="999" spans="4:18" x14ac:dyDescent="0.25">
      <c r="D999" s="5"/>
      <c r="N999" s="6" t="str">
        <f>IFERROR(Tabela3[[#This Row],[Última revisão do bem]]+(VLOOKUP(Tabela3[[#This Row],[Categoria]],Cadastros!A:D,4,0)+365),"")</f>
        <v/>
      </c>
      <c r="O999" s="7" t="str">
        <f ca="1">IF(Tabela3[[#This Row],[Data da compra]]&gt;0,(TODAY()-Tabela3[[#This Row],[Data da compra]])/365,"")</f>
        <v/>
      </c>
      <c r="P999" s="7" t="str">
        <f>IFERROR(VLOOKUP(Tabela3[[#This Row],[Categoria]],Cadastros!A:C,3,0),"")</f>
        <v/>
      </c>
      <c r="Q999" s="9" t="str">
        <f ca="1">IFERROR(Tabela3[[#This Row],[Vida útil]]-Tabela3[[#This Row],[Idade]],"")</f>
        <v/>
      </c>
      <c r="R999" s="8" t="str">
        <f ca="1">IFERROR(Tabela3[[#This Row],[Valor]]-(Tabela3[[#This Row],[Valor]]*(Tabela3[[#This Row],[Idade]]*VLOOKUP(Tabela3[[#This Row],[Categoria]],Cadastros!A:B,2,0))),"")</f>
        <v/>
      </c>
    </row>
    <row r="1000" spans="4:18" x14ac:dyDescent="0.25">
      <c r="D1000" s="5"/>
      <c r="N1000" s="6" t="str">
        <f>IFERROR(Tabela3[[#This Row],[Última revisão do bem]]+(VLOOKUP(Tabela3[[#This Row],[Categoria]],Cadastros!A:D,4,0)+365),"")</f>
        <v/>
      </c>
      <c r="O1000" s="7" t="str">
        <f ca="1">IF(Tabela3[[#This Row],[Data da compra]]&gt;0,(TODAY()-Tabela3[[#This Row],[Data da compra]])/365,"")</f>
        <v/>
      </c>
      <c r="P1000" s="7" t="str">
        <f>IFERROR(VLOOKUP(Tabela3[[#This Row],[Categoria]],Cadastros!A:C,3,0),"")</f>
        <v/>
      </c>
      <c r="Q1000" s="9" t="str">
        <f ca="1">IFERROR(Tabela3[[#This Row],[Vida útil]]-Tabela3[[#This Row],[Idade]],"")</f>
        <v/>
      </c>
      <c r="R1000" s="8" t="str">
        <f ca="1">IFERROR(Tabela3[[#This Row],[Valor]]-(Tabela3[[#This Row],[Valor]]*(Tabela3[[#This Row],[Idade]]*VLOOKUP(Tabela3[[#This Row],[Categoria]],Cadastros!A:B,2,0))),"")</f>
        <v/>
      </c>
    </row>
    <row r="1001" spans="4:18" x14ac:dyDescent="0.25">
      <c r="D1001" s="5"/>
      <c r="N1001" s="6" t="str">
        <f>IFERROR(Tabela3[[#This Row],[Última revisão do bem]]+(VLOOKUP(Tabela3[[#This Row],[Categoria]],Cadastros!A:D,4,0)+365),"")</f>
        <v/>
      </c>
      <c r="O1001" s="7" t="str">
        <f ca="1">IF(Tabela3[[#This Row],[Data da compra]]&gt;0,(TODAY()-Tabela3[[#This Row],[Data da compra]])/365,"")</f>
        <v/>
      </c>
      <c r="P1001" s="7" t="str">
        <f>IFERROR(VLOOKUP(Tabela3[[#This Row],[Categoria]],Cadastros!A:C,3,0),"")</f>
        <v/>
      </c>
      <c r="Q1001" s="9" t="str">
        <f ca="1">IFERROR(Tabela3[[#This Row],[Vida útil]]-Tabela3[[#This Row],[Idade]],"")</f>
        <v/>
      </c>
      <c r="R1001" s="8" t="str">
        <f ca="1">IFERROR(Tabela3[[#This Row],[Valor]]-(Tabela3[[#This Row],[Valor]]*(Tabela3[[#This Row],[Idade]]*VLOOKUP(Tabela3[[#This Row],[Categoria]],Cadastros!A:B,2,0))),"")</f>
        <v/>
      </c>
    </row>
    <row r="1002" spans="4:18" x14ac:dyDescent="0.25">
      <c r="D1002" s="5"/>
      <c r="N1002" s="6" t="str">
        <f>IFERROR(Tabela3[[#This Row],[Última revisão do bem]]+(VLOOKUP(Tabela3[[#This Row],[Categoria]],Cadastros!A:D,4,0)+365),"")</f>
        <v/>
      </c>
      <c r="O1002" s="7" t="str">
        <f ca="1">IF(Tabela3[[#This Row],[Data da compra]]&gt;0,(TODAY()-Tabela3[[#This Row],[Data da compra]])/365,"")</f>
        <v/>
      </c>
      <c r="P1002" s="7" t="str">
        <f>IFERROR(VLOOKUP(Tabela3[[#This Row],[Categoria]],Cadastros!A:C,3,0),"")</f>
        <v/>
      </c>
      <c r="Q1002" s="9" t="str">
        <f ca="1">IFERROR(Tabela3[[#This Row],[Vida útil]]-Tabela3[[#This Row],[Idade]],"")</f>
        <v/>
      </c>
      <c r="R1002" s="8" t="str">
        <f ca="1">IFERROR(Tabela3[[#This Row],[Valor]]-(Tabela3[[#This Row],[Valor]]*(Tabela3[[#This Row],[Idade]]*VLOOKUP(Tabela3[[#This Row],[Categoria]],Cadastros!A:B,2,0))),"")</f>
        <v/>
      </c>
    </row>
    <row r="1003" spans="4:18" x14ac:dyDescent="0.25">
      <c r="D1003" s="5"/>
      <c r="N1003" s="6" t="str">
        <f>IFERROR(Tabela3[[#This Row],[Última revisão do bem]]+(VLOOKUP(Tabela3[[#This Row],[Categoria]],Cadastros!A:D,4,0)+365),"")</f>
        <v/>
      </c>
      <c r="O1003" s="7" t="str">
        <f ca="1">IF(Tabela3[[#This Row],[Data da compra]]&gt;0,(TODAY()-Tabela3[[#This Row],[Data da compra]])/365,"")</f>
        <v/>
      </c>
      <c r="P1003" s="7" t="str">
        <f>IFERROR(VLOOKUP(Tabela3[[#This Row],[Categoria]],Cadastros!A:C,3,0),"")</f>
        <v/>
      </c>
      <c r="Q1003" s="9" t="str">
        <f ca="1">IFERROR(Tabela3[[#This Row],[Vida útil]]-Tabela3[[#This Row],[Idade]],"")</f>
        <v/>
      </c>
      <c r="R1003" s="8" t="str">
        <f ca="1">IFERROR(Tabela3[[#This Row],[Valor]]-(Tabela3[[#This Row],[Valor]]*(Tabela3[[#This Row],[Idade]]*VLOOKUP(Tabela3[[#This Row],[Categoria]],Cadastros!A:B,2,0))),"")</f>
        <v/>
      </c>
    </row>
    <row r="1004" spans="4:18" x14ac:dyDescent="0.25">
      <c r="D1004" s="5"/>
      <c r="N1004" s="6" t="str">
        <f>IFERROR(Tabela3[[#This Row],[Última revisão do bem]]+(VLOOKUP(Tabela3[[#This Row],[Categoria]],Cadastros!A:D,4,0)+365),"")</f>
        <v/>
      </c>
      <c r="O1004" s="7" t="str">
        <f ca="1">IF(Tabela3[[#This Row],[Data da compra]]&gt;0,(TODAY()-Tabela3[[#This Row],[Data da compra]])/365,"")</f>
        <v/>
      </c>
      <c r="P1004" s="7" t="str">
        <f>IFERROR(VLOOKUP(Tabela3[[#This Row],[Categoria]],Cadastros!A:C,3,0),"")</f>
        <v/>
      </c>
      <c r="Q1004" s="9" t="str">
        <f ca="1">IFERROR(Tabela3[[#This Row],[Vida útil]]-Tabela3[[#This Row],[Idade]],"")</f>
        <v/>
      </c>
      <c r="R1004" s="8" t="str">
        <f ca="1">IFERROR(Tabela3[[#This Row],[Valor]]-(Tabela3[[#This Row],[Valor]]*(Tabela3[[#This Row],[Idade]]*VLOOKUP(Tabela3[[#This Row],[Categoria]],Cadastros!A:B,2,0))),"")</f>
        <v/>
      </c>
    </row>
    <row r="1005" spans="4:18" x14ac:dyDescent="0.25">
      <c r="D1005" s="5"/>
      <c r="N1005" s="6" t="str">
        <f>IFERROR(Tabela3[[#This Row],[Última revisão do bem]]+(VLOOKUP(Tabela3[[#This Row],[Categoria]],Cadastros!A:D,4,0)+365),"")</f>
        <v/>
      </c>
      <c r="O1005" s="7" t="str">
        <f ca="1">IF(Tabela3[[#This Row],[Data da compra]]&gt;0,(TODAY()-Tabela3[[#This Row],[Data da compra]])/365,"")</f>
        <v/>
      </c>
      <c r="P1005" s="7" t="str">
        <f>IFERROR(VLOOKUP(Tabela3[[#This Row],[Categoria]],Cadastros!A:C,3,0),"")</f>
        <v/>
      </c>
      <c r="Q1005" s="9" t="str">
        <f ca="1">IFERROR(Tabela3[[#This Row],[Vida útil]]-Tabela3[[#This Row],[Idade]],"")</f>
        <v/>
      </c>
      <c r="R1005" s="8" t="str">
        <f ca="1">IFERROR(Tabela3[[#This Row],[Valor]]-(Tabela3[[#This Row],[Valor]]*(Tabela3[[#This Row],[Idade]]*VLOOKUP(Tabela3[[#This Row],[Categoria]],Cadastros!A:B,2,0))),"")</f>
        <v/>
      </c>
    </row>
    <row r="1006" spans="4:18" x14ac:dyDescent="0.25">
      <c r="D1006" s="5"/>
      <c r="N1006" s="6" t="str">
        <f>IFERROR(Tabela3[[#This Row],[Última revisão do bem]]+(VLOOKUP(Tabela3[[#This Row],[Categoria]],Cadastros!A:D,4,0)+365),"")</f>
        <v/>
      </c>
      <c r="O1006" s="7" t="str">
        <f ca="1">IF(Tabela3[[#This Row],[Data da compra]]&gt;0,(TODAY()-Tabela3[[#This Row],[Data da compra]])/365,"")</f>
        <v/>
      </c>
      <c r="P1006" s="7" t="str">
        <f>IFERROR(VLOOKUP(Tabela3[[#This Row],[Categoria]],Cadastros!A:C,3,0),"")</f>
        <v/>
      </c>
      <c r="Q1006" s="9" t="str">
        <f ca="1">IFERROR(Tabela3[[#This Row],[Vida útil]]-Tabela3[[#This Row],[Idade]],"")</f>
        <v/>
      </c>
      <c r="R1006" s="8" t="str">
        <f ca="1">IFERROR(Tabela3[[#This Row],[Valor]]-(Tabela3[[#This Row],[Valor]]*(Tabela3[[#This Row],[Idade]]*VLOOKUP(Tabela3[[#This Row],[Categoria]],Cadastros!A:B,2,0))),"")</f>
        <v/>
      </c>
    </row>
    <row r="1007" spans="4:18" x14ac:dyDescent="0.25">
      <c r="D1007" s="5"/>
      <c r="N1007" s="6" t="str">
        <f>IFERROR(Tabela3[[#This Row],[Última revisão do bem]]+(VLOOKUP(Tabela3[[#This Row],[Categoria]],Cadastros!A:D,4,0)+365),"")</f>
        <v/>
      </c>
      <c r="O1007" s="7" t="str">
        <f ca="1">IF(Tabela3[[#This Row],[Data da compra]]&gt;0,(TODAY()-Tabela3[[#This Row],[Data da compra]])/365,"")</f>
        <v/>
      </c>
      <c r="P1007" s="7" t="str">
        <f>IFERROR(VLOOKUP(Tabela3[[#This Row],[Categoria]],Cadastros!A:C,3,0),"")</f>
        <v/>
      </c>
      <c r="Q1007" s="9" t="str">
        <f ca="1">IFERROR(Tabela3[[#This Row],[Vida útil]]-Tabela3[[#This Row],[Idade]],"")</f>
        <v/>
      </c>
      <c r="R1007" s="8" t="str">
        <f ca="1">IFERROR(Tabela3[[#This Row],[Valor]]-(Tabela3[[#This Row],[Valor]]*(Tabela3[[#This Row],[Idade]]*VLOOKUP(Tabela3[[#This Row],[Categoria]],Cadastros!A:B,2,0))),"")</f>
        <v/>
      </c>
    </row>
    <row r="1008" spans="4:18" x14ac:dyDescent="0.25">
      <c r="D1008" s="5"/>
      <c r="N1008" s="6" t="str">
        <f>IFERROR(Tabela3[[#This Row],[Última revisão do bem]]+(VLOOKUP(Tabela3[[#This Row],[Categoria]],Cadastros!A:D,4,0)+365),"")</f>
        <v/>
      </c>
      <c r="O1008" s="7" t="str">
        <f ca="1">IF(Tabela3[[#This Row],[Data da compra]]&gt;0,(TODAY()-Tabela3[[#This Row],[Data da compra]])/365,"")</f>
        <v/>
      </c>
      <c r="P1008" s="7" t="str">
        <f>IFERROR(VLOOKUP(Tabela3[[#This Row],[Categoria]],Cadastros!A:C,3,0),"")</f>
        <v/>
      </c>
      <c r="Q1008" s="9" t="str">
        <f ca="1">IFERROR(Tabela3[[#This Row],[Vida útil]]-Tabela3[[#This Row],[Idade]],"")</f>
        <v/>
      </c>
      <c r="R1008" s="8" t="str">
        <f ca="1">IFERROR(Tabela3[[#This Row],[Valor]]-(Tabela3[[#This Row],[Valor]]*(Tabela3[[#This Row],[Idade]]*VLOOKUP(Tabela3[[#This Row],[Categoria]],Cadastros!A:B,2,0))),"")</f>
        <v/>
      </c>
    </row>
    <row r="1009" spans="4:18" x14ac:dyDescent="0.25">
      <c r="D1009" s="5"/>
      <c r="N1009" s="6" t="str">
        <f>IFERROR(Tabela3[[#This Row],[Última revisão do bem]]+(VLOOKUP(Tabela3[[#This Row],[Categoria]],Cadastros!A:D,4,0)+365),"")</f>
        <v/>
      </c>
      <c r="O1009" s="7" t="str">
        <f ca="1">IF(Tabela3[[#This Row],[Data da compra]]&gt;0,(TODAY()-Tabela3[[#This Row],[Data da compra]])/365,"")</f>
        <v/>
      </c>
      <c r="P1009" s="7" t="str">
        <f>IFERROR(VLOOKUP(Tabela3[[#This Row],[Categoria]],Cadastros!A:C,3,0),"")</f>
        <v/>
      </c>
      <c r="Q1009" s="9" t="str">
        <f ca="1">IFERROR(Tabela3[[#This Row],[Vida útil]]-Tabela3[[#This Row],[Idade]],"")</f>
        <v/>
      </c>
      <c r="R1009" s="8" t="str">
        <f ca="1">IFERROR(Tabela3[[#This Row],[Valor]]-(Tabela3[[#This Row],[Valor]]*(Tabela3[[#This Row],[Idade]]*VLOOKUP(Tabela3[[#This Row],[Categoria]],Cadastros!A:B,2,0))),"")</f>
        <v/>
      </c>
    </row>
    <row r="1010" spans="4:18" x14ac:dyDescent="0.25">
      <c r="D1010" s="5"/>
      <c r="N1010" s="6" t="str">
        <f>IFERROR(Tabela3[[#This Row],[Última revisão do bem]]+(VLOOKUP(Tabela3[[#This Row],[Categoria]],Cadastros!A:D,4,0)+365),"")</f>
        <v/>
      </c>
      <c r="O1010" s="7" t="str">
        <f ca="1">IF(Tabela3[[#This Row],[Data da compra]]&gt;0,(TODAY()-Tabela3[[#This Row],[Data da compra]])/365,"")</f>
        <v/>
      </c>
      <c r="P1010" s="7" t="str">
        <f>IFERROR(VLOOKUP(Tabela3[[#This Row],[Categoria]],Cadastros!A:C,3,0),"")</f>
        <v/>
      </c>
      <c r="Q1010" s="9" t="str">
        <f ca="1">IFERROR(Tabela3[[#This Row],[Vida útil]]-Tabela3[[#This Row],[Idade]],"")</f>
        <v/>
      </c>
      <c r="R1010" s="8" t="str">
        <f ca="1">IFERROR(Tabela3[[#This Row],[Valor]]-(Tabela3[[#This Row],[Valor]]*(Tabela3[[#This Row],[Idade]]*VLOOKUP(Tabela3[[#This Row],[Categoria]],Cadastros!A:B,2,0))),"")</f>
        <v/>
      </c>
    </row>
    <row r="1011" spans="4:18" x14ac:dyDescent="0.25">
      <c r="D1011" s="5"/>
      <c r="N1011" s="6" t="str">
        <f>IFERROR(Tabela3[[#This Row],[Última revisão do bem]]+(VLOOKUP(Tabela3[[#This Row],[Categoria]],Cadastros!A:D,4,0)+365),"")</f>
        <v/>
      </c>
      <c r="O1011" s="7" t="str">
        <f ca="1">IF(Tabela3[[#This Row],[Data da compra]]&gt;0,(TODAY()-Tabela3[[#This Row],[Data da compra]])/365,"")</f>
        <v/>
      </c>
      <c r="P1011" s="7" t="str">
        <f>IFERROR(VLOOKUP(Tabela3[[#This Row],[Categoria]],Cadastros!A:C,3,0),"")</f>
        <v/>
      </c>
      <c r="Q1011" s="9" t="str">
        <f ca="1">IFERROR(Tabela3[[#This Row],[Vida útil]]-Tabela3[[#This Row],[Idade]],"")</f>
        <v/>
      </c>
      <c r="R1011" s="8" t="str">
        <f ca="1">IFERROR(Tabela3[[#This Row],[Valor]]-(Tabela3[[#This Row],[Valor]]*(Tabela3[[#This Row],[Idade]]*VLOOKUP(Tabela3[[#This Row],[Categoria]],Cadastros!A:B,2,0))),"")</f>
        <v/>
      </c>
    </row>
    <row r="1012" spans="4:18" x14ac:dyDescent="0.25">
      <c r="D1012" s="5"/>
      <c r="N1012" s="6" t="str">
        <f>IFERROR(Tabela3[[#This Row],[Última revisão do bem]]+(VLOOKUP(Tabela3[[#This Row],[Categoria]],Cadastros!A:D,4,0)+365),"")</f>
        <v/>
      </c>
      <c r="O1012" s="7" t="str">
        <f ca="1">IF(Tabela3[[#This Row],[Data da compra]]&gt;0,(TODAY()-Tabela3[[#This Row],[Data da compra]])/365,"")</f>
        <v/>
      </c>
      <c r="P1012" s="7" t="str">
        <f>IFERROR(VLOOKUP(Tabela3[[#This Row],[Categoria]],Cadastros!A:C,3,0),"")</f>
        <v/>
      </c>
      <c r="Q1012" s="9" t="str">
        <f ca="1">IFERROR(Tabela3[[#This Row],[Vida útil]]-Tabela3[[#This Row],[Idade]],"")</f>
        <v/>
      </c>
      <c r="R1012" s="8" t="str">
        <f ca="1">IFERROR(Tabela3[[#This Row],[Valor]]-(Tabela3[[#This Row],[Valor]]*(Tabela3[[#This Row],[Idade]]*VLOOKUP(Tabela3[[#This Row],[Categoria]],Cadastros!A:B,2,0))),"")</f>
        <v/>
      </c>
    </row>
    <row r="1013" spans="4:18" x14ac:dyDescent="0.25">
      <c r="D1013" s="5"/>
      <c r="N1013" s="6" t="str">
        <f>IFERROR(Tabela3[[#This Row],[Última revisão do bem]]+(VLOOKUP(Tabela3[[#This Row],[Categoria]],Cadastros!A:D,4,0)+365),"")</f>
        <v/>
      </c>
      <c r="O1013" s="7" t="str">
        <f ca="1">IF(Tabela3[[#This Row],[Data da compra]]&gt;0,(TODAY()-Tabela3[[#This Row],[Data da compra]])/365,"")</f>
        <v/>
      </c>
      <c r="P1013" s="7" t="str">
        <f>IFERROR(VLOOKUP(Tabela3[[#This Row],[Categoria]],Cadastros!A:C,3,0),"")</f>
        <v/>
      </c>
      <c r="Q1013" s="9" t="str">
        <f ca="1">IFERROR(Tabela3[[#This Row],[Vida útil]]-Tabela3[[#This Row],[Idade]],"")</f>
        <v/>
      </c>
      <c r="R1013" s="8" t="str">
        <f ca="1">IFERROR(Tabela3[[#This Row],[Valor]]-(Tabela3[[#This Row],[Valor]]*(Tabela3[[#This Row],[Idade]]*VLOOKUP(Tabela3[[#This Row],[Categoria]],Cadastros!A:B,2,0))),"")</f>
        <v/>
      </c>
    </row>
    <row r="1014" spans="4:18" x14ac:dyDescent="0.25">
      <c r="D1014" s="5"/>
      <c r="N1014" s="6" t="str">
        <f>IFERROR(Tabela3[[#This Row],[Última revisão do bem]]+(VLOOKUP(Tabela3[[#This Row],[Categoria]],Cadastros!A:D,4,0)+365),"")</f>
        <v/>
      </c>
      <c r="O1014" s="7" t="str">
        <f ca="1">IF(Tabela3[[#This Row],[Data da compra]]&gt;0,(TODAY()-Tabela3[[#This Row],[Data da compra]])/365,"")</f>
        <v/>
      </c>
      <c r="P1014" s="7" t="str">
        <f>IFERROR(VLOOKUP(Tabela3[[#This Row],[Categoria]],Cadastros!A:C,3,0),"")</f>
        <v/>
      </c>
      <c r="Q1014" s="9" t="str">
        <f ca="1">IFERROR(Tabela3[[#This Row],[Vida útil]]-Tabela3[[#This Row],[Idade]],"")</f>
        <v/>
      </c>
      <c r="R1014" s="8" t="str">
        <f ca="1">IFERROR(Tabela3[[#This Row],[Valor]]-(Tabela3[[#This Row],[Valor]]*(Tabela3[[#This Row],[Idade]]*VLOOKUP(Tabela3[[#This Row],[Categoria]],Cadastros!A:B,2,0))),"")</f>
        <v/>
      </c>
    </row>
    <row r="1015" spans="4:18" x14ac:dyDescent="0.25">
      <c r="D1015" s="5"/>
      <c r="N1015" s="6" t="str">
        <f>IFERROR(Tabela3[[#This Row],[Última revisão do bem]]+(VLOOKUP(Tabela3[[#This Row],[Categoria]],Cadastros!A:D,4,0)+365),"")</f>
        <v/>
      </c>
      <c r="O1015" s="7" t="str">
        <f ca="1">IF(Tabela3[[#This Row],[Data da compra]]&gt;0,(TODAY()-Tabela3[[#This Row],[Data da compra]])/365,"")</f>
        <v/>
      </c>
      <c r="P1015" s="7" t="str">
        <f>IFERROR(VLOOKUP(Tabela3[[#This Row],[Categoria]],Cadastros!A:C,3,0),"")</f>
        <v/>
      </c>
      <c r="Q1015" s="9" t="str">
        <f ca="1">IFERROR(Tabela3[[#This Row],[Vida útil]]-Tabela3[[#This Row],[Idade]],"")</f>
        <v/>
      </c>
      <c r="R1015" s="8" t="str">
        <f ca="1">IFERROR(Tabela3[[#This Row],[Valor]]-(Tabela3[[#This Row],[Valor]]*(Tabela3[[#This Row],[Idade]]*VLOOKUP(Tabela3[[#This Row],[Categoria]],Cadastros!A:B,2,0))),"")</f>
        <v/>
      </c>
    </row>
    <row r="1016" spans="4:18" x14ac:dyDescent="0.25">
      <c r="D1016" s="5"/>
      <c r="N1016" s="6" t="str">
        <f>IFERROR(Tabela3[[#This Row],[Última revisão do bem]]+(VLOOKUP(Tabela3[[#This Row],[Categoria]],Cadastros!A:D,4,0)+365),"")</f>
        <v/>
      </c>
      <c r="O1016" s="7" t="str">
        <f ca="1">IF(Tabela3[[#This Row],[Data da compra]]&gt;0,(TODAY()-Tabela3[[#This Row],[Data da compra]])/365,"")</f>
        <v/>
      </c>
      <c r="P1016" s="7" t="str">
        <f>IFERROR(VLOOKUP(Tabela3[[#This Row],[Categoria]],Cadastros!A:C,3,0),"")</f>
        <v/>
      </c>
      <c r="Q1016" s="9" t="str">
        <f ca="1">IFERROR(Tabela3[[#This Row],[Vida útil]]-Tabela3[[#This Row],[Idade]],"")</f>
        <v/>
      </c>
      <c r="R1016" s="8" t="str">
        <f ca="1">IFERROR(Tabela3[[#This Row],[Valor]]-(Tabela3[[#This Row],[Valor]]*(Tabela3[[#This Row],[Idade]]*VLOOKUP(Tabela3[[#This Row],[Categoria]],Cadastros!A:B,2,0))),"")</f>
        <v/>
      </c>
    </row>
    <row r="1017" spans="4:18" x14ac:dyDescent="0.25">
      <c r="D1017" s="5"/>
      <c r="N1017" s="6" t="str">
        <f>IFERROR(Tabela3[[#This Row],[Última revisão do bem]]+(VLOOKUP(Tabela3[[#This Row],[Categoria]],Cadastros!A:D,4,0)+365),"")</f>
        <v/>
      </c>
      <c r="O1017" s="7" t="str">
        <f ca="1">IF(Tabela3[[#This Row],[Data da compra]]&gt;0,(TODAY()-Tabela3[[#This Row],[Data da compra]])/365,"")</f>
        <v/>
      </c>
      <c r="P1017" s="7" t="str">
        <f>IFERROR(VLOOKUP(Tabela3[[#This Row],[Categoria]],Cadastros!A:C,3,0),"")</f>
        <v/>
      </c>
      <c r="Q1017" s="9" t="str">
        <f ca="1">IFERROR(Tabela3[[#This Row],[Vida útil]]-Tabela3[[#This Row],[Idade]],"")</f>
        <v/>
      </c>
      <c r="R1017" s="8" t="str">
        <f ca="1">IFERROR(Tabela3[[#This Row],[Valor]]-(Tabela3[[#This Row],[Valor]]*(Tabela3[[#This Row],[Idade]]*VLOOKUP(Tabela3[[#This Row],[Categoria]],Cadastros!A:B,2,0))),"")</f>
        <v/>
      </c>
    </row>
    <row r="1018" spans="4:18" x14ac:dyDescent="0.25">
      <c r="D1018" s="5"/>
      <c r="N1018" s="6" t="str">
        <f>IFERROR(Tabela3[[#This Row],[Última revisão do bem]]+(VLOOKUP(Tabela3[[#This Row],[Categoria]],Cadastros!A:D,4,0)+365),"")</f>
        <v/>
      </c>
      <c r="O1018" s="7" t="str">
        <f ca="1">IF(Tabela3[[#This Row],[Data da compra]]&gt;0,(TODAY()-Tabela3[[#This Row],[Data da compra]])/365,"")</f>
        <v/>
      </c>
      <c r="P1018" s="7" t="str">
        <f>IFERROR(VLOOKUP(Tabela3[[#This Row],[Categoria]],Cadastros!A:C,3,0),"")</f>
        <v/>
      </c>
      <c r="Q1018" s="9" t="str">
        <f ca="1">IFERROR(Tabela3[[#This Row],[Vida útil]]-Tabela3[[#This Row],[Idade]],"")</f>
        <v/>
      </c>
      <c r="R1018" s="8" t="str">
        <f ca="1">IFERROR(Tabela3[[#This Row],[Valor]]-(Tabela3[[#This Row],[Valor]]*(Tabela3[[#This Row],[Idade]]*VLOOKUP(Tabela3[[#This Row],[Categoria]],Cadastros!A:B,2,0))),"")</f>
        <v/>
      </c>
    </row>
    <row r="1019" spans="4:18" x14ac:dyDescent="0.25">
      <c r="D1019" s="5"/>
      <c r="N1019" s="6" t="str">
        <f>IFERROR(Tabela3[[#This Row],[Última revisão do bem]]+(VLOOKUP(Tabela3[[#This Row],[Categoria]],Cadastros!A:D,4,0)+365),"")</f>
        <v/>
      </c>
      <c r="O1019" s="7" t="str">
        <f ca="1">IF(Tabela3[[#This Row],[Data da compra]]&gt;0,(TODAY()-Tabela3[[#This Row],[Data da compra]])/365,"")</f>
        <v/>
      </c>
      <c r="P1019" s="7" t="str">
        <f>IFERROR(VLOOKUP(Tabela3[[#This Row],[Categoria]],Cadastros!A:C,3,0),"")</f>
        <v/>
      </c>
      <c r="Q1019" s="9" t="str">
        <f ca="1">IFERROR(Tabela3[[#This Row],[Vida útil]]-Tabela3[[#This Row],[Idade]],"")</f>
        <v/>
      </c>
      <c r="R1019" s="8" t="str">
        <f ca="1">IFERROR(Tabela3[[#This Row],[Valor]]-(Tabela3[[#This Row],[Valor]]*(Tabela3[[#This Row],[Idade]]*VLOOKUP(Tabela3[[#This Row],[Categoria]],Cadastros!A:B,2,0))),"")</f>
        <v/>
      </c>
    </row>
    <row r="1020" spans="4:18" x14ac:dyDescent="0.25">
      <c r="D1020" s="5"/>
      <c r="N1020" s="6" t="str">
        <f>IFERROR(Tabela3[[#This Row],[Última revisão do bem]]+(VLOOKUP(Tabela3[[#This Row],[Categoria]],Cadastros!A:D,4,0)+365),"")</f>
        <v/>
      </c>
      <c r="O1020" s="7" t="str">
        <f ca="1">IF(Tabela3[[#This Row],[Data da compra]]&gt;0,(TODAY()-Tabela3[[#This Row],[Data da compra]])/365,"")</f>
        <v/>
      </c>
      <c r="P1020" s="7" t="str">
        <f>IFERROR(VLOOKUP(Tabela3[[#This Row],[Categoria]],Cadastros!A:C,3,0),"")</f>
        <v/>
      </c>
      <c r="Q1020" s="9" t="str">
        <f ca="1">IFERROR(Tabela3[[#This Row],[Vida útil]]-Tabela3[[#This Row],[Idade]],"")</f>
        <v/>
      </c>
      <c r="R1020" s="8" t="str">
        <f ca="1">IFERROR(Tabela3[[#This Row],[Valor]]-(Tabela3[[#This Row],[Valor]]*(Tabela3[[#This Row],[Idade]]*VLOOKUP(Tabela3[[#This Row],[Categoria]],Cadastros!A:B,2,0))),"")</f>
        <v/>
      </c>
    </row>
    <row r="1021" spans="4:18" x14ac:dyDescent="0.25">
      <c r="D1021" s="5"/>
      <c r="N1021" s="6" t="str">
        <f>IFERROR(Tabela3[[#This Row],[Última revisão do bem]]+(VLOOKUP(Tabela3[[#This Row],[Categoria]],Cadastros!A:D,4,0)+365),"")</f>
        <v/>
      </c>
      <c r="O1021" s="7" t="str">
        <f ca="1">IF(Tabela3[[#This Row],[Data da compra]]&gt;0,(TODAY()-Tabela3[[#This Row],[Data da compra]])/365,"")</f>
        <v/>
      </c>
      <c r="P1021" s="7" t="str">
        <f>IFERROR(VLOOKUP(Tabela3[[#This Row],[Categoria]],Cadastros!A:C,3,0),"")</f>
        <v/>
      </c>
      <c r="Q1021" s="9" t="str">
        <f ca="1">IFERROR(Tabela3[[#This Row],[Vida útil]]-Tabela3[[#This Row],[Idade]],"")</f>
        <v/>
      </c>
      <c r="R1021" s="8" t="str">
        <f ca="1">IFERROR(Tabela3[[#This Row],[Valor]]-(Tabela3[[#This Row],[Valor]]*(Tabela3[[#This Row],[Idade]]*VLOOKUP(Tabela3[[#This Row],[Categoria]],Cadastros!A:B,2,0))),"")</f>
        <v/>
      </c>
    </row>
    <row r="1022" spans="4:18" x14ac:dyDescent="0.25">
      <c r="D1022" s="5"/>
      <c r="N1022" s="6" t="str">
        <f>IFERROR(Tabela3[[#This Row],[Última revisão do bem]]+(VLOOKUP(Tabela3[[#This Row],[Categoria]],Cadastros!A:D,4,0)+365),"")</f>
        <v/>
      </c>
      <c r="O1022" s="7" t="str">
        <f ca="1">IF(Tabela3[[#This Row],[Data da compra]]&gt;0,(TODAY()-Tabela3[[#This Row],[Data da compra]])/365,"")</f>
        <v/>
      </c>
      <c r="P1022" s="7" t="str">
        <f>IFERROR(VLOOKUP(Tabela3[[#This Row],[Categoria]],Cadastros!A:C,3,0),"")</f>
        <v/>
      </c>
      <c r="Q1022" s="9" t="str">
        <f ca="1">IFERROR(Tabela3[[#This Row],[Vida útil]]-Tabela3[[#This Row],[Idade]],"")</f>
        <v/>
      </c>
      <c r="R1022" s="8" t="str">
        <f ca="1">IFERROR(Tabela3[[#This Row],[Valor]]-(Tabela3[[#This Row],[Valor]]*(Tabela3[[#This Row],[Idade]]*VLOOKUP(Tabela3[[#This Row],[Categoria]],Cadastros!A:B,2,0))),"")</f>
        <v/>
      </c>
    </row>
    <row r="1023" spans="4:18" x14ac:dyDescent="0.25">
      <c r="D1023" s="5"/>
      <c r="N1023" s="6" t="str">
        <f>IFERROR(Tabela3[[#This Row],[Última revisão do bem]]+(VLOOKUP(Tabela3[[#This Row],[Categoria]],Cadastros!A:D,4,0)+365),"")</f>
        <v/>
      </c>
      <c r="O1023" s="7" t="str">
        <f ca="1">IF(Tabela3[[#This Row],[Data da compra]]&gt;0,(TODAY()-Tabela3[[#This Row],[Data da compra]])/365,"")</f>
        <v/>
      </c>
      <c r="P1023" s="7" t="str">
        <f>IFERROR(VLOOKUP(Tabela3[[#This Row],[Categoria]],Cadastros!A:C,3,0),"")</f>
        <v/>
      </c>
      <c r="Q1023" s="9" t="str">
        <f ca="1">IFERROR(Tabela3[[#This Row],[Vida útil]]-Tabela3[[#This Row],[Idade]],"")</f>
        <v/>
      </c>
      <c r="R1023" s="8" t="str">
        <f ca="1">IFERROR(Tabela3[[#This Row],[Valor]]-(Tabela3[[#This Row],[Valor]]*(Tabela3[[#This Row],[Idade]]*VLOOKUP(Tabela3[[#This Row],[Categoria]],Cadastros!A:B,2,0))),"")</f>
        <v/>
      </c>
    </row>
    <row r="1024" spans="4:18" x14ac:dyDescent="0.25">
      <c r="D1024" s="5"/>
      <c r="N1024" s="6" t="str">
        <f>IFERROR(Tabela3[[#This Row],[Última revisão do bem]]+(VLOOKUP(Tabela3[[#This Row],[Categoria]],Cadastros!A:D,4,0)+365),"")</f>
        <v/>
      </c>
      <c r="O1024" s="7" t="str">
        <f ca="1">IF(Tabela3[[#This Row],[Data da compra]]&gt;0,(TODAY()-Tabela3[[#This Row],[Data da compra]])/365,"")</f>
        <v/>
      </c>
      <c r="P1024" s="7" t="str">
        <f>IFERROR(VLOOKUP(Tabela3[[#This Row],[Categoria]],Cadastros!A:C,3,0),"")</f>
        <v/>
      </c>
      <c r="Q1024" s="9" t="str">
        <f ca="1">IFERROR(Tabela3[[#This Row],[Vida útil]]-Tabela3[[#This Row],[Idade]],"")</f>
        <v/>
      </c>
      <c r="R1024" s="8" t="str">
        <f ca="1">IFERROR(Tabela3[[#This Row],[Valor]]-(Tabela3[[#This Row],[Valor]]*(Tabela3[[#This Row],[Idade]]*VLOOKUP(Tabela3[[#This Row],[Categoria]],Cadastros!A:B,2,0))),"")</f>
        <v/>
      </c>
    </row>
    <row r="1025" spans="4:18" x14ac:dyDescent="0.25">
      <c r="D1025" s="5"/>
      <c r="N1025" s="6" t="str">
        <f>IFERROR(Tabela3[[#This Row],[Última revisão do bem]]+(VLOOKUP(Tabela3[[#This Row],[Categoria]],Cadastros!A:D,4,0)+365),"")</f>
        <v/>
      </c>
      <c r="O1025" s="7" t="str">
        <f ca="1">IF(Tabela3[[#This Row],[Data da compra]]&gt;0,(TODAY()-Tabela3[[#This Row],[Data da compra]])/365,"")</f>
        <v/>
      </c>
      <c r="P1025" s="7" t="str">
        <f>IFERROR(VLOOKUP(Tabela3[[#This Row],[Categoria]],Cadastros!A:C,3,0),"")</f>
        <v/>
      </c>
      <c r="Q1025" s="9" t="str">
        <f ca="1">IFERROR(Tabela3[[#This Row],[Vida útil]]-Tabela3[[#This Row],[Idade]],"")</f>
        <v/>
      </c>
      <c r="R1025" s="8" t="str">
        <f ca="1">IFERROR(Tabela3[[#This Row],[Valor]]-(Tabela3[[#This Row],[Valor]]*(Tabela3[[#This Row],[Idade]]*VLOOKUP(Tabela3[[#This Row],[Categoria]],Cadastros!A:B,2,0))),"")</f>
        <v/>
      </c>
    </row>
    <row r="1026" spans="4:18" x14ac:dyDescent="0.25">
      <c r="D1026" s="5"/>
      <c r="N1026" s="6" t="str">
        <f>IFERROR(Tabela3[[#This Row],[Última revisão do bem]]+(VLOOKUP(Tabela3[[#This Row],[Categoria]],Cadastros!A:D,4,0)+365),"")</f>
        <v/>
      </c>
      <c r="O1026" s="7" t="str">
        <f ca="1">IF(Tabela3[[#This Row],[Data da compra]]&gt;0,(TODAY()-Tabela3[[#This Row],[Data da compra]])/365,"")</f>
        <v/>
      </c>
      <c r="P1026" s="7" t="str">
        <f>IFERROR(VLOOKUP(Tabela3[[#This Row],[Categoria]],Cadastros!A:C,3,0),"")</f>
        <v/>
      </c>
      <c r="Q1026" s="9" t="str">
        <f ca="1">IFERROR(Tabela3[[#This Row],[Vida útil]]-Tabela3[[#This Row],[Idade]],"")</f>
        <v/>
      </c>
      <c r="R1026" s="8" t="str">
        <f ca="1">IFERROR(Tabela3[[#This Row],[Valor]]-(Tabela3[[#This Row],[Valor]]*(Tabela3[[#This Row],[Idade]]*VLOOKUP(Tabela3[[#This Row],[Categoria]],Cadastros!A:B,2,0))),"")</f>
        <v/>
      </c>
    </row>
    <row r="1027" spans="4:18" x14ac:dyDescent="0.25">
      <c r="D1027" s="5"/>
      <c r="N1027" s="6" t="str">
        <f>IFERROR(Tabela3[[#This Row],[Última revisão do bem]]+(VLOOKUP(Tabela3[[#This Row],[Categoria]],Cadastros!A:D,4,0)+365),"")</f>
        <v/>
      </c>
      <c r="O1027" s="7" t="str">
        <f ca="1">IF(Tabela3[[#This Row],[Data da compra]]&gt;0,(TODAY()-Tabela3[[#This Row],[Data da compra]])/365,"")</f>
        <v/>
      </c>
      <c r="P1027" s="7" t="str">
        <f>IFERROR(VLOOKUP(Tabela3[[#This Row],[Categoria]],Cadastros!A:C,3,0),"")</f>
        <v/>
      </c>
      <c r="Q1027" s="9" t="str">
        <f ca="1">IFERROR(Tabela3[[#This Row],[Vida útil]]-Tabela3[[#This Row],[Idade]],"")</f>
        <v/>
      </c>
      <c r="R1027" s="8" t="str">
        <f ca="1">IFERROR(Tabela3[[#This Row],[Valor]]-(Tabela3[[#This Row],[Valor]]*(Tabela3[[#This Row],[Idade]]*VLOOKUP(Tabela3[[#This Row],[Categoria]],Cadastros!A:B,2,0))),"")</f>
        <v/>
      </c>
    </row>
    <row r="1028" spans="4:18" x14ac:dyDescent="0.25">
      <c r="D1028" s="5"/>
      <c r="N1028" s="6" t="str">
        <f>IFERROR(Tabela3[[#This Row],[Última revisão do bem]]+(VLOOKUP(Tabela3[[#This Row],[Categoria]],Cadastros!A:D,4,0)+365),"")</f>
        <v/>
      </c>
      <c r="O1028" s="7" t="str">
        <f ca="1">IF(Tabela3[[#This Row],[Data da compra]]&gt;0,(TODAY()-Tabela3[[#This Row],[Data da compra]])/365,"")</f>
        <v/>
      </c>
      <c r="P1028" s="7" t="str">
        <f>IFERROR(VLOOKUP(Tabela3[[#This Row],[Categoria]],Cadastros!A:C,3,0),"")</f>
        <v/>
      </c>
      <c r="Q1028" s="9" t="str">
        <f ca="1">IFERROR(Tabela3[[#This Row],[Vida útil]]-Tabela3[[#This Row],[Idade]],"")</f>
        <v/>
      </c>
      <c r="R1028" s="8" t="str">
        <f ca="1">IFERROR(Tabela3[[#This Row],[Valor]]-(Tabela3[[#This Row],[Valor]]*(Tabela3[[#This Row],[Idade]]*VLOOKUP(Tabela3[[#This Row],[Categoria]],Cadastros!A:B,2,0))),"")</f>
        <v/>
      </c>
    </row>
    <row r="1029" spans="4:18" x14ac:dyDescent="0.25">
      <c r="D1029" s="5"/>
      <c r="N1029" s="6" t="str">
        <f>IFERROR(Tabela3[[#This Row],[Última revisão do bem]]+(VLOOKUP(Tabela3[[#This Row],[Categoria]],Cadastros!A:D,4,0)+365),"")</f>
        <v/>
      </c>
      <c r="O1029" s="7" t="str">
        <f ca="1">IF(Tabela3[[#This Row],[Data da compra]]&gt;0,(TODAY()-Tabela3[[#This Row],[Data da compra]])/365,"")</f>
        <v/>
      </c>
      <c r="P1029" s="7" t="str">
        <f>IFERROR(VLOOKUP(Tabela3[[#This Row],[Categoria]],Cadastros!A:C,3,0),"")</f>
        <v/>
      </c>
      <c r="Q1029" s="9" t="str">
        <f ca="1">IFERROR(Tabela3[[#This Row],[Vida útil]]-Tabela3[[#This Row],[Idade]],"")</f>
        <v/>
      </c>
      <c r="R1029" s="8" t="str">
        <f ca="1">IFERROR(Tabela3[[#This Row],[Valor]]-(Tabela3[[#This Row],[Valor]]*(Tabela3[[#This Row],[Idade]]*VLOOKUP(Tabela3[[#This Row],[Categoria]],Cadastros!A:B,2,0))),"")</f>
        <v/>
      </c>
    </row>
    <row r="1030" spans="4:18" x14ac:dyDescent="0.25">
      <c r="D1030" s="5"/>
      <c r="N1030" s="6" t="str">
        <f>IFERROR(Tabela3[[#This Row],[Última revisão do bem]]+(VLOOKUP(Tabela3[[#This Row],[Categoria]],Cadastros!A:D,4,0)+365),"")</f>
        <v/>
      </c>
      <c r="O1030" s="7" t="str">
        <f ca="1">IF(Tabela3[[#This Row],[Data da compra]]&gt;0,(TODAY()-Tabela3[[#This Row],[Data da compra]])/365,"")</f>
        <v/>
      </c>
      <c r="P1030" s="7" t="str">
        <f>IFERROR(VLOOKUP(Tabela3[[#This Row],[Categoria]],Cadastros!A:C,3,0),"")</f>
        <v/>
      </c>
      <c r="Q1030" s="9" t="str">
        <f ca="1">IFERROR(Tabela3[[#This Row],[Vida útil]]-Tabela3[[#This Row],[Idade]],"")</f>
        <v/>
      </c>
      <c r="R1030" s="8" t="str">
        <f ca="1">IFERROR(Tabela3[[#This Row],[Valor]]-(Tabela3[[#This Row],[Valor]]*(Tabela3[[#This Row],[Idade]]*VLOOKUP(Tabela3[[#This Row],[Categoria]],Cadastros!A:B,2,0))),"")</f>
        <v/>
      </c>
    </row>
    <row r="1031" spans="4:18" x14ac:dyDescent="0.25">
      <c r="D1031" s="5"/>
      <c r="N1031" s="6" t="str">
        <f>IFERROR(Tabela3[[#This Row],[Última revisão do bem]]+(VLOOKUP(Tabela3[[#This Row],[Categoria]],Cadastros!A:D,4,0)+365),"")</f>
        <v/>
      </c>
      <c r="O1031" s="7" t="str">
        <f ca="1">IF(Tabela3[[#This Row],[Data da compra]]&gt;0,(TODAY()-Tabela3[[#This Row],[Data da compra]])/365,"")</f>
        <v/>
      </c>
      <c r="P1031" s="7" t="str">
        <f>IFERROR(VLOOKUP(Tabela3[[#This Row],[Categoria]],Cadastros!A:C,3,0),"")</f>
        <v/>
      </c>
      <c r="Q1031" s="9" t="str">
        <f ca="1">IFERROR(Tabela3[[#This Row],[Vida útil]]-Tabela3[[#This Row],[Idade]],"")</f>
        <v/>
      </c>
      <c r="R1031" s="8" t="str">
        <f ca="1">IFERROR(Tabela3[[#This Row],[Valor]]-(Tabela3[[#This Row],[Valor]]*(Tabela3[[#This Row],[Idade]]*VLOOKUP(Tabela3[[#This Row],[Categoria]],Cadastros!A:B,2,0))),"")</f>
        <v/>
      </c>
    </row>
    <row r="1032" spans="4:18" x14ac:dyDescent="0.25">
      <c r="D1032" s="5"/>
      <c r="N1032" s="6" t="str">
        <f>IFERROR(Tabela3[[#This Row],[Última revisão do bem]]+(VLOOKUP(Tabela3[[#This Row],[Categoria]],Cadastros!A:D,4,0)+365),"")</f>
        <v/>
      </c>
      <c r="O1032" s="7" t="str">
        <f ca="1">IF(Tabela3[[#This Row],[Data da compra]]&gt;0,(TODAY()-Tabela3[[#This Row],[Data da compra]])/365,"")</f>
        <v/>
      </c>
      <c r="P1032" s="7" t="str">
        <f>IFERROR(VLOOKUP(Tabela3[[#This Row],[Categoria]],Cadastros!A:C,3,0),"")</f>
        <v/>
      </c>
      <c r="Q1032" s="9" t="str">
        <f ca="1">IFERROR(Tabela3[[#This Row],[Vida útil]]-Tabela3[[#This Row],[Idade]],"")</f>
        <v/>
      </c>
      <c r="R1032" s="8" t="str">
        <f ca="1">IFERROR(Tabela3[[#This Row],[Valor]]-(Tabela3[[#This Row],[Valor]]*(Tabela3[[#This Row],[Idade]]*VLOOKUP(Tabela3[[#This Row],[Categoria]],Cadastros!A:B,2,0))),"")</f>
        <v/>
      </c>
    </row>
    <row r="1033" spans="4:18" x14ac:dyDescent="0.25">
      <c r="D1033" s="5"/>
      <c r="N1033" s="6" t="str">
        <f>IFERROR(Tabela3[[#This Row],[Última revisão do bem]]+(VLOOKUP(Tabela3[[#This Row],[Categoria]],Cadastros!A:D,4,0)+365),"")</f>
        <v/>
      </c>
      <c r="O1033" s="7" t="str">
        <f ca="1">IF(Tabela3[[#This Row],[Data da compra]]&gt;0,(TODAY()-Tabela3[[#This Row],[Data da compra]])/365,"")</f>
        <v/>
      </c>
      <c r="P1033" s="7" t="str">
        <f>IFERROR(VLOOKUP(Tabela3[[#This Row],[Categoria]],Cadastros!A:C,3,0),"")</f>
        <v/>
      </c>
      <c r="Q1033" s="9" t="str">
        <f ca="1">IFERROR(Tabela3[[#This Row],[Vida útil]]-Tabela3[[#This Row],[Idade]],"")</f>
        <v/>
      </c>
      <c r="R1033" s="8" t="str">
        <f ca="1">IFERROR(Tabela3[[#This Row],[Valor]]-(Tabela3[[#This Row],[Valor]]*(Tabela3[[#This Row],[Idade]]*VLOOKUP(Tabela3[[#This Row],[Categoria]],Cadastros!A:B,2,0))),"")</f>
        <v/>
      </c>
    </row>
    <row r="1034" spans="4:18" x14ac:dyDescent="0.25">
      <c r="D1034" s="5"/>
      <c r="N1034" s="6" t="str">
        <f>IFERROR(Tabela3[[#This Row],[Última revisão do bem]]+(VLOOKUP(Tabela3[[#This Row],[Categoria]],Cadastros!A:D,4,0)+365),"")</f>
        <v/>
      </c>
      <c r="O1034" s="7" t="str">
        <f ca="1">IF(Tabela3[[#This Row],[Data da compra]]&gt;0,(TODAY()-Tabela3[[#This Row],[Data da compra]])/365,"")</f>
        <v/>
      </c>
      <c r="P1034" s="7" t="str">
        <f>IFERROR(VLOOKUP(Tabela3[[#This Row],[Categoria]],Cadastros!A:C,3,0),"")</f>
        <v/>
      </c>
      <c r="Q1034" s="9" t="str">
        <f ca="1">IFERROR(Tabela3[[#This Row],[Vida útil]]-Tabela3[[#This Row],[Idade]],"")</f>
        <v/>
      </c>
      <c r="R1034" s="8" t="str">
        <f ca="1">IFERROR(Tabela3[[#This Row],[Valor]]-(Tabela3[[#This Row],[Valor]]*(Tabela3[[#This Row],[Idade]]*VLOOKUP(Tabela3[[#This Row],[Categoria]],Cadastros!A:B,2,0))),"")</f>
        <v/>
      </c>
    </row>
    <row r="1035" spans="4:18" x14ac:dyDescent="0.25">
      <c r="D1035" s="5"/>
      <c r="N1035" s="6" t="str">
        <f>IFERROR(Tabela3[[#This Row],[Última revisão do bem]]+(VLOOKUP(Tabela3[[#This Row],[Categoria]],Cadastros!A:D,4,0)+365),"")</f>
        <v/>
      </c>
      <c r="O1035" s="7" t="str">
        <f ca="1">IF(Tabela3[[#This Row],[Data da compra]]&gt;0,(TODAY()-Tabela3[[#This Row],[Data da compra]])/365,"")</f>
        <v/>
      </c>
      <c r="P1035" s="7" t="str">
        <f>IFERROR(VLOOKUP(Tabela3[[#This Row],[Categoria]],Cadastros!A:C,3,0),"")</f>
        <v/>
      </c>
      <c r="Q1035" s="9" t="str">
        <f ca="1">IFERROR(Tabela3[[#This Row],[Vida útil]]-Tabela3[[#This Row],[Idade]],"")</f>
        <v/>
      </c>
      <c r="R1035" s="8" t="str">
        <f ca="1">IFERROR(Tabela3[[#This Row],[Valor]]-(Tabela3[[#This Row],[Valor]]*(Tabela3[[#This Row],[Idade]]*VLOOKUP(Tabela3[[#This Row],[Categoria]],Cadastros!A:B,2,0))),"")</f>
        <v/>
      </c>
    </row>
    <row r="1036" spans="4:18" x14ac:dyDescent="0.25">
      <c r="D1036" s="5"/>
      <c r="N1036" s="6" t="str">
        <f>IFERROR(Tabela3[[#This Row],[Última revisão do bem]]+(VLOOKUP(Tabela3[[#This Row],[Categoria]],Cadastros!A:D,4,0)+365),"")</f>
        <v/>
      </c>
      <c r="O1036" s="7" t="str">
        <f ca="1">IF(Tabela3[[#This Row],[Data da compra]]&gt;0,(TODAY()-Tabela3[[#This Row],[Data da compra]])/365,"")</f>
        <v/>
      </c>
      <c r="P1036" s="7" t="str">
        <f>IFERROR(VLOOKUP(Tabela3[[#This Row],[Categoria]],Cadastros!A:C,3,0),"")</f>
        <v/>
      </c>
      <c r="Q1036" s="9" t="str">
        <f ca="1">IFERROR(Tabela3[[#This Row],[Vida útil]]-Tabela3[[#This Row],[Idade]],"")</f>
        <v/>
      </c>
      <c r="R1036" s="8" t="str">
        <f ca="1">IFERROR(Tabela3[[#This Row],[Valor]]-(Tabela3[[#This Row],[Valor]]*(Tabela3[[#This Row],[Idade]]*VLOOKUP(Tabela3[[#This Row],[Categoria]],Cadastros!A:B,2,0))),"")</f>
        <v/>
      </c>
    </row>
    <row r="1037" spans="4:18" x14ac:dyDescent="0.25">
      <c r="D1037" s="5"/>
      <c r="N1037" s="6" t="str">
        <f>IFERROR(Tabela3[[#This Row],[Última revisão do bem]]+(VLOOKUP(Tabela3[[#This Row],[Categoria]],Cadastros!A:D,4,0)+365),"")</f>
        <v/>
      </c>
      <c r="O1037" s="7" t="str">
        <f ca="1">IF(Tabela3[[#This Row],[Data da compra]]&gt;0,(TODAY()-Tabela3[[#This Row],[Data da compra]])/365,"")</f>
        <v/>
      </c>
      <c r="P1037" s="7" t="str">
        <f>IFERROR(VLOOKUP(Tabela3[[#This Row],[Categoria]],Cadastros!A:C,3,0),"")</f>
        <v/>
      </c>
      <c r="Q1037" s="9" t="str">
        <f ca="1">IFERROR(Tabela3[[#This Row],[Vida útil]]-Tabela3[[#This Row],[Idade]],"")</f>
        <v/>
      </c>
      <c r="R1037" s="8" t="str">
        <f ca="1">IFERROR(Tabela3[[#This Row],[Valor]]-(Tabela3[[#This Row],[Valor]]*(Tabela3[[#This Row],[Idade]]*VLOOKUP(Tabela3[[#This Row],[Categoria]],Cadastros!A:B,2,0))),"")</f>
        <v/>
      </c>
    </row>
    <row r="1038" spans="4:18" x14ac:dyDescent="0.25">
      <c r="D1038" s="5"/>
      <c r="N1038" s="6" t="str">
        <f>IFERROR(Tabela3[[#This Row],[Última revisão do bem]]+(VLOOKUP(Tabela3[[#This Row],[Categoria]],Cadastros!A:D,4,0)+365),"")</f>
        <v/>
      </c>
      <c r="O1038" s="7" t="str">
        <f ca="1">IF(Tabela3[[#This Row],[Data da compra]]&gt;0,(TODAY()-Tabela3[[#This Row],[Data da compra]])/365,"")</f>
        <v/>
      </c>
      <c r="P1038" s="7" t="str">
        <f>IFERROR(VLOOKUP(Tabela3[[#This Row],[Categoria]],Cadastros!A:C,3,0),"")</f>
        <v/>
      </c>
      <c r="Q1038" s="9" t="str">
        <f ca="1">IFERROR(Tabela3[[#This Row],[Vida útil]]-Tabela3[[#This Row],[Idade]],"")</f>
        <v/>
      </c>
      <c r="R1038" s="8" t="str">
        <f ca="1">IFERROR(Tabela3[[#This Row],[Valor]]-(Tabela3[[#This Row],[Valor]]*(Tabela3[[#This Row],[Idade]]*VLOOKUP(Tabela3[[#This Row],[Categoria]],Cadastros!A:B,2,0))),"")</f>
        <v/>
      </c>
    </row>
    <row r="1039" spans="4:18" x14ac:dyDescent="0.25">
      <c r="D1039" s="5"/>
      <c r="N1039" s="6" t="str">
        <f>IFERROR(Tabela3[[#This Row],[Última revisão do bem]]+(VLOOKUP(Tabela3[[#This Row],[Categoria]],Cadastros!A:D,4,0)+365),"")</f>
        <v/>
      </c>
      <c r="O1039" s="7" t="str">
        <f ca="1">IF(Tabela3[[#This Row],[Data da compra]]&gt;0,(TODAY()-Tabela3[[#This Row],[Data da compra]])/365,"")</f>
        <v/>
      </c>
      <c r="P1039" s="7" t="str">
        <f>IFERROR(VLOOKUP(Tabela3[[#This Row],[Categoria]],Cadastros!A:C,3,0),"")</f>
        <v/>
      </c>
      <c r="Q1039" s="9" t="str">
        <f ca="1">IFERROR(Tabela3[[#This Row],[Vida útil]]-Tabela3[[#This Row],[Idade]],"")</f>
        <v/>
      </c>
      <c r="R1039" s="8" t="str">
        <f ca="1">IFERROR(Tabela3[[#This Row],[Valor]]-(Tabela3[[#This Row],[Valor]]*(Tabela3[[#This Row],[Idade]]*VLOOKUP(Tabela3[[#This Row],[Categoria]],Cadastros!A:B,2,0))),"")</f>
        <v/>
      </c>
    </row>
    <row r="1040" spans="4:18" x14ac:dyDescent="0.25">
      <c r="D1040" s="5"/>
      <c r="N1040" s="6" t="str">
        <f>IFERROR(Tabela3[[#This Row],[Última revisão do bem]]+(VLOOKUP(Tabela3[[#This Row],[Categoria]],Cadastros!A:D,4,0)+365),"")</f>
        <v/>
      </c>
      <c r="O1040" s="7" t="str">
        <f ca="1">IF(Tabela3[[#This Row],[Data da compra]]&gt;0,(TODAY()-Tabela3[[#This Row],[Data da compra]])/365,"")</f>
        <v/>
      </c>
      <c r="P1040" s="7" t="str">
        <f>IFERROR(VLOOKUP(Tabela3[[#This Row],[Categoria]],Cadastros!A:C,3,0),"")</f>
        <v/>
      </c>
      <c r="Q1040" s="9" t="str">
        <f ca="1">IFERROR(Tabela3[[#This Row],[Vida útil]]-Tabela3[[#This Row],[Idade]],"")</f>
        <v/>
      </c>
      <c r="R1040" s="8" t="str">
        <f ca="1">IFERROR(Tabela3[[#This Row],[Valor]]-(Tabela3[[#This Row],[Valor]]*(Tabela3[[#This Row],[Idade]]*VLOOKUP(Tabela3[[#This Row],[Categoria]],Cadastros!A:B,2,0))),"")</f>
        <v/>
      </c>
    </row>
    <row r="1041" spans="4:18" x14ac:dyDescent="0.25">
      <c r="D1041" s="5"/>
      <c r="N1041" s="6" t="str">
        <f>IFERROR(Tabela3[[#This Row],[Última revisão do bem]]+(VLOOKUP(Tabela3[[#This Row],[Categoria]],Cadastros!A:D,4,0)+365),"")</f>
        <v/>
      </c>
      <c r="O1041" s="7" t="str">
        <f ca="1">IF(Tabela3[[#This Row],[Data da compra]]&gt;0,(TODAY()-Tabela3[[#This Row],[Data da compra]])/365,"")</f>
        <v/>
      </c>
      <c r="P1041" s="7" t="str">
        <f>IFERROR(VLOOKUP(Tabela3[[#This Row],[Categoria]],Cadastros!A:C,3,0),"")</f>
        <v/>
      </c>
      <c r="Q1041" s="9" t="str">
        <f ca="1">IFERROR(Tabela3[[#This Row],[Vida útil]]-Tabela3[[#This Row],[Idade]],"")</f>
        <v/>
      </c>
      <c r="R1041" s="8" t="str">
        <f ca="1">IFERROR(Tabela3[[#This Row],[Valor]]-(Tabela3[[#This Row],[Valor]]*(Tabela3[[#This Row],[Idade]]*VLOOKUP(Tabela3[[#This Row],[Categoria]],Cadastros!A:B,2,0))),"")</f>
        <v/>
      </c>
    </row>
    <row r="1042" spans="4:18" x14ac:dyDescent="0.25">
      <c r="D1042" s="5"/>
      <c r="N1042" s="6" t="str">
        <f>IFERROR(Tabela3[[#This Row],[Última revisão do bem]]+(VLOOKUP(Tabela3[[#This Row],[Categoria]],Cadastros!A:D,4,0)+365),"")</f>
        <v/>
      </c>
      <c r="O1042" s="7" t="str">
        <f ca="1">IF(Tabela3[[#This Row],[Data da compra]]&gt;0,(TODAY()-Tabela3[[#This Row],[Data da compra]])/365,"")</f>
        <v/>
      </c>
      <c r="P1042" s="7" t="str">
        <f>IFERROR(VLOOKUP(Tabela3[[#This Row],[Categoria]],Cadastros!A:C,3,0),"")</f>
        <v/>
      </c>
      <c r="Q1042" s="9" t="str">
        <f ca="1">IFERROR(Tabela3[[#This Row],[Vida útil]]-Tabela3[[#This Row],[Idade]],"")</f>
        <v/>
      </c>
      <c r="R1042" s="8" t="str">
        <f ca="1">IFERROR(Tabela3[[#This Row],[Valor]]-(Tabela3[[#This Row],[Valor]]*(Tabela3[[#This Row],[Idade]]*VLOOKUP(Tabela3[[#This Row],[Categoria]],Cadastros!A:B,2,0))),"")</f>
        <v/>
      </c>
    </row>
    <row r="1043" spans="4:18" x14ac:dyDescent="0.25">
      <c r="D1043" s="5"/>
      <c r="N1043" s="6" t="str">
        <f>IFERROR(Tabela3[[#This Row],[Última revisão do bem]]+(VLOOKUP(Tabela3[[#This Row],[Categoria]],Cadastros!A:D,4,0)+365),"")</f>
        <v/>
      </c>
      <c r="O1043" s="7" t="str">
        <f ca="1">IF(Tabela3[[#This Row],[Data da compra]]&gt;0,(TODAY()-Tabela3[[#This Row],[Data da compra]])/365,"")</f>
        <v/>
      </c>
      <c r="P1043" s="7" t="str">
        <f>IFERROR(VLOOKUP(Tabela3[[#This Row],[Categoria]],Cadastros!A:C,3,0),"")</f>
        <v/>
      </c>
      <c r="Q1043" s="9" t="str">
        <f ca="1">IFERROR(Tabela3[[#This Row],[Vida útil]]-Tabela3[[#This Row],[Idade]],"")</f>
        <v/>
      </c>
      <c r="R1043" s="8" t="str">
        <f ca="1">IFERROR(Tabela3[[#This Row],[Valor]]-(Tabela3[[#This Row],[Valor]]*(Tabela3[[#This Row],[Idade]]*VLOOKUP(Tabela3[[#This Row],[Categoria]],Cadastros!A:B,2,0))),"")</f>
        <v/>
      </c>
    </row>
    <row r="1044" spans="4:18" x14ac:dyDescent="0.25">
      <c r="D1044" s="5"/>
      <c r="N1044" s="6" t="str">
        <f>IFERROR(Tabela3[[#This Row],[Última revisão do bem]]+(VLOOKUP(Tabela3[[#This Row],[Categoria]],Cadastros!A:D,4,0)+365),"")</f>
        <v/>
      </c>
      <c r="O1044" s="7" t="str">
        <f ca="1">IF(Tabela3[[#This Row],[Data da compra]]&gt;0,(TODAY()-Tabela3[[#This Row],[Data da compra]])/365,"")</f>
        <v/>
      </c>
      <c r="P1044" s="7" t="str">
        <f>IFERROR(VLOOKUP(Tabela3[[#This Row],[Categoria]],Cadastros!A:C,3,0),"")</f>
        <v/>
      </c>
      <c r="Q1044" s="9" t="str">
        <f ca="1">IFERROR(Tabela3[[#This Row],[Vida útil]]-Tabela3[[#This Row],[Idade]],"")</f>
        <v/>
      </c>
      <c r="R1044" s="8" t="str">
        <f ca="1">IFERROR(Tabela3[[#This Row],[Valor]]-(Tabela3[[#This Row],[Valor]]*(Tabela3[[#This Row],[Idade]]*VLOOKUP(Tabela3[[#This Row],[Categoria]],Cadastros!A:B,2,0))),"")</f>
        <v/>
      </c>
    </row>
    <row r="1045" spans="4:18" x14ac:dyDescent="0.25">
      <c r="D1045" s="5"/>
      <c r="N1045" s="6" t="str">
        <f>IFERROR(Tabela3[[#This Row],[Última revisão do bem]]+(VLOOKUP(Tabela3[[#This Row],[Categoria]],Cadastros!A:D,4,0)+365),"")</f>
        <v/>
      </c>
      <c r="O1045" s="7" t="str">
        <f ca="1">IF(Tabela3[[#This Row],[Data da compra]]&gt;0,(TODAY()-Tabela3[[#This Row],[Data da compra]])/365,"")</f>
        <v/>
      </c>
      <c r="P1045" s="7" t="str">
        <f>IFERROR(VLOOKUP(Tabela3[[#This Row],[Categoria]],Cadastros!A:C,3,0),"")</f>
        <v/>
      </c>
      <c r="Q1045" s="9" t="str">
        <f ca="1">IFERROR(Tabela3[[#This Row],[Vida útil]]-Tabela3[[#This Row],[Idade]],"")</f>
        <v/>
      </c>
      <c r="R1045" s="8" t="str">
        <f ca="1">IFERROR(Tabela3[[#This Row],[Valor]]-(Tabela3[[#This Row],[Valor]]*(Tabela3[[#This Row],[Idade]]*VLOOKUP(Tabela3[[#This Row],[Categoria]],Cadastros!A:B,2,0))),"")</f>
        <v/>
      </c>
    </row>
    <row r="1046" spans="4:18" x14ac:dyDescent="0.25">
      <c r="D1046" s="5"/>
      <c r="N1046" s="6" t="str">
        <f>IFERROR(Tabela3[[#This Row],[Última revisão do bem]]+(VLOOKUP(Tabela3[[#This Row],[Categoria]],Cadastros!A:D,4,0)+365),"")</f>
        <v/>
      </c>
      <c r="O1046" s="7" t="str">
        <f ca="1">IF(Tabela3[[#This Row],[Data da compra]]&gt;0,(TODAY()-Tabela3[[#This Row],[Data da compra]])/365,"")</f>
        <v/>
      </c>
      <c r="P1046" s="7" t="str">
        <f>IFERROR(VLOOKUP(Tabela3[[#This Row],[Categoria]],Cadastros!A:C,3,0),"")</f>
        <v/>
      </c>
      <c r="Q1046" s="9" t="str">
        <f ca="1">IFERROR(Tabela3[[#This Row],[Vida útil]]-Tabela3[[#This Row],[Idade]],"")</f>
        <v/>
      </c>
      <c r="R1046" s="8" t="str">
        <f ca="1">IFERROR(Tabela3[[#This Row],[Valor]]-(Tabela3[[#This Row],[Valor]]*(Tabela3[[#This Row],[Idade]]*VLOOKUP(Tabela3[[#This Row],[Categoria]],Cadastros!A:B,2,0))),"")</f>
        <v/>
      </c>
    </row>
    <row r="1047" spans="4:18" x14ac:dyDescent="0.25">
      <c r="D1047" s="5"/>
      <c r="N1047" s="6" t="str">
        <f>IFERROR(Tabela3[[#This Row],[Última revisão do bem]]+(VLOOKUP(Tabela3[[#This Row],[Categoria]],Cadastros!A:D,4,0)+365),"")</f>
        <v/>
      </c>
      <c r="O1047" s="7" t="str">
        <f ca="1">IF(Tabela3[[#This Row],[Data da compra]]&gt;0,(TODAY()-Tabela3[[#This Row],[Data da compra]])/365,"")</f>
        <v/>
      </c>
      <c r="P1047" s="7" t="str">
        <f>IFERROR(VLOOKUP(Tabela3[[#This Row],[Categoria]],Cadastros!A:C,3,0),"")</f>
        <v/>
      </c>
      <c r="Q1047" s="9" t="str">
        <f ca="1">IFERROR(Tabela3[[#This Row],[Vida útil]]-Tabela3[[#This Row],[Idade]],"")</f>
        <v/>
      </c>
      <c r="R1047" s="8" t="str">
        <f ca="1">IFERROR(Tabela3[[#This Row],[Valor]]-(Tabela3[[#This Row],[Valor]]*(Tabela3[[#This Row],[Idade]]*VLOOKUP(Tabela3[[#This Row],[Categoria]],Cadastros!A:B,2,0))),"")</f>
        <v/>
      </c>
    </row>
    <row r="1048" spans="4:18" x14ac:dyDescent="0.25">
      <c r="D1048" s="5"/>
      <c r="N1048" s="6" t="str">
        <f>IFERROR(Tabela3[[#This Row],[Última revisão do bem]]+(VLOOKUP(Tabela3[[#This Row],[Categoria]],Cadastros!A:D,4,0)+365),"")</f>
        <v/>
      </c>
      <c r="O1048" s="7" t="str">
        <f ca="1">IF(Tabela3[[#This Row],[Data da compra]]&gt;0,(TODAY()-Tabela3[[#This Row],[Data da compra]])/365,"")</f>
        <v/>
      </c>
      <c r="P1048" s="7" t="str">
        <f>IFERROR(VLOOKUP(Tabela3[[#This Row],[Categoria]],Cadastros!A:C,3,0),"")</f>
        <v/>
      </c>
      <c r="Q1048" s="9" t="str">
        <f ca="1">IFERROR(Tabela3[[#This Row],[Vida útil]]-Tabela3[[#This Row],[Idade]],"")</f>
        <v/>
      </c>
      <c r="R1048" s="8" t="str">
        <f ca="1">IFERROR(Tabela3[[#This Row],[Valor]]-(Tabela3[[#This Row],[Valor]]*(Tabela3[[#This Row],[Idade]]*VLOOKUP(Tabela3[[#This Row],[Categoria]],Cadastros!A:B,2,0))),"")</f>
        <v/>
      </c>
    </row>
    <row r="1049" spans="4:18" x14ac:dyDescent="0.25">
      <c r="D1049" s="5"/>
      <c r="N1049" s="6" t="str">
        <f>IFERROR(Tabela3[[#This Row],[Última revisão do bem]]+(VLOOKUP(Tabela3[[#This Row],[Categoria]],Cadastros!A:D,4,0)+365),"")</f>
        <v/>
      </c>
      <c r="O1049" s="7" t="str">
        <f ca="1">IF(Tabela3[[#This Row],[Data da compra]]&gt;0,(TODAY()-Tabela3[[#This Row],[Data da compra]])/365,"")</f>
        <v/>
      </c>
      <c r="P1049" s="7" t="str">
        <f>IFERROR(VLOOKUP(Tabela3[[#This Row],[Categoria]],Cadastros!A:C,3,0),"")</f>
        <v/>
      </c>
      <c r="Q1049" s="9" t="str">
        <f ca="1">IFERROR(Tabela3[[#This Row],[Vida útil]]-Tabela3[[#This Row],[Idade]],"")</f>
        <v/>
      </c>
      <c r="R1049" s="8" t="str">
        <f ca="1">IFERROR(Tabela3[[#This Row],[Valor]]-(Tabela3[[#This Row],[Valor]]*(Tabela3[[#This Row],[Idade]]*VLOOKUP(Tabela3[[#This Row],[Categoria]],Cadastros!A:B,2,0))),"")</f>
        <v/>
      </c>
    </row>
    <row r="1050" spans="4:18" x14ac:dyDescent="0.25">
      <c r="D1050" s="22"/>
      <c r="N1050" s="6" t="str">
        <f>IFERROR(Tabela3[[#This Row],[Última revisão do bem]]+(VLOOKUP(Tabela3[[#This Row],[Categoria]],Cadastros!A:D,4,0)+365),"")</f>
        <v/>
      </c>
      <c r="O1050" s="7" t="str">
        <f ca="1">IF(Tabela3[[#This Row],[Data da compra]]&gt;0,(TODAY()-Tabela3[[#This Row],[Data da compra]])/365,"")</f>
        <v/>
      </c>
      <c r="P1050" s="7" t="str">
        <f>IFERROR(VLOOKUP(Tabela3[[#This Row],[Categoria]],Cadastros!A:C,3,0),"")</f>
        <v/>
      </c>
      <c r="Q1050" s="9" t="str">
        <f ca="1">IFERROR(Tabela3[[#This Row],[Vida útil]]-Tabela3[[#This Row],[Idade]],"")</f>
        <v/>
      </c>
      <c r="R1050" s="23" t="str">
        <f ca="1">IFERROR(Tabela3[[#This Row],[Valor]]-(Tabela3[[#This Row],[Valor]]*(Tabela3[[#This Row],[Idade]]*VLOOKUP(Tabela3[[#This Row],[Categoria]],Cadastros!A:B,2,0))),"")</f>
        <v/>
      </c>
    </row>
    <row r="1051" spans="4:18" x14ac:dyDescent="0.25">
      <c r="D1051" s="5"/>
      <c r="N1051" s="6" t="str">
        <f>IFERROR(Tabela3[[#This Row],[Última revisão do bem]]+(VLOOKUP(Tabela3[[#This Row],[Categoria]],Cadastros!A:D,4,0)+365),"")</f>
        <v/>
      </c>
      <c r="O1051" s="7" t="str">
        <f ca="1">IF(Tabela3[[#This Row],[Data da compra]]&gt;0,(TODAY()-Tabela3[[#This Row],[Data da compra]])/365,"")</f>
        <v/>
      </c>
      <c r="P1051" s="7" t="str">
        <f>IFERROR(VLOOKUP(Tabela3[[#This Row],[Categoria]],Cadastros!A:C,3,0),"")</f>
        <v/>
      </c>
      <c r="Q1051" s="9" t="str">
        <f ca="1">IFERROR(Tabela3[[#This Row],[Vida útil]]-Tabela3[[#This Row],[Idade]],"")</f>
        <v/>
      </c>
      <c r="R1051" s="8" t="str">
        <f ca="1">IFERROR(Tabela3[[#This Row],[Valor]]-(Tabela3[[#This Row],[Valor]]*(Tabela3[[#This Row],[Idade]]*VLOOKUP(Tabela3[[#This Row],[Categoria]],Cadastros!A:B,2,0))),"")</f>
        <v/>
      </c>
    </row>
    <row r="1052" spans="4:18" x14ac:dyDescent="0.25">
      <c r="D1052" s="5"/>
      <c r="N1052" s="6" t="str">
        <f>IFERROR(Tabela3[[#This Row],[Última revisão do bem]]+(VLOOKUP(Tabela3[[#This Row],[Categoria]],Cadastros!A:D,4,0)+365),"")</f>
        <v/>
      </c>
      <c r="O1052" s="7" t="str">
        <f ca="1">IF(Tabela3[[#This Row],[Data da compra]]&gt;0,(TODAY()-Tabela3[[#This Row],[Data da compra]])/365,"")</f>
        <v/>
      </c>
      <c r="P1052" s="7" t="str">
        <f>IFERROR(VLOOKUP(Tabela3[[#This Row],[Categoria]],Cadastros!A:C,3,0),"")</f>
        <v/>
      </c>
      <c r="Q1052" s="9" t="str">
        <f ca="1">IFERROR(Tabela3[[#This Row],[Vida útil]]-Tabela3[[#This Row],[Idade]],"")</f>
        <v/>
      </c>
      <c r="R1052" s="8" t="str">
        <f ca="1">IFERROR(Tabela3[[#This Row],[Valor]]-(Tabela3[[#This Row],[Valor]]*(Tabela3[[#This Row],[Idade]]*VLOOKUP(Tabela3[[#This Row],[Categoria]],Cadastros!A:B,2,0))),"")</f>
        <v/>
      </c>
    </row>
    <row r="1053" spans="4:18" x14ac:dyDescent="0.25">
      <c r="D1053" s="5"/>
      <c r="N1053" s="6" t="str">
        <f>IFERROR(Tabela3[[#This Row],[Última revisão do bem]]+(VLOOKUP(Tabela3[[#This Row],[Categoria]],Cadastros!A:D,4,0)+365),"")</f>
        <v/>
      </c>
      <c r="O1053" s="7" t="str">
        <f ca="1">IF(Tabela3[[#This Row],[Data da compra]]&gt;0,(TODAY()-Tabela3[[#This Row],[Data da compra]])/365,"")</f>
        <v/>
      </c>
      <c r="P1053" s="7" t="str">
        <f>IFERROR(VLOOKUP(Tabela3[[#This Row],[Categoria]],Cadastros!A:C,3,0),"")</f>
        <v/>
      </c>
      <c r="Q1053" s="9" t="str">
        <f ca="1">IFERROR(Tabela3[[#This Row],[Vida útil]]-Tabela3[[#This Row],[Idade]],"")</f>
        <v/>
      </c>
      <c r="R1053" s="8" t="str">
        <f ca="1">IFERROR(Tabela3[[#This Row],[Valor]]-(Tabela3[[#This Row],[Valor]]*(Tabela3[[#This Row],[Idade]]*VLOOKUP(Tabela3[[#This Row],[Categoria]],Cadastros!A:B,2,0))),"")</f>
        <v/>
      </c>
    </row>
    <row r="1054" spans="4:18" x14ac:dyDescent="0.25">
      <c r="D1054" s="5"/>
      <c r="N1054" s="6" t="str">
        <f>IFERROR(Tabela3[[#This Row],[Última revisão do bem]]+(VLOOKUP(Tabela3[[#This Row],[Categoria]],Cadastros!A:D,4,0)+365),"")</f>
        <v/>
      </c>
      <c r="O1054" s="7" t="str">
        <f ca="1">IF(Tabela3[[#This Row],[Data da compra]]&gt;0,(TODAY()-Tabela3[[#This Row],[Data da compra]])/365,"")</f>
        <v/>
      </c>
      <c r="P1054" s="7" t="str">
        <f>IFERROR(VLOOKUP(Tabela3[[#This Row],[Categoria]],Cadastros!A:C,3,0),"")</f>
        <v/>
      </c>
      <c r="Q1054" s="9" t="str">
        <f ca="1">IFERROR(Tabela3[[#This Row],[Vida útil]]-Tabela3[[#This Row],[Idade]],"")</f>
        <v/>
      </c>
      <c r="R1054" s="8" t="str">
        <f ca="1">IFERROR(Tabela3[[#This Row],[Valor]]-(Tabela3[[#This Row],[Valor]]*(Tabela3[[#This Row],[Idade]]*VLOOKUP(Tabela3[[#This Row],[Categoria]],Cadastros!A:B,2,0))),"")</f>
        <v/>
      </c>
    </row>
    <row r="1055" spans="4:18" x14ac:dyDescent="0.25">
      <c r="D1055" s="5"/>
      <c r="N1055" s="6" t="str">
        <f>IFERROR(Tabela3[[#This Row],[Última revisão do bem]]+(VLOOKUP(Tabela3[[#This Row],[Categoria]],Cadastros!A:D,4,0)+365),"")</f>
        <v/>
      </c>
      <c r="O1055" s="7" t="str">
        <f ca="1">IF(Tabela3[[#This Row],[Data da compra]]&gt;0,(TODAY()-Tabela3[[#This Row],[Data da compra]])/365,"")</f>
        <v/>
      </c>
      <c r="P1055" s="7" t="str">
        <f>IFERROR(VLOOKUP(Tabela3[[#This Row],[Categoria]],Cadastros!A:C,3,0),"")</f>
        <v/>
      </c>
      <c r="Q1055" s="9" t="str">
        <f ca="1">IFERROR(Tabela3[[#This Row],[Vida útil]]-Tabela3[[#This Row],[Idade]],"")</f>
        <v/>
      </c>
      <c r="R1055" s="8" t="str">
        <f ca="1">IFERROR(Tabela3[[#This Row],[Valor]]-(Tabela3[[#This Row],[Valor]]*(Tabela3[[#This Row],[Idade]]*VLOOKUP(Tabela3[[#This Row],[Categoria]],Cadastros!A:B,2,0))),"")</f>
        <v/>
      </c>
    </row>
    <row r="1056" spans="4:18" x14ac:dyDescent="0.25">
      <c r="D1056" s="5"/>
      <c r="N1056" s="6" t="str">
        <f>IFERROR(Tabela3[[#This Row],[Última revisão do bem]]+(VLOOKUP(Tabela3[[#This Row],[Categoria]],Cadastros!A:D,4,0)+365),"")</f>
        <v/>
      </c>
      <c r="O1056" s="7" t="str">
        <f ca="1">IF(Tabela3[[#This Row],[Data da compra]]&gt;0,(TODAY()-Tabela3[[#This Row],[Data da compra]])/365,"")</f>
        <v/>
      </c>
      <c r="P1056" s="7" t="str">
        <f>IFERROR(VLOOKUP(Tabela3[[#This Row],[Categoria]],Cadastros!A:C,3,0),"")</f>
        <v/>
      </c>
      <c r="Q1056" s="9" t="str">
        <f ca="1">IFERROR(Tabela3[[#This Row],[Vida útil]]-Tabela3[[#This Row],[Idade]],"")</f>
        <v/>
      </c>
      <c r="R1056" s="8" t="str">
        <f ca="1">IFERROR(Tabela3[[#This Row],[Valor]]-(Tabela3[[#This Row],[Valor]]*(Tabela3[[#This Row],[Idade]]*VLOOKUP(Tabela3[[#This Row],[Categoria]],Cadastros!A:B,2,0))),"")</f>
        <v/>
      </c>
    </row>
    <row r="1057" spans="4:18" x14ac:dyDescent="0.25">
      <c r="D1057" s="5"/>
      <c r="N1057" s="6" t="str">
        <f>IFERROR(Tabela3[[#This Row],[Última revisão do bem]]+(VLOOKUP(Tabela3[[#This Row],[Categoria]],Cadastros!A:D,4,0)+365),"")</f>
        <v/>
      </c>
      <c r="O1057" s="7" t="str">
        <f ca="1">IF(Tabela3[[#This Row],[Data da compra]]&gt;0,(TODAY()-Tabela3[[#This Row],[Data da compra]])/365,"")</f>
        <v/>
      </c>
      <c r="P1057" s="7" t="str">
        <f>IFERROR(VLOOKUP(Tabela3[[#This Row],[Categoria]],Cadastros!A:C,3,0),"")</f>
        <v/>
      </c>
      <c r="Q1057" s="9" t="str">
        <f ca="1">IFERROR(Tabela3[[#This Row],[Vida útil]]-Tabela3[[#This Row],[Idade]],"")</f>
        <v/>
      </c>
      <c r="R1057" s="8" t="str">
        <f ca="1">IFERROR(Tabela3[[#This Row],[Valor]]-(Tabela3[[#This Row],[Valor]]*(Tabela3[[#This Row],[Idade]]*VLOOKUP(Tabela3[[#This Row],[Categoria]],Cadastros!A:B,2,0))),"")</f>
        <v/>
      </c>
    </row>
    <row r="1058" spans="4:18" x14ac:dyDescent="0.25">
      <c r="D1058" s="5"/>
      <c r="N1058" s="6" t="str">
        <f>IFERROR(Tabela3[[#This Row],[Última revisão do bem]]+(VLOOKUP(Tabela3[[#This Row],[Categoria]],Cadastros!A:D,4,0)+365),"")</f>
        <v/>
      </c>
      <c r="O1058" s="7" t="str">
        <f ca="1">IF(Tabela3[[#This Row],[Data da compra]]&gt;0,(TODAY()-Tabela3[[#This Row],[Data da compra]])/365,"")</f>
        <v/>
      </c>
      <c r="P1058" s="7" t="str">
        <f>IFERROR(VLOOKUP(Tabela3[[#This Row],[Categoria]],Cadastros!A:C,3,0),"")</f>
        <v/>
      </c>
      <c r="Q1058" s="9" t="str">
        <f ca="1">IFERROR(Tabela3[[#This Row],[Vida útil]]-Tabela3[[#This Row],[Idade]],"")</f>
        <v/>
      </c>
      <c r="R1058" s="8" t="str">
        <f ca="1">IFERROR(Tabela3[[#This Row],[Valor]]-(Tabela3[[#This Row],[Valor]]*(Tabela3[[#This Row],[Idade]]*VLOOKUP(Tabela3[[#This Row],[Categoria]],Cadastros!A:B,2,0))),"")</f>
        <v/>
      </c>
    </row>
    <row r="1059" spans="4:18" x14ac:dyDescent="0.25">
      <c r="D1059" s="5"/>
      <c r="N1059" s="6" t="str">
        <f>IFERROR(Tabela3[[#This Row],[Última revisão do bem]]+(VLOOKUP(Tabela3[[#This Row],[Categoria]],Cadastros!A:D,4,0)+365),"")</f>
        <v/>
      </c>
      <c r="O1059" s="7" t="str">
        <f ca="1">IF(Tabela3[[#This Row],[Data da compra]]&gt;0,(TODAY()-Tabela3[[#This Row],[Data da compra]])/365,"")</f>
        <v/>
      </c>
      <c r="P1059" s="7" t="str">
        <f>IFERROR(VLOOKUP(Tabela3[[#This Row],[Categoria]],Cadastros!A:C,3,0),"")</f>
        <v/>
      </c>
      <c r="Q1059" s="9" t="str">
        <f ca="1">IFERROR(Tabela3[[#This Row],[Vida útil]]-Tabela3[[#This Row],[Idade]],"")</f>
        <v/>
      </c>
      <c r="R1059" s="8" t="str">
        <f ca="1">IFERROR(Tabela3[[#This Row],[Valor]]-(Tabela3[[#This Row],[Valor]]*(Tabela3[[#This Row],[Idade]]*VLOOKUP(Tabela3[[#This Row],[Categoria]],Cadastros!A:B,2,0))),"")</f>
        <v/>
      </c>
    </row>
    <row r="1060" spans="4:18" x14ac:dyDescent="0.25">
      <c r="D1060" s="5"/>
      <c r="N1060" s="6" t="str">
        <f>IFERROR(Tabela3[[#This Row],[Última revisão do bem]]+(VLOOKUP(Tabela3[[#This Row],[Categoria]],Cadastros!A:D,4,0)+365),"")</f>
        <v/>
      </c>
      <c r="O1060" s="7" t="str">
        <f ca="1">IF(Tabela3[[#This Row],[Data da compra]]&gt;0,(TODAY()-Tabela3[[#This Row],[Data da compra]])/365,"")</f>
        <v/>
      </c>
      <c r="P1060" s="7" t="str">
        <f>IFERROR(VLOOKUP(Tabela3[[#This Row],[Categoria]],Cadastros!A:C,3,0),"")</f>
        <v/>
      </c>
      <c r="Q1060" s="9" t="str">
        <f ca="1">IFERROR(Tabela3[[#This Row],[Vida útil]]-Tabela3[[#This Row],[Idade]],"")</f>
        <v/>
      </c>
      <c r="R1060" s="8" t="str">
        <f ca="1">IFERROR(Tabela3[[#This Row],[Valor]]-(Tabela3[[#This Row],[Valor]]*(Tabela3[[#This Row],[Idade]]*VLOOKUP(Tabela3[[#This Row],[Categoria]],Cadastros!A:B,2,0))),"")</f>
        <v/>
      </c>
    </row>
    <row r="1061" spans="4:18" x14ac:dyDescent="0.25">
      <c r="D1061" s="5"/>
      <c r="N1061" s="6" t="str">
        <f>IFERROR(Tabela3[[#This Row],[Última revisão do bem]]+(VLOOKUP(Tabela3[[#This Row],[Categoria]],Cadastros!A:D,4,0)+365),"")</f>
        <v/>
      </c>
      <c r="O1061" s="7" t="str">
        <f ca="1">IF(Tabela3[[#This Row],[Data da compra]]&gt;0,(TODAY()-Tabela3[[#This Row],[Data da compra]])/365,"")</f>
        <v/>
      </c>
      <c r="P1061" s="7" t="str">
        <f>IFERROR(VLOOKUP(Tabela3[[#This Row],[Categoria]],Cadastros!A:C,3,0),"")</f>
        <v/>
      </c>
      <c r="Q1061" s="9" t="str">
        <f ca="1">IFERROR(Tabela3[[#This Row],[Vida útil]]-Tabela3[[#This Row],[Idade]],"")</f>
        <v/>
      </c>
      <c r="R1061" s="8" t="str">
        <f ca="1">IFERROR(Tabela3[[#This Row],[Valor]]-(Tabela3[[#This Row],[Valor]]*(Tabela3[[#This Row],[Idade]]*VLOOKUP(Tabela3[[#This Row],[Categoria]],Cadastros!A:B,2,0))),"")</f>
        <v/>
      </c>
    </row>
    <row r="1062" spans="4:18" x14ac:dyDescent="0.25">
      <c r="D1062" s="5"/>
      <c r="N1062" s="6" t="str">
        <f>IFERROR(Tabela3[[#This Row],[Última revisão do bem]]+(VLOOKUP(Tabela3[[#This Row],[Categoria]],Cadastros!A:D,4,0)+365),"")</f>
        <v/>
      </c>
      <c r="O1062" s="7" t="str">
        <f ca="1">IF(Tabela3[[#This Row],[Data da compra]]&gt;0,(TODAY()-Tabela3[[#This Row],[Data da compra]])/365,"")</f>
        <v/>
      </c>
      <c r="P1062" s="7" t="str">
        <f>IFERROR(VLOOKUP(Tabela3[[#This Row],[Categoria]],Cadastros!A:C,3,0),"")</f>
        <v/>
      </c>
      <c r="Q1062" s="9" t="str">
        <f ca="1">IFERROR(Tabela3[[#This Row],[Vida útil]]-Tabela3[[#This Row],[Idade]],"")</f>
        <v/>
      </c>
      <c r="R1062" s="8" t="str">
        <f ca="1">IFERROR(Tabela3[[#This Row],[Valor]]-(Tabela3[[#This Row],[Valor]]*(Tabela3[[#This Row],[Idade]]*VLOOKUP(Tabela3[[#This Row],[Categoria]],Cadastros!A:B,2,0))),"")</f>
        <v/>
      </c>
    </row>
    <row r="1063" spans="4:18" x14ac:dyDescent="0.25">
      <c r="D1063" s="5"/>
      <c r="N1063" s="6" t="str">
        <f>IFERROR(Tabela3[[#This Row],[Última revisão do bem]]+(VLOOKUP(Tabela3[[#This Row],[Categoria]],Cadastros!A:D,4,0)+365),"")</f>
        <v/>
      </c>
      <c r="O1063" s="7" t="str">
        <f ca="1">IF(Tabela3[[#This Row],[Data da compra]]&gt;0,(TODAY()-Tabela3[[#This Row],[Data da compra]])/365,"")</f>
        <v/>
      </c>
      <c r="P1063" s="7" t="str">
        <f>IFERROR(VLOOKUP(Tabela3[[#This Row],[Categoria]],Cadastros!A:C,3,0),"")</f>
        <v/>
      </c>
      <c r="Q1063" s="9" t="str">
        <f ca="1">IFERROR(Tabela3[[#This Row],[Vida útil]]-Tabela3[[#This Row],[Idade]],"")</f>
        <v/>
      </c>
      <c r="R1063" s="8" t="str">
        <f ca="1">IFERROR(Tabela3[[#This Row],[Valor]]-(Tabela3[[#This Row],[Valor]]*(Tabela3[[#This Row],[Idade]]*VLOOKUP(Tabela3[[#This Row],[Categoria]],Cadastros!A:B,2,0))),"")</f>
        <v/>
      </c>
    </row>
    <row r="1064" spans="4:18" x14ac:dyDescent="0.25">
      <c r="D1064" s="5"/>
      <c r="N1064" s="6" t="str">
        <f>IFERROR(Tabela3[[#This Row],[Última revisão do bem]]+(VLOOKUP(Tabela3[[#This Row],[Categoria]],Cadastros!A:D,4,0)+365),"")</f>
        <v/>
      </c>
      <c r="O1064" s="7" t="str">
        <f ca="1">IF(Tabela3[[#This Row],[Data da compra]]&gt;0,(TODAY()-Tabela3[[#This Row],[Data da compra]])/365,"")</f>
        <v/>
      </c>
      <c r="P1064" s="7" t="str">
        <f>IFERROR(VLOOKUP(Tabela3[[#This Row],[Categoria]],Cadastros!A:C,3,0),"")</f>
        <v/>
      </c>
      <c r="Q1064" s="9" t="str">
        <f ca="1">IFERROR(Tabela3[[#This Row],[Vida útil]]-Tabela3[[#This Row],[Idade]],"")</f>
        <v/>
      </c>
      <c r="R1064" s="8" t="str">
        <f ca="1">IFERROR(Tabela3[[#This Row],[Valor]]-(Tabela3[[#This Row],[Valor]]*(Tabela3[[#This Row],[Idade]]*VLOOKUP(Tabela3[[#This Row],[Categoria]],Cadastros!A:B,2,0))),"")</f>
        <v/>
      </c>
    </row>
    <row r="1065" spans="4:18" x14ac:dyDescent="0.25">
      <c r="D1065" s="5"/>
      <c r="N1065" s="6" t="str">
        <f>IFERROR(Tabela3[[#This Row],[Última revisão do bem]]+(VLOOKUP(Tabela3[[#This Row],[Categoria]],Cadastros!A:D,4,0)+365),"")</f>
        <v/>
      </c>
      <c r="O1065" s="7" t="str">
        <f ca="1">IF(Tabela3[[#This Row],[Data da compra]]&gt;0,(TODAY()-Tabela3[[#This Row],[Data da compra]])/365,"")</f>
        <v/>
      </c>
      <c r="P1065" s="7" t="str">
        <f>IFERROR(VLOOKUP(Tabela3[[#This Row],[Categoria]],Cadastros!A:C,3,0),"")</f>
        <v/>
      </c>
      <c r="Q1065" s="9" t="str">
        <f ca="1">IFERROR(Tabela3[[#This Row],[Vida útil]]-Tabela3[[#This Row],[Idade]],"")</f>
        <v/>
      </c>
      <c r="R1065" s="8" t="str">
        <f ca="1">IFERROR(Tabela3[[#This Row],[Valor]]-(Tabela3[[#This Row],[Valor]]*(Tabela3[[#This Row],[Idade]]*VLOOKUP(Tabela3[[#This Row],[Categoria]],Cadastros!A:B,2,0))),"")</f>
        <v/>
      </c>
    </row>
    <row r="1066" spans="4:18" x14ac:dyDescent="0.25">
      <c r="D1066" s="5"/>
      <c r="N1066" s="6" t="str">
        <f>IFERROR(Tabela3[[#This Row],[Última revisão do bem]]+(VLOOKUP(Tabela3[[#This Row],[Categoria]],Cadastros!A:D,4,0)+365),"")</f>
        <v/>
      </c>
      <c r="O1066" s="7" t="str">
        <f ca="1">IF(Tabela3[[#This Row],[Data da compra]]&gt;0,(TODAY()-Tabela3[[#This Row],[Data da compra]])/365,"")</f>
        <v/>
      </c>
      <c r="P1066" s="7" t="str">
        <f>IFERROR(VLOOKUP(Tabela3[[#This Row],[Categoria]],Cadastros!A:C,3,0),"")</f>
        <v/>
      </c>
      <c r="Q1066" s="9" t="str">
        <f ca="1">IFERROR(Tabela3[[#This Row],[Vida útil]]-Tabela3[[#This Row],[Idade]],"")</f>
        <v/>
      </c>
      <c r="R1066" s="8" t="str">
        <f ca="1">IFERROR(Tabela3[[#This Row],[Valor]]-(Tabela3[[#This Row],[Valor]]*(Tabela3[[#This Row],[Idade]]*VLOOKUP(Tabela3[[#This Row],[Categoria]],Cadastros!A:B,2,0))),"")</f>
        <v/>
      </c>
    </row>
    <row r="1067" spans="4:18" x14ac:dyDescent="0.25">
      <c r="D1067" s="5"/>
      <c r="N1067" s="6" t="str">
        <f>IFERROR(Tabela3[[#This Row],[Última revisão do bem]]+(VLOOKUP(Tabela3[[#This Row],[Categoria]],Cadastros!A:D,4,0)+365),"")</f>
        <v/>
      </c>
      <c r="O1067" s="7" t="str">
        <f ca="1">IF(Tabela3[[#This Row],[Data da compra]]&gt;0,(TODAY()-Tabela3[[#This Row],[Data da compra]])/365,"")</f>
        <v/>
      </c>
      <c r="P1067" s="7" t="str">
        <f>IFERROR(VLOOKUP(Tabela3[[#This Row],[Categoria]],Cadastros!A:C,3,0),"")</f>
        <v/>
      </c>
      <c r="Q1067" s="9" t="str">
        <f ca="1">IFERROR(Tabela3[[#This Row],[Vida útil]]-Tabela3[[#This Row],[Idade]],"")</f>
        <v/>
      </c>
      <c r="R1067" s="8" t="str">
        <f ca="1">IFERROR(Tabela3[[#This Row],[Valor]]-(Tabela3[[#This Row],[Valor]]*(Tabela3[[#This Row],[Idade]]*VLOOKUP(Tabela3[[#This Row],[Categoria]],Cadastros!A:B,2,0))),"")</f>
        <v/>
      </c>
    </row>
    <row r="1068" spans="4:18" x14ac:dyDescent="0.25">
      <c r="D1068" s="22"/>
      <c r="N1068" s="6" t="str">
        <f>IFERROR(Tabela3[[#This Row],[Última revisão do bem]]+(VLOOKUP(Tabela3[[#This Row],[Categoria]],Cadastros!A:D,4,0)+365),"")</f>
        <v/>
      </c>
      <c r="O1068" s="7" t="str">
        <f ca="1">IF(Tabela3[[#This Row],[Data da compra]]&gt;0,(TODAY()-Tabela3[[#This Row],[Data da compra]])/365,"")</f>
        <v/>
      </c>
      <c r="P1068" s="7" t="str">
        <f>IFERROR(VLOOKUP(Tabela3[[#This Row],[Categoria]],Cadastros!A:C,3,0),"")</f>
        <v/>
      </c>
      <c r="Q1068" s="9" t="str">
        <f ca="1">IFERROR(Tabela3[[#This Row],[Vida útil]]-Tabela3[[#This Row],[Idade]],"")</f>
        <v/>
      </c>
      <c r="R1068" s="23" t="str">
        <f ca="1">IFERROR(Tabela3[[#This Row],[Valor]]-(Tabela3[[#This Row],[Valor]]*(Tabela3[[#This Row],[Idade]]*VLOOKUP(Tabela3[[#This Row],[Categoria]],Cadastros!A:B,2,0))),"")</f>
        <v/>
      </c>
    </row>
    <row r="1069" spans="4:18" x14ac:dyDescent="0.25">
      <c r="D1069" s="5"/>
      <c r="N1069" s="6" t="str">
        <f>IFERROR(Tabela3[[#This Row],[Última revisão do bem]]+(VLOOKUP(Tabela3[[#This Row],[Categoria]],Cadastros!A:D,4,0)+365),"")</f>
        <v/>
      </c>
      <c r="O1069" s="7" t="str">
        <f ca="1">IF(Tabela3[[#This Row],[Data da compra]]&gt;0,(TODAY()-Tabela3[[#This Row],[Data da compra]])/365,"")</f>
        <v/>
      </c>
      <c r="P1069" s="7" t="str">
        <f>IFERROR(VLOOKUP(Tabela3[[#This Row],[Categoria]],Cadastros!A:C,3,0),"")</f>
        <v/>
      </c>
      <c r="Q1069" s="9" t="str">
        <f ca="1">IFERROR(Tabela3[[#This Row],[Vida útil]]-Tabela3[[#This Row],[Idade]],"")</f>
        <v/>
      </c>
      <c r="R1069" s="8" t="str">
        <f ca="1">IFERROR(Tabela3[[#This Row],[Valor]]-(Tabela3[[#This Row],[Valor]]*(Tabela3[[#This Row],[Idade]]*VLOOKUP(Tabela3[[#This Row],[Categoria]],Cadastros!A:B,2,0))),"")</f>
        <v/>
      </c>
    </row>
    <row r="1070" spans="4:18" x14ac:dyDescent="0.25">
      <c r="D1070" s="5"/>
      <c r="N1070" s="6" t="str">
        <f>IFERROR(Tabela3[[#This Row],[Última revisão do bem]]+(VLOOKUP(Tabela3[[#This Row],[Categoria]],Cadastros!A:D,4,0)+365),"")</f>
        <v/>
      </c>
      <c r="O1070" s="7" t="str">
        <f ca="1">IF(Tabela3[[#This Row],[Data da compra]]&gt;0,(TODAY()-Tabela3[[#This Row],[Data da compra]])/365,"")</f>
        <v/>
      </c>
      <c r="P1070" s="7" t="str">
        <f>IFERROR(VLOOKUP(Tabela3[[#This Row],[Categoria]],Cadastros!A:C,3,0),"")</f>
        <v/>
      </c>
      <c r="Q1070" s="9" t="str">
        <f ca="1">IFERROR(Tabela3[[#This Row],[Vida útil]]-Tabela3[[#This Row],[Idade]],"")</f>
        <v/>
      </c>
      <c r="R1070" s="8" t="str">
        <f ca="1">IFERROR(Tabela3[[#This Row],[Valor]]-(Tabela3[[#This Row],[Valor]]*(Tabela3[[#This Row],[Idade]]*VLOOKUP(Tabela3[[#This Row],[Categoria]],Cadastros!A:B,2,0))),"")</f>
        <v/>
      </c>
    </row>
    <row r="1071" spans="4:18" x14ac:dyDescent="0.25">
      <c r="D1071" s="5"/>
      <c r="N1071" s="6" t="str">
        <f>IFERROR(Tabela3[[#This Row],[Última revisão do bem]]+(VLOOKUP(Tabela3[[#This Row],[Categoria]],Cadastros!A:D,4,0)+365),"")</f>
        <v/>
      </c>
      <c r="O1071" s="7" t="str">
        <f ca="1">IF(Tabela3[[#This Row],[Data da compra]]&gt;0,(TODAY()-Tabela3[[#This Row],[Data da compra]])/365,"")</f>
        <v/>
      </c>
      <c r="P1071" s="7" t="str">
        <f>IFERROR(VLOOKUP(Tabela3[[#This Row],[Categoria]],Cadastros!A:C,3,0),"")</f>
        <v/>
      </c>
      <c r="Q1071" s="9" t="str">
        <f ca="1">IFERROR(Tabela3[[#This Row],[Vida útil]]-Tabela3[[#This Row],[Idade]],"")</f>
        <v/>
      </c>
      <c r="R1071" s="8" t="str">
        <f ca="1">IFERROR(Tabela3[[#This Row],[Valor]]-(Tabela3[[#This Row],[Valor]]*(Tabela3[[#This Row],[Idade]]*VLOOKUP(Tabela3[[#This Row],[Categoria]],Cadastros!A:B,2,0))),"")</f>
        <v/>
      </c>
    </row>
    <row r="1072" spans="4:18" x14ac:dyDescent="0.25">
      <c r="D1072" s="5"/>
      <c r="N1072" s="6" t="str">
        <f>IFERROR(Tabela3[[#This Row],[Última revisão do bem]]+(VLOOKUP(Tabela3[[#This Row],[Categoria]],Cadastros!A:D,4,0)+365),"")</f>
        <v/>
      </c>
      <c r="O1072" s="7" t="str">
        <f ca="1">IF(Tabela3[[#This Row],[Data da compra]]&gt;0,(TODAY()-Tabela3[[#This Row],[Data da compra]])/365,"")</f>
        <v/>
      </c>
      <c r="P1072" s="7" t="str">
        <f>IFERROR(VLOOKUP(Tabela3[[#This Row],[Categoria]],Cadastros!A:C,3,0),"")</f>
        <v/>
      </c>
      <c r="Q1072" s="9" t="str">
        <f ca="1">IFERROR(Tabela3[[#This Row],[Vida útil]]-Tabela3[[#This Row],[Idade]],"")</f>
        <v/>
      </c>
      <c r="R1072" s="8" t="str">
        <f ca="1">IFERROR(Tabela3[[#This Row],[Valor]]-(Tabela3[[#This Row],[Valor]]*(Tabela3[[#This Row],[Idade]]*VLOOKUP(Tabela3[[#This Row],[Categoria]],Cadastros!A:B,2,0))),"")</f>
        <v/>
      </c>
    </row>
    <row r="1073" spans="4:18" x14ac:dyDescent="0.25">
      <c r="D1073" s="5"/>
      <c r="N1073" s="6" t="str">
        <f>IFERROR(Tabela3[[#This Row],[Última revisão do bem]]+(VLOOKUP(Tabela3[[#This Row],[Categoria]],Cadastros!A:D,4,0)+365),"")</f>
        <v/>
      </c>
      <c r="O1073" s="7" t="str">
        <f ca="1">IF(Tabela3[[#This Row],[Data da compra]]&gt;0,(TODAY()-Tabela3[[#This Row],[Data da compra]])/365,"")</f>
        <v/>
      </c>
      <c r="P1073" s="7" t="str">
        <f>IFERROR(VLOOKUP(Tabela3[[#This Row],[Categoria]],Cadastros!A:C,3,0),"")</f>
        <v/>
      </c>
      <c r="Q1073" s="9" t="str">
        <f ca="1">IFERROR(Tabela3[[#This Row],[Vida útil]]-Tabela3[[#This Row],[Idade]],"")</f>
        <v/>
      </c>
      <c r="R1073" s="8" t="str">
        <f ca="1">IFERROR(Tabela3[[#This Row],[Valor]]-(Tabela3[[#This Row],[Valor]]*(Tabela3[[#This Row],[Idade]]*VLOOKUP(Tabela3[[#This Row],[Categoria]],Cadastros!A:B,2,0))),"")</f>
        <v/>
      </c>
    </row>
    <row r="1074" spans="4:18" x14ac:dyDescent="0.25">
      <c r="D1074" s="5"/>
      <c r="N1074" s="6" t="str">
        <f>IFERROR(Tabela3[[#This Row],[Última revisão do bem]]+(VLOOKUP(Tabela3[[#This Row],[Categoria]],Cadastros!A:D,4,0)+365),"")</f>
        <v/>
      </c>
      <c r="O1074" s="7" t="str">
        <f ca="1">IF(Tabela3[[#This Row],[Data da compra]]&gt;0,(TODAY()-Tabela3[[#This Row],[Data da compra]])/365,"")</f>
        <v/>
      </c>
      <c r="P1074" s="7" t="str">
        <f>IFERROR(VLOOKUP(Tabela3[[#This Row],[Categoria]],Cadastros!A:C,3,0),"")</f>
        <v/>
      </c>
      <c r="Q1074" s="9" t="str">
        <f ca="1">IFERROR(Tabela3[[#This Row],[Vida útil]]-Tabela3[[#This Row],[Idade]],"")</f>
        <v/>
      </c>
      <c r="R1074" s="8" t="str">
        <f ca="1">IFERROR(Tabela3[[#This Row],[Valor]]-(Tabela3[[#This Row],[Valor]]*(Tabela3[[#This Row],[Idade]]*VLOOKUP(Tabela3[[#This Row],[Categoria]],Cadastros!A:B,2,0))),"")</f>
        <v/>
      </c>
    </row>
    <row r="1075" spans="4:18" x14ac:dyDescent="0.25">
      <c r="D1075" s="5"/>
      <c r="N1075" s="6" t="str">
        <f>IFERROR(Tabela3[[#This Row],[Última revisão do bem]]+(VLOOKUP(Tabela3[[#This Row],[Categoria]],Cadastros!A:D,4,0)+365),"")</f>
        <v/>
      </c>
      <c r="O1075" s="7" t="str">
        <f ca="1">IF(Tabela3[[#This Row],[Data da compra]]&gt;0,(TODAY()-Tabela3[[#This Row],[Data da compra]])/365,"")</f>
        <v/>
      </c>
      <c r="P1075" s="7" t="str">
        <f>IFERROR(VLOOKUP(Tabela3[[#This Row],[Categoria]],Cadastros!A:C,3,0),"")</f>
        <v/>
      </c>
      <c r="Q1075" s="9" t="str">
        <f ca="1">IFERROR(Tabela3[[#This Row],[Vida útil]]-Tabela3[[#This Row],[Idade]],"")</f>
        <v/>
      </c>
      <c r="R1075" s="8" t="str">
        <f ca="1">IFERROR(Tabela3[[#This Row],[Valor]]-(Tabela3[[#This Row],[Valor]]*(Tabela3[[#This Row],[Idade]]*VLOOKUP(Tabela3[[#This Row],[Categoria]],Cadastros!A:B,2,0))),"")</f>
        <v/>
      </c>
    </row>
    <row r="1076" spans="4:18" x14ac:dyDescent="0.25">
      <c r="D1076" s="5"/>
      <c r="N1076" s="6" t="str">
        <f>IFERROR(Tabela3[[#This Row],[Última revisão do bem]]+(VLOOKUP(Tabela3[[#This Row],[Categoria]],Cadastros!A:D,4,0)+365),"")</f>
        <v/>
      </c>
      <c r="O1076" s="7" t="str">
        <f ca="1">IF(Tabela3[[#This Row],[Data da compra]]&gt;0,(TODAY()-Tabela3[[#This Row],[Data da compra]])/365,"")</f>
        <v/>
      </c>
      <c r="P1076" s="7" t="str">
        <f>IFERROR(VLOOKUP(Tabela3[[#This Row],[Categoria]],Cadastros!A:C,3,0),"")</f>
        <v/>
      </c>
      <c r="Q1076" s="9" t="str">
        <f ca="1">IFERROR(Tabela3[[#This Row],[Vida útil]]-Tabela3[[#This Row],[Idade]],"")</f>
        <v/>
      </c>
      <c r="R1076" s="8" t="str">
        <f ca="1">IFERROR(Tabela3[[#This Row],[Valor]]-(Tabela3[[#This Row],[Valor]]*(Tabela3[[#This Row],[Idade]]*VLOOKUP(Tabela3[[#This Row],[Categoria]],Cadastros!A:B,2,0))),"")</f>
        <v/>
      </c>
    </row>
    <row r="1077" spans="4:18" x14ac:dyDescent="0.25">
      <c r="D1077" s="5"/>
      <c r="N1077" s="6" t="str">
        <f>IFERROR(Tabela3[[#This Row],[Última revisão do bem]]+(VLOOKUP(Tabela3[[#This Row],[Categoria]],Cadastros!A:D,4,0)+365),"")</f>
        <v/>
      </c>
      <c r="O1077" s="7" t="str">
        <f ca="1">IF(Tabela3[[#This Row],[Data da compra]]&gt;0,(TODAY()-Tabela3[[#This Row],[Data da compra]])/365,"")</f>
        <v/>
      </c>
      <c r="P1077" s="7" t="str">
        <f>IFERROR(VLOOKUP(Tabela3[[#This Row],[Categoria]],Cadastros!A:C,3,0),"")</f>
        <v/>
      </c>
      <c r="Q1077" s="9" t="str">
        <f ca="1">IFERROR(Tabela3[[#This Row],[Vida útil]]-Tabela3[[#This Row],[Idade]],"")</f>
        <v/>
      </c>
      <c r="R1077" s="8" t="str">
        <f ca="1">IFERROR(Tabela3[[#This Row],[Valor]]-(Tabela3[[#This Row],[Valor]]*(Tabela3[[#This Row],[Idade]]*VLOOKUP(Tabela3[[#This Row],[Categoria]],Cadastros!A:B,2,0))),"")</f>
        <v/>
      </c>
    </row>
    <row r="1078" spans="4:18" x14ac:dyDescent="0.25">
      <c r="D1078" s="5"/>
      <c r="N1078" s="6" t="str">
        <f>IFERROR(Tabela3[[#This Row],[Última revisão do bem]]+(VLOOKUP(Tabela3[[#This Row],[Categoria]],Cadastros!A:D,4,0)+365),"")</f>
        <v/>
      </c>
      <c r="O1078" s="7" t="str">
        <f ca="1">IF(Tabela3[[#This Row],[Data da compra]]&gt;0,(TODAY()-Tabela3[[#This Row],[Data da compra]])/365,"")</f>
        <v/>
      </c>
      <c r="P1078" s="7" t="str">
        <f>IFERROR(VLOOKUP(Tabela3[[#This Row],[Categoria]],Cadastros!A:C,3,0),"")</f>
        <v/>
      </c>
      <c r="Q1078" s="9" t="str">
        <f ca="1">IFERROR(Tabela3[[#This Row],[Vida útil]]-Tabela3[[#This Row],[Idade]],"")</f>
        <v/>
      </c>
      <c r="R1078" s="8" t="str">
        <f ca="1">IFERROR(Tabela3[[#This Row],[Valor]]-(Tabela3[[#This Row],[Valor]]*(Tabela3[[#This Row],[Idade]]*VLOOKUP(Tabela3[[#This Row],[Categoria]],Cadastros!A:B,2,0))),"")</f>
        <v/>
      </c>
    </row>
    <row r="1079" spans="4:18" x14ac:dyDescent="0.25">
      <c r="D1079" s="5"/>
      <c r="N1079" s="6" t="str">
        <f>IFERROR(Tabela3[[#This Row],[Última revisão do bem]]+(VLOOKUP(Tabela3[[#This Row],[Categoria]],Cadastros!A:D,4,0)+365),"")</f>
        <v/>
      </c>
      <c r="O1079" s="7" t="str">
        <f ca="1">IF(Tabela3[[#This Row],[Data da compra]]&gt;0,(TODAY()-Tabela3[[#This Row],[Data da compra]])/365,"")</f>
        <v/>
      </c>
      <c r="P1079" s="7" t="str">
        <f>IFERROR(VLOOKUP(Tabela3[[#This Row],[Categoria]],Cadastros!A:C,3,0),"")</f>
        <v/>
      </c>
      <c r="Q1079" s="9" t="str">
        <f ca="1">IFERROR(Tabela3[[#This Row],[Vida útil]]-Tabela3[[#This Row],[Idade]],"")</f>
        <v/>
      </c>
      <c r="R1079" s="8" t="str">
        <f ca="1">IFERROR(Tabela3[[#This Row],[Valor]]-(Tabela3[[#This Row],[Valor]]*(Tabela3[[#This Row],[Idade]]*VLOOKUP(Tabela3[[#This Row],[Categoria]],Cadastros!A:B,2,0))),"")</f>
        <v/>
      </c>
    </row>
    <row r="1080" spans="4:18" x14ac:dyDescent="0.25">
      <c r="D1080" s="5"/>
      <c r="N1080" s="6" t="str">
        <f>IFERROR(Tabela3[[#This Row],[Última revisão do bem]]+(VLOOKUP(Tabela3[[#This Row],[Categoria]],Cadastros!A:D,4,0)+365),"")</f>
        <v/>
      </c>
      <c r="O1080" s="7" t="str">
        <f ca="1">IF(Tabela3[[#This Row],[Data da compra]]&gt;0,(TODAY()-Tabela3[[#This Row],[Data da compra]])/365,"")</f>
        <v/>
      </c>
      <c r="P1080" s="7" t="str">
        <f>IFERROR(VLOOKUP(Tabela3[[#This Row],[Categoria]],Cadastros!A:C,3,0),"")</f>
        <v/>
      </c>
      <c r="Q1080" s="9" t="str">
        <f ca="1">IFERROR(Tabela3[[#This Row],[Vida útil]]-Tabela3[[#This Row],[Idade]],"")</f>
        <v/>
      </c>
      <c r="R1080" s="8" t="str">
        <f ca="1">IFERROR(Tabela3[[#This Row],[Valor]]-(Tabela3[[#This Row],[Valor]]*(Tabela3[[#This Row],[Idade]]*VLOOKUP(Tabela3[[#This Row],[Categoria]],Cadastros!A:B,2,0))),"")</f>
        <v/>
      </c>
    </row>
    <row r="1081" spans="4:18" x14ac:dyDescent="0.25">
      <c r="D1081" s="5"/>
      <c r="N1081" s="6" t="str">
        <f>IFERROR(Tabela3[[#This Row],[Última revisão do bem]]+(VLOOKUP(Tabela3[[#This Row],[Categoria]],Cadastros!A:D,4,0)+365),"")</f>
        <v/>
      </c>
      <c r="O1081" s="7" t="str">
        <f ca="1">IF(Tabela3[[#This Row],[Data da compra]]&gt;0,(TODAY()-Tabela3[[#This Row],[Data da compra]])/365,"")</f>
        <v/>
      </c>
      <c r="P1081" s="7" t="str">
        <f>IFERROR(VLOOKUP(Tabela3[[#This Row],[Categoria]],Cadastros!A:C,3,0),"")</f>
        <v/>
      </c>
      <c r="Q1081" s="9" t="str">
        <f ca="1">IFERROR(Tabela3[[#This Row],[Vida útil]]-Tabela3[[#This Row],[Idade]],"")</f>
        <v/>
      </c>
      <c r="R1081" s="8" t="str">
        <f ca="1">IFERROR(Tabela3[[#This Row],[Valor]]-(Tabela3[[#This Row],[Valor]]*(Tabela3[[#This Row],[Idade]]*VLOOKUP(Tabela3[[#This Row],[Categoria]],Cadastros!A:B,2,0))),"")</f>
        <v/>
      </c>
    </row>
    <row r="1082" spans="4:18" x14ac:dyDescent="0.25">
      <c r="D1082" s="5"/>
      <c r="N1082" s="6" t="str">
        <f>IFERROR(Tabela3[[#This Row],[Última revisão do bem]]+(VLOOKUP(Tabela3[[#This Row],[Categoria]],Cadastros!A:D,4,0)+365),"")</f>
        <v/>
      </c>
      <c r="O1082" s="7" t="str">
        <f ca="1">IF(Tabela3[[#This Row],[Data da compra]]&gt;0,(TODAY()-Tabela3[[#This Row],[Data da compra]])/365,"")</f>
        <v/>
      </c>
      <c r="P1082" s="7" t="str">
        <f>IFERROR(VLOOKUP(Tabela3[[#This Row],[Categoria]],Cadastros!A:C,3,0),"")</f>
        <v/>
      </c>
      <c r="Q1082" s="9" t="str">
        <f ca="1">IFERROR(Tabela3[[#This Row],[Vida útil]]-Tabela3[[#This Row],[Idade]],"")</f>
        <v/>
      </c>
      <c r="R1082" s="8" t="str">
        <f ca="1">IFERROR(Tabela3[[#This Row],[Valor]]-(Tabela3[[#This Row],[Valor]]*(Tabela3[[#This Row],[Idade]]*VLOOKUP(Tabela3[[#This Row],[Categoria]],Cadastros!A:B,2,0))),"")</f>
        <v/>
      </c>
    </row>
    <row r="1083" spans="4:18" x14ac:dyDescent="0.25">
      <c r="D1083" s="5"/>
      <c r="N1083" s="6" t="str">
        <f>IFERROR(Tabela3[[#This Row],[Última revisão do bem]]+(VLOOKUP(Tabela3[[#This Row],[Categoria]],Cadastros!A:D,4,0)+365),"")</f>
        <v/>
      </c>
      <c r="O1083" s="7" t="str">
        <f ca="1">IF(Tabela3[[#This Row],[Data da compra]]&gt;0,(TODAY()-Tabela3[[#This Row],[Data da compra]])/365,"")</f>
        <v/>
      </c>
      <c r="P1083" s="7" t="str">
        <f>IFERROR(VLOOKUP(Tabela3[[#This Row],[Categoria]],Cadastros!A:C,3,0),"")</f>
        <v/>
      </c>
      <c r="Q1083" s="9" t="str">
        <f ca="1">IFERROR(Tabela3[[#This Row],[Vida útil]]-Tabela3[[#This Row],[Idade]],"")</f>
        <v/>
      </c>
      <c r="R1083" s="8" t="str">
        <f ca="1">IFERROR(Tabela3[[#This Row],[Valor]]-(Tabela3[[#This Row],[Valor]]*(Tabela3[[#This Row],[Idade]]*VLOOKUP(Tabela3[[#This Row],[Categoria]],Cadastros!A:B,2,0))),"")</f>
        <v/>
      </c>
    </row>
    <row r="1084" spans="4:18" x14ac:dyDescent="0.25">
      <c r="D1084" s="5"/>
      <c r="N1084" s="6" t="str">
        <f>IFERROR(Tabela3[[#This Row],[Última revisão do bem]]+(VLOOKUP(Tabela3[[#This Row],[Categoria]],Cadastros!A:D,4,0)+365),"")</f>
        <v/>
      </c>
      <c r="O1084" s="7" t="str">
        <f ca="1">IF(Tabela3[[#This Row],[Data da compra]]&gt;0,(TODAY()-Tabela3[[#This Row],[Data da compra]])/365,"")</f>
        <v/>
      </c>
      <c r="P1084" s="7" t="str">
        <f>IFERROR(VLOOKUP(Tabela3[[#This Row],[Categoria]],Cadastros!A:C,3,0),"")</f>
        <v/>
      </c>
      <c r="Q1084" s="9" t="str">
        <f ca="1">IFERROR(Tabela3[[#This Row],[Vida útil]]-Tabela3[[#This Row],[Idade]],"")</f>
        <v/>
      </c>
      <c r="R1084" s="8" t="str">
        <f ca="1">IFERROR(Tabela3[[#This Row],[Valor]]-(Tabela3[[#This Row],[Valor]]*(Tabela3[[#This Row],[Idade]]*VLOOKUP(Tabela3[[#This Row],[Categoria]],Cadastros!A:B,2,0))),"")</f>
        <v/>
      </c>
    </row>
    <row r="1085" spans="4:18" x14ac:dyDescent="0.25">
      <c r="D1085" s="5"/>
      <c r="N1085" s="6" t="str">
        <f>IFERROR(Tabela3[[#This Row],[Última revisão do bem]]+(VLOOKUP(Tabela3[[#This Row],[Categoria]],Cadastros!A:D,4,0)+365),"")</f>
        <v/>
      </c>
      <c r="O1085" s="7" t="str">
        <f ca="1">IF(Tabela3[[#This Row],[Data da compra]]&gt;0,(TODAY()-Tabela3[[#This Row],[Data da compra]])/365,"")</f>
        <v/>
      </c>
      <c r="P1085" s="7" t="str">
        <f>IFERROR(VLOOKUP(Tabela3[[#This Row],[Categoria]],Cadastros!A:C,3,0),"")</f>
        <v/>
      </c>
      <c r="Q1085" s="9" t="str">
        <f ca="1">IFERROR(Tabela3[[#This Row],[Vida útil]]-Tabela3[[#This Row],[Idade]],"")</f>
        <v/>
      </c>
      <c r="R1085" s="8" t="str">
        <f ca="1">IFERROR(Tabela3[[#This Row],[Valor]]-(Tabela3[[#This Row],[Valor]]*(Tabela3[[#This Row],[Idade]]*VLOOKUP(Tabela3[[#This Row],[Categoria]],Cadastros!A:B,2,0))),"")</f>
        <v/>
      </c>
    </row>
    <row r="1086" spans="4:18" x14ac:dyDescent="0.25">
      <c r="D1086" s="22"/>
      <c r="N1086" s="6" t="str">
        <f>IFERROR(Tabela3[[#This Row],[Última revisão do bem]]+(VLOOKUP(Tabela3[[#This Row],[Categoria]],Cadastros!A:D,4,0)+365),"")</f>
        <v/>
      </c>
      <c r="O1086" s="7" t="str">
        <f ca="1">IF(Tabela3[[#This Row],[Data da compra]]&gt;0,(TODAY()-Tabela3[[#This Row],[Data da compra]])/365,"")</f>
        <v/>
      </c>
      <c r="P1086" s="7" t="str">
        <f>IFERROR(VLOOKUP(Tabela3[[#This Row],[Categoria]],Cadastros!A:C,3,0),"")</f>
        <v/>
      </c>
      <c r="Q1086" s="9" t="str">
        <f ca="1">IFERROR(Tabela3[[#This Row],[Vida útil]]-Tabela3[[#This Row],[Idade]],"")</f>
        <v/>
      </c>
      <c r="R1086" s="23" t="str">
        <f ca="1">IFERROR(Tabela3[[#This Row],[Valor]]-(Tabela3[[#This Row],[Valor]]*(Tabela3[[#This Row],[Idade]]*VLOOKUP(Tabela3[[#This Row],[Categoria]],Cadastros!A:B,2,0))),"")</f>
        <v/>
      </c>
    </row>
    <row r="1087" spans="4:18" x14ac:dyDescent="0.25">
      <c r="D1087" s="5"/>
      <c r="N1087" s="6" t="str">
        <f>IFERROR(Tabela3[[#This Row],[Última revisão do bem]]+(VLOOKUP(Tabela3[[#This Row],[Categoria]],Cadastros!A:D,4,0)+365),"")</f>
        <v/>
      </c>
      <c r="O1087" s="7" t="str">
        <f ca="1">IF(Tabela3[[#This Row],[Data da compra]]&gt;0,(TODAY()-Tabela3[[#This Row],[Data da compra]])/365,"")</f>
        <v/>
      </c>
      <c r="P1087" s="7" t="str">
        <f>IFERROR(VLOOKUP(Tabela3[[#This Row],[Categoria]],Cadastros!A:C,3,0),"")</f>
        <v/>
      </c>
      <c r="Q1087" s="9" t="str">
        <f ca="1">IFERROR(Tabela3[[#This Row],[Vida útil]]-Tabela3[[#This Row],[Idade]],"")</f>
        <v/>
      </c>
      <c r="R1087" s="8" t="str">
        <f ca="1">IFERROR(Tabela3[[#This Row],[Valor]]-(Tabela3[[#This Row],[Valor]]*(Tabela3[[#This Row],[Idade]]*VLOOKUP(Tabela3[[#This Row],[Categoria]],Cadastros!A:B,2,0))),"")</f>
        <v/>
      </c>
    </row>
    <row r="1088" spans="4:18" x14ac:dyDescent="0.25">
      <c r="D1088" s="5"/>
      <c r="N1088" s="6" t="str">
        <f>IFERROR(Tabela3[[#This Row],[Última revisão do bem]]+(VLOOKUP(Tabela3[[#This Row],[Categoria]],Cadastros!A:D,4,0)+365),"")</f>
        <v/>
      </c>
      <c r="O1088" s="7" t="str">
        <f ca="1">IF(Tabela3[[#This Row],[Data da compra]]&gt;0,(TODAY()-Tabela3[[#This Row],[Data da compra]])/365,"")</f>
        <v/>
      </c>
      <c r="P1088" s="7" t="str">
        <f>IFERROR(VLOOKUP(Tabela3[[#This Row],[Categoria]],Cadastros!A:C,3,0),"")</f>
        <v/>
      </c>
      <c r="Q1088" s="9" t="str">
        <f ca="1">IFERROR(Tabela3[[#This Row],[Vida útil]]-Tabela3[[#This Row],[Idade]],"")</f>
        <v/>
      </c>
      <c r="R1088" s="8" t="str">
        <f ca="1">IFERROR(Tabela3[[#This Row],[Valor]]-(Tabela3[[#This Row],[Valor]]*(Tabela3[[#This Row],[Idade]]*VLOOKUP(Tabela3[[#This Row],[Categoria]],Cadastros!A:B,2,0))),"")</f>
        <v/>
      </c>
    </row>
    <row r="1089" spans="4:18" x14ac:dyDescent="0.25">
      <c r="D1089" s="5"/>
      <c r="N1089" s="6" t="str">
        <f>IFERROR(Tabela3[[#This Row],[Última revisão do bem]]+(VLOOKUP(Tabela3[[#This Row],[Categoria]],Cadastros!A:D,4,0)+365),"")</f>
        <v/>
      </c>
      <c r="O1089" s="7" t="str">
        <f ca="1">IF(Tabela3[[#This Row],[Data da compra]]&gt;0,(TODAY()-Tabela3[[#This Row],[Data da compra]])/365,"")</f>
        <v/>
      </c>
      <c r="P1089" s="7" t="str">
        <f>IFERROR(VLOOKUP(Tabela3[[#This Row],[Categoria]],Cadastros!A:C,3,0),"")</f>
        <v/>
      </c>
      <c r="Q1089" s="9" t="str">
        <f ca="1">IFERROR(Tabela3[[#This Row],[Vida útil]]-Tabela3[[#This Row],[Idade]],"")</f>
        <v/>
      </c>
      <c r="R1089" s="8" t="str">
        <f ca="1">IFERROR(Tabela3[[#This Row],[Valor]]-(Tabela3[[#This Row],[Valor]]*(Tabela3[[#This Row],[Idade]]*VLOOKUP(Tabela3[[#This Row],[Categoria]],Cadastros!A:B,2,0))),"")</f>
        <v/>
      </c>
    </row>
    <row r="1090" spans="4:18" x14ac:dyDescent="0.25">
      <c r="D1090" s="5"/>
      <c r="N1090" s="6" t="str">
        <f>IFERROR(Tabela3[[#This Row],[Última revisão do bem]]+(VLOOKUP(Tabela3[[#This Row],[Categoria]],Cadastros!A:D,4,0)+365),"")</f>
        <v/>
      </c>
      <c r="O1090" s="7" t="str">
        <f ca="1">IF(Tabela3[[#This Row],[Data da compra]]&gt;0,(TODAY()-Tabela3[[#This Row],[Data da compra]])/365,"")</f>
        <v/>
      </c>
      <c r="P1090" s="7" t="str">
        <f>IFERROR(VLOOKUP(Tabela3[[#This Row],[Categoria]],Cadastros!A:C,3,0),"")</f>
        <v/>
      </c>
      <c r="Q1090" s="9" t="str">
        <f ca="1">IFERROR(Tabela3[[#This Row],[Vida útil]]-Tabela3[[#This Row],[Idade]],"")</f>
        <v/>
      </c>
      <c r="R1090" s="8" t="str">
        <f ca="1">IFERROR(Tabela3[[#This Row],[Valor]]-(Tabela3[[#This Row],[Valor]]*(Tabela3[[#This Row],[Idade]]*VLOOKUP(Tabela3[[#This Row],[Categoria]],Cadastros!A:B,2,0))),"")</f>
        <v/>
      </c>
    </row>
    <row r="1091" spans="4:18" x14ac:dyDescent="0.25">
      <c r="D1091" s="5"/>
      <c r="N1091" s="6" t="str">
        <f>IFERROR(Tabela3[[#This Row],[Última revisão do bem]]+(VLOOKUP(Tabela3[[#This Row],[Categoria]],Cadastros!A:D,4,0)+365),"")</f>
        <v/>
      </c>
      <c r="O1091" s="7" t="str">
        <f ca="1">IF(Tabela3[[#This Row],[Data da compra]]&gt;0,(TODAY()-Tabela3[[#This Row],[Data da compra]])/365,"")</f>
        <v/>
      </c>
      <c r="P1091" s="7" t="str">
        <f>IFERROR(VLOOKUP(Tabela3[[#This Row],[Categoria]],Cadastros!A:C,3,0),"")</f>
        <v/>
      </c>
      <c r="Q1091" s="9" t="str">
        <f ca="1">IFERROR(Tabela3[[#This Row],[Vida útil]]-Tabela3[[#This Row],[Idade]],"")</f>
        <v/>
      </c>
      <c r="R1091" s="8" t="str">
        <f ca="1">IFERROR(Tabela3[[#This Row],[Valor]]-(Tabela3[[#This Row],[Valor]]*(Tabela3[[#This Row],[Idade]]*VLOOKUP(Tabela3[[#This Row],[Categoria]],Cadastros!A:B,2,0))),"")</f>
        <v/>
      </c>
    </row>
    <row r="1092" spans="4:18" x14ac:dyDescent="0.25">
      <c r="D1092" s="5"/>
      <c r="N1092" s="6" t="str">
        <f>IFERROR(Tabela3[[#This Row],[Última revisão do bem]]+(VLOOKUP(Tabela3[[#This Row],[Categoria]],Cadastros!A:D,4,0)+365),"")</f>
        <v/>
      </c>
      <c r="O1092" s="7" t="str">
        <f ca="1">IF(Tabela3[[#This Row],[Data da compra]]&gt;0,(TODAY()-Tabela3[[#This Row],[Data da compra]])/365,"")</f>
        <v/>
      </c>
      <c r="P1092" s="7" t="str">
        <f>IFERROR(VLOOKUP(Tabela3[[#This Row],[Categoria]],Cadastros!A:C,3,0),"")</f>
        <v/>
      </c>
      <c r="Q1092" s="9" t="str">
        <f ca="1">IFERROR(Tabela3[[#This Row],[Vida útil]]-Tabela3[[#This Row],[Idade]],"")</f>
        <v/>
      </c>
      <c r="R1092" s="8" t="str">
        <f ca="1">IFERROR(Tabela3[[#This Row],[Valor]]-(Tabela3[[#This Row],[Valor]]*(Tabela3[[#This Row],[Idade]]*VLOOKUP(Tabela3[[#This Row],[Categoria]],Cadastros!A:B,2,0))),"")</f>
        <v/>
      </c>
    </row>
    <row r="1093" spans="4:18" x14ac:dyDescent="0.25">
      <c r="D1093" s="5"/>
      <c r="N1093" s="6" t="str">
        <f>IFERROR(Tabela3[[#This Row],[Última revisão do bem]]+(VLOOKUP(Tabela3[[#This Row],[Categoria]],Cadastros!A:D,4,0)+365),"")</f>
        <v/>
      </c>
      <c r="O1093" s="7" t="str">
        <f ca="1">IF(Tabela3[[#This Row],[Data da compra]]&gt;0,(TODAY()-Tabela3[[#This Row],[Data da compra]])/365,"")</f>
        <v/>
      </c>
      <c r="P1093" s="7" t="str">
        <f>IFERROR(VLOOKUP(Tabela3[[#This Row],[Categoria]],Cadastros!A:C,3,0),"")</f>
        <v/>
      </c>
      <c r="Q1093" s="9" t="str">
        <f ca="1">IFERROR(Tabela3[[#This Row],[Vida útil]]-Tabela3[[#This Row],[Idade]],"")</f>
        <v/>
      </c>
      <c r="R1093" s="8" t="str">
        <f ca="1">IFERROR(Tabela3[[#This Row],[Valor]]-(Tabela3[[#This Row],[Valor]]*(Tabela3[[#This Row],[Idade]]*VLOOKUP(Tabela3[[#This Row],[Categoria]],Cadastros!A:B,2,0))),"")</f>
        <v/>
      </c>
    </row>
    <row r="1094" spans="4:18" x14ac:dyDescent="0.25">
      <c r="D1094" s="5"/>
      <c r="N1094" s="6" t="str">
        <f>IFERROR(Tabela3[[#This Row],[Última revisão do bem]]+(VLOOKUP(Tabela3[[#This Row],[Categoria]],Cadastros!A:D,4,0)+365),"")</f>
        <v/>
      </c>
      <c r="O1094" s="7" t="str">
        <f ca="1">IF(Tabela3[[#This Row],[Data da compra]]&gt;0,(TODAY()-Tabela3[[#This Row],[Data da compra]])/365,"")</f>
        <v/>
      </c>
      <c r="P1094" s="7" t="str">
        <f>IFERROR(VLOOKUP(Tabela3[[#This Row],[Categoria]],Cadastros!A:C,3,0),"")</f>
        <v/>
      </c>
      <c r="Q1094" s="9" t="str">
        <f ca="1">IFERROR(Tabela3[[#This Row],[Vida útil]]-Tabela3[[#This Row],[Idade]],"")</f>
        <v/>
      </c>
      <c r="R1094" s="8" t="str">
        <f ca="1">IFERROR(Tabela3[[#This Row],[Valor]]-(Tabela3[[#This Row],[Valor]]*(Tabela3[[#This Row],[Idade]]*VLOOKUP(Tabela3[[#This Row],[Categoria]],Cadastros!A:B,2,0))),"")</f>
        <v/>
      </c>
    </row>
    <row r="1095" spans="4:18" x14ac:dyDescent="0.25">
      <c r="D1095" s="5"/>
      <c r="N1095" s="6" t="str">
        <f>IFERROR(Tabela3[[#This Row],[Última revisão do bem]]+(VLOOKUP(Tabela3[[#This Row],[Categoria]],Cadastros!A:D,4,0)+365),"")</f>
        <v/>
      </c>
      <c r="O1095" s="7" t="str">
        <f ca="1">IF(Tabela3[[#This Row],[Data da compra]]&gt;0,(TODAY()-Tabela3[[#This Row],[Data da compra]])/365,"")</f>
        <v/>
      </c>
      <c r="P1095" s="7" t="str">
        <f>IFERROR(VLOOKUP(Tabela3[[#This Row],[Categoria]],Cadastros!A:C,3,0),"")</f>
        <v/>
      </c>
      <c r="Q1095" s="9" t="str">
        <f ca="1">IFERROR(Tabela3[[#This Row],[Vida útil]]-Tabela3[[#This Row],[Idade]],"")</f>
        <v/>
      </c>
      <c r="R1095" s="8" t="str">
        <f ca="1">IFERROR(Tabela3[[#This Row],[Valor]]-(Tabela3[[#This Row],[Valor]]*(Tabela3[[#This Row],[Idade]]*VLOOKUP(Tabela3[[#This Row],[Categoria]],Cadastros!A:B,2,0))),"")</f>
        <v/>
      </c>
    </row>
    <row r="1096" spans="4:18" x14ac:dyDescent="0.25">
      <c r="D1096" s="5"/>
      <c r="N1096" s="6" t="str">
        <f>IFERROR(Tabela3[[#This Row],[Última revisão do bem]]+(VLOOKUP(Tabela3[[#This Row],[Categoria]],Cadastros!A:D,4,0)+365),"")</f>
        <v/>
      </c>
      <c r="O1096" s="7" t="str">
        <f ca="1">IF(Tabela3[[#This Row],[Data da compra]]&gt;0,(TODAY()-Tabela3[[#This Row],[Data da compra]])/365,"")</f>
        <v/>
      </c>
      <c r="P1096" s="7" t="str">
        <f>IFERROR(VLOOKUP(Tabela3[[#This Row],[Categoria]],Cadastros!A:C,3,0),"")</f>
        <v/>
      </c>
      <c r="Q1096" s="9" t="str">
        <f ca="1">IFERROR(Tabela3[[#This Row],[Vida útil]]-Tabela3[[#This Row],[Idade]],"")</f>
        <v/>
      </c>
      <c r="R1096" s="8" t="str">
        <f ca="1">IFERROR(Tabela3[[#This Row],[Valor]]-(Tabela3[[#This Row],[Valor]]*(Tabela3[[#This Row],[Idade]]*VLOOKUP(Tabela3[[#This Row],[Categoria]],Cadastros!A:B,2,0))),"")</f>
        <v/>
      </c>
    </row>
    <row r="1097" spans="4:18" x14ac:dyDescent="0.25">
      <c r="D1097" s="5"/>
      <c r="N1097" s="6" t="str">
        <f>IFERROR(Tabela3[[#This Row],[Última revisão do bem]]+(VLOOKUP(Tabela3[[#This Row],[Categoria]],Cadastros!A:D,4,0)+365),"")</f>
        <v/>
      </c>
      <c r="O1097" s="7" t="str">
        <f ca="1">IF(Tabela3[[#This Row],[Data da compra]]&gt;0,(TODAY()-Tabela3[[#This Row],[Data da compra]])/365,"")</f>
        <v/>
      </c>
      <c r="P1097" s="7" t="str">
        <f>IFERROR(VLOOKUP(Tabela3[[#This Row],[Categoria]],Cadastros!A:C,3,0),"")</f>
        <v/>
      </c>
      <c r="Q1097" s="9" t="str">
        <f ca="1">IFERROR(Tabela3[[#This Row],[Vida útil]]-Tabela3[[#This Row],[Idade]],"")</f>
        <v/>
      </c>
      <c r="R1097" s="8" t="str">
        <f ca="1">IFERROR(Tabela3[[#This Row],[Valor]]-(Tabela3[[#This Row],[Valor]]*(Tabela3[[#This Row],[Idade]]*VLOOKUP(Tabela3[[#This Row],[Categoria]],Cadastros!A:B,2,0))),"")</f>
        <v/>
      </c>
    </row>
    <row r="1098" spans="4:18" x14ac:dyDescent="0.25">
      <c r="D1098" s="5"/>
      <c r="N1098" s="6" t="str">
        <f>IFERROR(Tabela3[[#This Row],[Última revisão do bem]]+(VLOOKUP(Tabela3[[#This Row],[Categoria]],Cadastros!A:D,4,0)+365),"")</f>
        <v/>
      </c>
      <c r="O1098" s="7" t="str">
        <f ca="1">IF(Tabela3[[#This Row],[Data da compra]]&gt;0,(TODAY()-Tabela3[[#This Row],[Data da compra]])/365,"")</f>
        <v/>
      </c>
      <c r="P1098" s="7" t="str">
        <f>IFERROR(VLOOKUP(Tabela3[[#This Row],[Categoria]],Cadastros!A:C,3,0),"")</f>
        <v/>
      </c>
      <c r="Q1098" s="9" t="str">
        <f ca="1">IFERROR(Tabela3[[#This Row],[Vida útil]]-Tabela3[[#This Row],[Idade]],"")</f>
        <v/>
      </c>
      <c r="R1098" s="8" t="str">
        <f ca="1">IFERROR(Tabela3[[#This Row],[Valor]]-(Tabela3[[#This Row],[Valor]]*(Tabela3[[#This Row],[Idade]]*VLOOKUP(Tabela3[[#This Row],[Categoria]],Cadastros!A:B,2,0))),"")</f>
        <v/>
      </c>
    </row>
    <row r="1099" spans="4:18" x14ac:dyDescent="0.25">
      <c r="D1099" s="5"/>
      <c r="N1099" s="6" t="str">
        <f>IFERROR(Tabela3[[#This Row],[Última revisão do bem]]+(VLOOKUP(Tabela3[[#This Row],[Categoria]],Cadastros!A:D,4,0)+365),"")</f>
        <v/>
      </c>
      <c r="O1099" s="7" t="str">
        <f ca="1">IF(Tabela3[[#This Row],[Data da compra]]&gt;0,(TODAY()-Tabela3[[#This Row],[Data da compra]])/365,"")</f>
        <v/>
      </c>
      <c r="P1099" s="7" t="str">
        <f>IFERROR(VLOOKUP(Tabela3[[#This Row],[Categoria]],Cadastros!A:C,3,0),"")</f>
        <v/>
      </c>
      <c r="Q1099" s="9" t="str">
        <f ca="1">IFERROR(Tabela3[[#This Row],[Vida útil]]-Tabela3[[#This Row],[Idade]],"")</f>
        <v/>
      </c>
      <c r="R1099" s="8" t="str">
        <f ca="1">IFERROR(Tabela3[[#This Row],[Valor]]-(Tabela3[[#This Row],[Valor]]*(Tabela3[[#This Row],[Idade]]*VLOOKUP(Tabela3[[#This Row],[Categoria]],Cadastros!A:B,2,0))),"")</f>
        <v/>
      </c>
    </row>
    <row r="1100" spans="4:18" x14ac:dyDescent="0.25">
      <c r="D1100" s="5"/>
      <c r="N1100" s="6" t="str">
        <f>IFERROR(Tabela3[[#This Row],[Última revisão do bem]]+(VLOOKUP(Tabela3[[#This Row],[Categoria]],Cadastros!A:D,4,0)+365),"")</f>
        <v/>
      </c>
      <c r="O1100" s="7" t="str">
        <f ca="1">IF(Tabela3[[#This Row],[Data da compra]]&gt;0,(TODAY()-Tabela3[[#This Row],[Data da compra]])/365,"")</f>
        <v/>
      </c>
      <c r="P1100" s="7" t="str">
        <f>IFERROR(VLOOKUP(Tabela3[[#This Row],[Categoria]],Cadastros!A:C,3,0),"")</f>
        <v/>
      </c>
      <c r="Q1100" s="9" t="str">
        <f ca="1">IFERROR(Tabela3[[#This Row],[Vida útil]]-Tabela3[[#This Row],[Idade]],"")</f>
        <v/>
      </c>
      <c r="R1100" s="8" t="str">
        <f ca="1">IFERROR(Tabela3[[#This Row],[Valor]]-(Tabela3[[#This Row],[Valor]]*(Tabela3[[#This Row],[Idade]]*VLOOKUP(Tabela3[[#This Row],[Categoria]],Cadastros!A:B,2,0))),"")</f>
        <v/>
      </c>
    </row>
    <row r="1101" spans="4:18" x14ac:dyDescent="0.25">
      <c r="D1101" s="5"/>
      <c r="N1101" s="6" t="str">
        <f>IFERROR(Tabela3[[#This Row],[Última revisão do bem]]+(VLOOKUP(Tabela3[[#This Row],[Categoria]],Cadastros!A:D,4,0)+365),"")</f>
        <v/>
      </c>
      <c r="O1101" s="7" t="str">
        <f ca="1">IF(Tabela3[[#This Row],[Data da compra]]&gt;0,(TODAY()-Tabela3[[#This Row],[Data da compra]])/365,"")</f>
        <v/>
      </c>
      <c r="P1101" s="7" t="str">
        <f>IFERROR(VLOOKUP(Tabela3[[#This Row],[Categoria]],Cadastros!A:C,3,0),"")</f>
        <v/>
      </c>
      <c r="Q1101" s="9" t="str">
        <f ca="1">IFERROR(Tabela3[[#This Row],[Vida útil]]-Tabela3[[#This Row],[Idade]],"")</f>
        <v/>
      </c>
      <c r="R1101" s="8" t="str">
        <f ca="1">IFERROR(Tabela3[[#This Row],[Valor]]-(Tabela3[[#This Row],[Valor]]*(Tabela3[[#This Row],[Idade]]*VLOOKUP(Tabela3[[#This Row],[Categoria]],Cadastros!A:B,2,0))),"")</f>
        <v/>
      </c>
    </row>
    <row r="1102" spans="4:18" x14ac:dyDescent="0.25">
      <c r="D1102" s="5"/>
      <c r="N1102" s="6" t="str">
        <f>IFERROR(Tabela3[[#This Row],[Última revisão do bem]]+(VLOOKUP(Tabela3[[#This Row],[Categoria]],Cadastros!A:D,4,0)+365),"")</f>
        <v/>
      </c>
      <c r="O1102" s="7" t="str">
        <f ca="1">IF(Tabela3[[#This Row],[Data da compra]]&gt;0,(TODAY()-Tabela3[[#This Row],[Data da compra]])/365,"")</f>
        <v/>
      </c>
      <c r="P1102" s="7" t="str">
        <f>IFERROR(VLOOKUP(Tabela3[[#This Row],[Categoria]],Cadastros!A:C,3,0),"")</f>
        <v/>
      </c>
      <c r="Q1102" s="9" t="str">
        <f ca="1">IFERROR(Tabela3[[#This Row],[Vida útil]]-Tabela3[[#This Row],[Idade]],"")</f>
        <v/>
      </c>
      <c r="R1102" s="8" t="str">
        <f ca="1">IFERROR(Tabela3[[#This Row],[Valor]]-(Tabela3[[#This Row],[Valor]]*(Tabela3[[#This Row],[Idade]]*VLOOKUP(Tabela3[[#This Row],[Categoria]],Cadastros!A:B,2,0))),"")</f>
        <v/>
      </c>
    </row>
    <row r="1103" spans="4:18" x14ac:dyDescent="0.25">
      <c r="D1103" s="5"/>
      <c r="N1103" s="6" t="str">
        <f>IFERROR(Tabela3[[#This Row],[Última revisão do bem]]+(VLOOKUP(Tabela3[[#This Row],[Categoria]],Cadastros!A:D,4,0)+365),"")</f>
        <v/>
      </c>
      <c r="O1103" s="7" t="str">
        <f ca="1">IF(Tabela3[[#This Row],[Data da compra]]&gt;0,(TODAY()-Tabela3[[#This Row],[Data da compra]])/365,"")</f>
        <v/>
      </c>
      <c r="P1103" s="7" t="str">
        <f>IFERROR(VLOOKUP(Tabela3[[#This Row],[Categoria]],Cadastros!A:C,3,0),"")</f>
        <v/>
      </c>
      <c r="Q1103" s="9" t="str">
        <f ca="1">IFERROR(Tabela3[[#This Row],[Vida útil]]-Tabela3[[#This Row],[Idade]],"")</f>
        <v/>
      </c>
      <c r="R1103" s="8" t="str">
        <f ca="1">IFERROR(Tabela3[[#This Row],[Valor]]-(Tabela3[[#This Row],[Valor]]*(Tabela3[[#This Row],[Idade]]*VLOOKUP(Tabela3[[#This Row],[Categoria]],Cadastros!A:B,2,0))),"")</f>
        <v/>
      </c>
    </row>
    <row r="1104" spans="4:18" x14ac:dyDescent="0.25">
      <c r="D1104" s="22"/>
      <c r="N1104" s="6" t="str">
        <f>IFERROR(Tabela3[[#This Row],[Última revisão do bem]]+(VLOOKUP(Tabela3[[#This Row],[Categoria]],Cadastros!A:D,4,0)+365),"")</f>
        <v/>
      </c>
      <c r="O1104" s="7" t="str">
        <f ca="1">IF(Tabela3[[#This Row],[Data da compra]]&gt;0,(TODAY()-Tabela3[[#This Row],[Data da compra]])/365,"")</f>
        <v/>
      </c>
      <c r="P1104" s="7" t="str">
        <f>IFERROR(VLOOKUP(Tabela3[[#This Row],[Categoria]],Cadastros!A:C,3,0),"")</f>
        <v/>
      </c>
      <c r="Q1104" s="9" t="str">
        <f ca="1">IFERROR(Tabela3[[#This Row],[Vida útil]]-Tabela3[[#This Row],[Idade]],"")</f>
        <v/>
      </c>
      <c r="R1104" s="23" t="str">
        <f ca="1">IFERROR(Tabela3[[#This Row],[Valor]]-(Tabela3[[#This Row],[Valor]]*(Tabela3[[#This Row],[Idade]]*VLOOKUP(Tabela3[[#This Row],[Categoria]],Cadastros!A:B,2,0))),"")</f>
        <v/>
      </c>
    </row>
    <row r="1105" spans="4:18" x14ac:dyDescent="0.25">
      <c r="D1105" s="5"/>
      <c r="N1105" s="6" t="str">
        <f>IFERROR(Tabela3[[#This Row],[Última revisão do bem]]+(VLOOKUP(Tabela3[[#This Row],[Categoria]],Cadastros!A:D,4,0)+365),"")</f>
        <v/>
      </c>
      <c r="O1105" s="7" t="str">
        <f ca="1">IF(Tabela3[[#This Row],[Data da compra]]&gt;0,(TODAY()-Tabela3[[#This Row],[Data da compra]])/365,"")</f>
        <v/>
      </c>
      <c r="P1105" s="7" t="str">
        <f>IFERROR(VLOOKUP(Tabela3[[#This Row],[Categoria]],Cadastros!A:C,3,0),"")</f>
        <v/>
      </c>
      <c r="Q1105" s="9" t="str">
        <f ca="1">IFERROR(Tabela3[[#This Row],[Vida útil]]-Tabela3[[#This Row],[Idade]],"")</f>
        <v/>
      </c>
      <c r="R1105" s="8" t="str">
        <f ca="1">IFERROR(Tabela3[[#This Row],[Valor]]-(Tabela3[[#This Row],[Valor]]*(Tabela3[[#This Row],[Idade]]*VLOOKUP(Tabela3[[#This Row],[Categoria]],Cadastros!A:B,2,0))),"")</f>
        <v/>
      </c>
    </row>
    <row r="1106" spans="4:18" x14ac:dyDescent="0.25">
      <c r="D1106" s="5"/>
      <c r="N1106" s="6" t="str">
        <f>IFERROR(Tabela3[[#This Row],[Última revisão do bem]]+(VLOOKUP(Tabela3[[#This Row],[Categoria]],Cadastros!A:D,4,0)+365),"")</f>
        <v/>
      </c>
      <c r="O1106" s="7" t="str">
        <f ca="1">IF(Tabela3[[#This Row],[Data da compra]]&gt;0,(TODAY()-Tabela3[[#This Row],[Data da compra]])/365,"")</f>
        <v/>
      </c>
      <c r="P1106" s="7" t="str">
        <f>IFERROR(VLOOKUP(Tabela3[[#This Row],[Categoria]],Cadastros!A:C,3,0),"")</f>
        <v/>
      </c>
      <c r="Q1106" s="9" t="str">
        <f ca="1">IFERROR(Tabela3[[#This Row],[Vida útil]]-Tabela3[[#This Row],[Idade]],"")</f>
        <v/>
      </c>
      <c r="R1106" s="8" t="str">
        <f ca="1">IFERROR(Tabela3[[#This Row],[Valor]]-(Tabela3[[#This Row],[Valor]]*(Tabela3[[#This Row],[Idade]]*VLOOKUP(Tabela3[[#This Row],[Categoria]],Cadastros!A:B,2,0))),"")</f>
        <v/>
      </c>
    </row>
    <row r="1107" spans="4:18" x14ac:dyDescent="0.25">
      <c r="D1107" s="5"/>
      <c r="N1107" s="6" t="str">
        <f>IFERROR(Tabela3[[#This Row],[Última revisão do bem]]+(VLOOKUP(Tabela3[[#This Row],[Categoria]],Cadastros!A:D,4,0)+365),"")</f>
        <v/>
      </c>
      <c r="O1107" s="7" t="str">
        <f ca="1">IF(Tabela3[[#This Row],[Data da compra]]&gt;0,(TODAY()-Tabela3[[#This Row],[Data da compra]])/365,"")</f>
        <v/>
      </c>
      <c r="P1107" s="7" t="str">
        <f>IFERROR(VLOOKUP(Tabela3[[#This Row],[Categoria]],Cadastros!A:C,3,0),"")</f>
        <v/>
      </c>
      <c r="Q1107" s="9" t="str">
        <f ca="1">IFERROR(Tabela3[[#This Row],[Vida útil]]-Tabela3[[#This Row],[Idade]],"")</f>
        <v/>
      </c>
      <c r="R1107" s="8" t="str">
        <f ca="1">IFERROR(Tabela3[[#This Row],[Valor]]-(Tabela3[[#This Row],[Valor]]*(Tabela3[[#This Row],[Idade]]*VLOOKUP(Tabela3[[#This Row],[Categoria]],Cadastros!A:B,2,0))),"")</f>
        <v/>
      </c>
    </row>
    <row r="1108" spans="4:18" x14ac:dyDescent="0.25">
      <c r="D1108" s="5"/>
      <c r="N1108" s="6" t="str">
        <f>IFERROR(Tabela3[[#This Row],[Última revisão do bem]]+(VLOOKUP(Tabela3[[#This Row],[Categoria]],Cadastros!A:D,4,0)+365),"")</f>
        <v/>
      </c>
      <c r="O1108" s="7" t="str">
        <f ca="1">IF(Tabela3[[#This Row],[Data da compra]]&gt;0,(TODAY()-Tabela3[[#This Row],[Data da compra]])/365,"")</f>
        <v/>
      </c>
      <c r="P1108" s="7" t="str">
        <f>IFERROR(VLOOKUP(Tabela3[[#This Row],[Categoria]],Cadastros!A:C,3,0),"")</f>
        <v/>
      </c>
      <c r="Q1108" s="9" t="str">
        <f ca="1">IFERROR(Tabela3[[#This Row],[Vida útil]]-Tabela3[[#This Row],[Idade]],"")</f>
        <v/>
      </c>
      <c r="R1108" s="8" t="str">
        <f ca="1">IFERROR(Tabela3[[#This Row],[Valor]]-(Tabela3[[#This Row],[Valor]]*(Tabela3[[#This Row],[Idade]]*VLOOKUP(Tabela3[[#This Row],[Categoria]],Cadastros!A:B,2,0))),"")</f>
        <v/>
      </c>
    </row>
    <row r="1109" spans="4:18" x14ac:dyDescent="0.25">
      <c r="D1109" s="5"/>
      <c r="N1109" s="6" t="str">
        <f>IFERROR(Tabela3[[#This Row],[Última revisão do bem]]+(VLOOKUP(Tabela3[[#This Row],[Categoria]],Cadastros!A:D,4,0)+365),"")</f>
        <v/>
      </c>
      <c r="O1109" s="7" t="str">
        <f ca="1">IF(Tabela3[[#This Row],[Data da compra]]&gt;0,(TODAY()-Tabela3[[#This Row],[Data da compra]])/365,"")</f>
        <v/>
      </c>
      <c r="P1109" s="7" t="str">
        <f>IFERROR(VLOOKUP(Tabela3[[#This Row],[Categoria]],Cadastros!A:C,3,0),"")</f>
        <v/>
      </c>
      <c r="Q1109" s="9" t="str">
        <f ca="1">IFERROR(Tabela3[[#This Row],[Vida útil]]-Tabela3[[#This Row],[Idade]],"")</f>
        <v/>
      </c>
      <c r="R1109" s="8" t="str">
        <f ca="1">IFERROR(Tabela3[[#This Row],[Valor]]-(Tabela3[[#This Row],[Valor]]*(Tabela3[[#This Row],[Idade]]*VLOOKUP(Tabela3[[#This Row],[Categoria]],Cadastros!A:B,2,0))),"")</f>
        <v/>
      </c>
    </row>
    <row r="1110" spans="4:18" x14ac:dyDescent="0.25">
      <c r="D1110" s="5"/>
      <c r="N1110" s="6" t="str">
        <f>IFERROR(Tabela3[[#This Row],[Última revisão do bem]]+(VLOOKUP(Tabela3[[#This Row],[Categoria]],Cadastros!A:D,4,0)+365),"")</f>
        <v/>
      </c>
      <c r="O1110" s="7" t="str">
        <f ca="1">IF(Tabela3[[#This Row],[Data da compra]]&gt;0,(TODAY()-Tabela3[[#This Row],[Data da compra]])/365,"")</f>
        <v/>
      </c>
      <c r="P1110" s="7" t="str">
        <f>IFERROR(VLOOKUP(Tabela3[[#This Row],[Categoria]],Cadastros!A:C,3,0),"")</f>
        <v/>
      </c>
      <c r="Q1110" s="9" t="str">
        <f ca="1">IFERROR(Tabela3[[#This Row],[Vida útil]]-Tabela3[[#This Row],[Idade]],"")</f>
        <v/>
      </c>
      <c r="R1110" s="8" t="str">
        <f ca="1">IFERROR(Tabela3[[#This Row],[Valor]]-(Tabela3[[#This Row],[Valor]]*(Tabela3[[#This Row],[Idade]]*VLOOKUP(Tabela3[[#This Row],[Categoria]],Cadastros!A:B,2,0))),"")</f>
        <v/>
      </c>
    </row>
    <row r="1111" spans="4:18" x14ac:dyDescent="0.25">
      <c r="D1111" s="5"/>
      <c r="N1111" s="6" t="str">
        <f>IFERROR(Tabela3[[#This Row],[Última revisão do bem]]+(VLOOKUP(Tabela3[[#This Row],[Categoria]],Cadastros!A:D,4,0)+365),"")</f>
        <v/>
      </c>
      <c r="O1111" s="7" t="str">
        <f ca="1">IF(Tabela3[[#This Row],[Data da compra]]&gt;0,(TODAY()-Tabela3[[#This Row],[Data da compra]])/365,"")</f>
        <v/>
      </c>
      <c r="P1111" s="7" t="str">
        <f>IFERROR(VLOOKUP(Tabela3[[#This Row],[Categoria]],Cadastros!A:C,3,0),"")</f>
        <v/>
      </c>
      <c r="Q1111" s="9" t="str">
        <f ca="1">IFERROR(Tabela3[[#This Row],[Vida útil]]-Tabela3[[#This Row],[Idade]],"")</f>
        <v/>
      </c>
      <c r="R1111" s="8" t="str">
        <f ca="1">IFERROR(Tabela3[[#This Row],[Valor]]-(Tabela3[[#This Row],[Valor]]*(Tabela3[[#This Row],[Idade]]*VLOOKUP(Tabela3[[#This Row],[Categoria]],Cadastros!A:B,2,0))),"")</f>
        <v/>
      </c>
    </row>
    <row r="1112" spans="4:18" x14ac:dyDescent="0.25">
      <c r="D1112" s="5"/>
      <c r="N1112" s="6" t="str">
        <f>IFERROR(Tabela3[[#This Row],[Última revisão do bem]]+(VLOOKUP(Tabela3[[#This Row],[Categoria]],Cadastros!A:D,4,0)+365),"")</f>
        <v/>
      </c>
      <c r="O1112" s="7" t="str">
        <f ca="1">IF(Tabela3[[#This Row],[Data da compra]]&gt;0,(TODAY()-Tabela3[[#This Row],[Data da compra]])/365,"")</f>
        <v/>
      </c>
      <c r="P1112" s="7" t="str">
        <f>IFERROR(VLOOKUP(Tabela3[[#This Row],[Categoria]],Cadastros!A:C,3,0),"")</f>
        <v/>
      </c>
      <c r="Q1112" s="9" t="str">
        <f ca="1">IFERROR(Tabela3[[#This Row],[Vida útil]]-Tabela3[[#This Row],[Idade]],"")</f>
        <v/>
      </c>
      <c r="R1112" s="8" t="str">
        <f ca="1">IFERROR(Tabela3[[#This Row],[Valor]]-(Tabela3[[#This Row],[Valor]]*(Tabela3[[#This Row],[Idade]]*VLOOKUP(Tabela3[[#This Row],[Categoria]],Cadastros!A:B,2,0))),"")</f>
        <v/>
      </c>
    </row>
    <row r="1113" spans="4:18" x14ac:dyDescent="0.25">
      <c r="D1113" s="5"/>
      <c r="N1113" s="6" t="str">
        <f>IFERROR(Tabela3[[#This Row],[Última revisão do bem]]+(VLOOKUP(Tabela3[[#This Row],[Categoria]],Cadastros!A:D,4,0)+365),"")</f>
        <v/>
      </c>
      <c r="O1113" s="7" t="str">
        <f ca="1">IF(Tabela3[[#This Row],[Data da compra]]&gt;0,(TODAY()-Tabela3[[#This Row],[Data da compra]])/365,"")</f>
        <v/>
      </c>
      <c r="P1113" s="7" t="str">
        <f>IFERROR(VLOOKUP(Tabela3[[#This Row],[Categoria]],Cadastros!A:C,3,0),"")</f>
        <v/>
      </c>
      <c r="Q1113" s="9" t="str">
        <f ca="1">IFERROR(Tabela3[[#This Row],[Vida útil]]-Tabela3[[#This Row],[Idade]],"")</f>
        <v/>
      </c>
      <c r="R1113" s="8" t="str">
        <f ca="1">IFERROR(Tabela3[[#This Row],[Valor]]-(Tabela3[[#This Row],[Valor]]*(Tabela3[[#This Row],[Idade]]*VLOOKUP(Tabela3[[#This Row],[Categoria]],Cadastros!A:B,2,0))),"")</f>
        <v/>
      </c>
    </row>
    <row r="1114" spans="4:18" x14ac:dyDescent="0.25">
      <c r="D1114" s="5"/>
      <c r="N1114" s="6" t="str">
        <f>IFERROR(Tabela3[[#This Row],[Última revisão do bem]]+(VLOOKUP(Tabela3[[#This Row],[Categoria]],Cadastros!A:D,4,0)+365),"")</f>
        <v/>
      </c>
      <c r="O1114" s="7" t="str">
        <f ca="1">IF(Tabela3[[#This Row],[Data da compra]]&gt;0,(TODAY()-Tabela3[[#This Row],[Data da compra]])/365,"")</f>
        <v/>
      </c>
      <c r="P1114" s="7" t="str">
        <f>IFERROR(VLOOKUP(Tabela3[[#This Row],[Categoria]],Cadastros!A:C,3,0),"")</f>
        <v/>
      </c>
      <c r="Q1114" s="9" t="str">
        <f ca="1">IFERROR(Tabela3[[#This Row],[Vida útil]]-Tabela3[[#This Row],[Idade]],"")</f>
        <v/>
      </c>
      <c r="R1114" s="8" t="str">
        <f ca="1">IFERROR(Tabela3[[#This Row],[Valor]]-(Tabela3[[#This Row],[Valor]]*(Tabela3[[#This Row],[Idade]]*VLOOKUP(Tabela3[[#This Row],[Categoria]],Cadastros!A:B,2,0))),"")</f>
        <v/>
      </c>
    </row>
    <row r="1115" spans="4:18" x14ac:dyDescent="0.25">
      <c r="D1115" s="5"/>
      <c r="N1115" s="6" t="str">
        <f>IFERROR(Tabela3[[#This Row],[Última revisão do bem]]+(VLOOKUP(Tabela3[[#This Row],[Categoria]],Cadastros!A:D,4,0)+365),"")</f>
        <v/>
      </c>
      <c r="O1115" s="7" t="str">
        <f ca="1">IF(Tabela3[[#This Row],[Data da compra]]&gt;0,(TODAY()-Tabela3[[#This Row],[Data da compra]])/365,"")</f>
        <v/>
      </c>
      <c r="P1115" s="7" t="str">
        <f>IFERROR(VLOOKUP(Tabela3[[#This Row],[Categoria]],Cadastros!A:C,3,0),"")</f>
        <v/>
      </c>
      <c r="Q1115" s="9" t="str">
        <f ca="1">IFERROR(Tabela3[[#This Row],[Vida útil]]-Tabela3[[#This Row],[Idade]],"")</f>
        <v/>
      </c>
      <c r="R1115" s="8" t="str">
        <f ca="1">IFERROR(Tabela3[[#This Row],[Valor]]-(Tabela3[[#This Row],[Valor]]*(Tabela3[[#This Row],[Idade]]*VLOOKUP(Tabela3[[#This Row],[Categoria]],Cadastros!A:B,2,0))),"")</f>
        <v/>
      </c>
    </row>
    <row r="1116" spans="4:18" x14ac:dyDescent="0.25">
      <c r="D1116" s="5"/>
      <c r="N1116" s="6" t="str">
        <f>IFERROR(Tabela3[[#This Row],[Última revisão do bem]]+(VLOOKUP(Tabela3[[#This Row],[Categoria]],Cadastros!A:D,4,0)+365),"")</f>
        <v/>
      </c>
      <c r="O1116" s="7" t="str">
        <f ca="1">IF(Tabela3[[#This Row],[Data da compra]]&gt;0,(TODAY()-Tabela3[[#This Row],[Data da compra]])/365,"")</f>
        <v/>
      </c>
      <c r="P1116" s="7" t="str">
        <f>IFERROR(VLOOKUP(Tabela3[[#This Row],[Categoria]],Cadastros!A:C,3,0),"")</f>
        <v/>
      </c>
      <c r="Q1116" s="9" t="str">
        <f ca="1">IFERROR(Tabela3[[#This Row],[Vida útil]]-Tabela3[[#This Row],[Idade]],"")</f>
        <v/>
      </c>
      <c r="R1116" s="8" t="str">
        <f ca="1">IFERROR(Tabela3[[#This Row],[Valor]]-(Tabela3[[#This Row],[Valor]]*(Tabela3[[#This Row],[Idade]]*VLOOKUP(Tabela3[[#This Row],[Categoria]],Cadastros!A:B,2,0))),"")</f>
        <v/>
      </c>
    </row>
    <row r="1117" spans="4:18" x14ac:dyDescent="0.25">
      <c r="D1117" s="5"/>
      <c r="N1117" s="6" t="str">
        <f>IFERROR(Tabela3[[#This Row],[Última revisão do bem]]+(VLOOKUP(Tabela3[[#This Row],[Categoria]],Cadastros!A:D,4,0)+365),"")</f>
        <v/>
      </c>
      <c r="O1117" s="7" t="str">
        <f ca="1">IF(Tabela3[[#This Row],[Data da compra]]&gt;0,(TODAY()-Tabela3[[#This Row],[Data da compra]])/365,"")</f>
        <v/>
      </c>
      <c r="P1117" s="7" t="str">
        <f>IFERROR(VLOOKUP(Tabela3[[#This Row],[Categoria]],Cadastros!A:C,3,0),"")</f>
        <v/>
      </c>
      <c r="Q1117" s="9" t="str">
        <f ca="1">IFERROR(Tabela3[[#This Row],[Vida útil]]-Tabela3[[#This Row],[Idade]],"")</f>
        <v/>
      </c>
      <c r="R1117" s="8" t="str">
        <f ca="1">IFERROR(Tabela3[[#This Row],[Valor]]-(Tabela3[[#This Row],[Valor]]*(Tabela3[[#This Row],[Idade]]*VLOOKUP(Tabela3[[#This Row],[Categoria]],Cadastros!A:B,2,0))),"")</f>
        <v/>
      </c>
    </row>
    <row r="1118" spans="4:18" x14ac:dyDescent="0.25">
      <c r="D1118" s="5"/>
      <c r="N1118" s="6" t="str">
        <f>IFERROR(Tabela3[[#This Row],[Última revisão do bem]]+(VLOOKUP(Tabela3[[#This Row],[Categoria]],Cadastros!A:D,4,0)+365),"")</f>
        <v/>
      </c>
      <c r="O1118" s="7" t="str">
        <f ca="1">IF(Tabela3[[#This Row],[Data da compra]]&gt;0,(TODAY()-Tabela3[[#This Row],[Data da compra]])/365,"")</f>
        <v/>
      </c>
      <c r="P1118" s="7" t="str">
        <f>IFERROR(VLOOKUP(Tabela3[[#This Row],[Categoria]],Cadastros!A:C,3,0),"")</f>
        <v/>
      </c>
      <c r="Q1118" s="9" t="str">
        <f ca="1">IFERROR(Tabela3[[#This Row],[Vida útil]]-Tabela3[[#This Row],[Idade]],"")</f>
        <v/>
      </c>
      <c r="R1118" s="8" t="str">
        <f ca="1">IFERROR(Tabela3[[#This Row],[Valor]]-(Tabela3[[#This Row],[Valor]]*(Tabela3[[#This Row],[Idade]]*VLOOKUP(Tabela3[[#This Row],[Categoria]],Cadastros!A:B,2,0))),"")</f>
        <v/>
      </c>
    </row>
    <row r="1119" spans="4:18" x14ac:dyDescent="0.25">
      <c r="D1119" s="5"/>
      <c r="N1119" s="6" t="str">
        <f>IFERROR(Tabela3[[#This Row],[Última revisão do bem]]+(VLOOKUP(Tabela3[[#This Row],[Categoria]],Cadastros!A:D,4,0)+365),"")</f>
        <v/>
      </c>
      <c r="O1119" s="7" t="str">
        <f ca="1">IF(Tabela3[[#This Row],[Data da compra]]&gt;0,(TODAY()-Tabela3[[#This Row],[Data da compra]])/365,"")</f>
        <v/>
      </c>
      <c r="P1119" s="7" t="str">
        <f>IFERROR(VLOOKUP(Tabela3[[#This Row],[Categoria]],Cadastros!A:C,3,0),"")</f>
        <v/>
      </c>
      <c r="Q1119" s="9" t="str">
        <f ca="1">IFERROR(Tabela3[[#This Row],[Vida útil]]-Tabela3[[#This Row],[Idade]],"")</f>
        <v/>
      </c>
      <c r="R1119" s="8" t="str">
        <f ca="1">IFERROR(Tabela3[[#This Row],[Valor]]-(Tabela3[[#This Row],[Valor]]*(Tabela3[[#This Row],[Idade]]*VLOOKUP(Tabela3[[#This Row],[Categoria]],Cadastros!A:B,2,0))),"")</f>
        <v/>
      </c>
    </row>
    <row r="1120" spans="4:18" x14ac:dyDescent="0.25">
      <c r="D1120" s="5"/>
      <c r="N1120" s="6" t="str">
        <f>IFERROR(Tabela3[[#This Row],[Última revisão do bem]]+(VLOOKUP(Tabela3[[#This Row],[Categoria]],Cadastros!A:D,4,0)+365),"")</f>
        <v/>
      </c>
      <c r="O1120" s="7" t="str">
        <f ca="1">IF(Tabela3[[#This Row],[Data da compra]]&gt;0,(TODAY()-Tabela3[[#This Row],[Data da compra]])/365,"")</f>
        <v/>
      </c>
      <c r="P1120" s="7" t="str">
        <f>IFERROR(VLOOKUP(Tabela3[[#This Row],[Categoria]],Cadastros!A:C,3,0),"")</f>
        <v/>
      </c>
      <c r="Q1120" s="9" t="str">
        <f ca="1">IFERROR(Tabela3[[#This Row],[Vida útil]]-Tabela3[[#This Row],[Idade]],"")</f>
        <v/>
      </c>
      <c r="R1120" s="8" t="str">
        <f ca="1">IFERROR(Tabela3[[#This Row],[Valor]]-(Tabela3[[#This Row],[Valor]]*(Tabela3[[#This Row],[Idade]]*VLOOKUP(Tabela3[[#This Row],[Categoria]],Cadastros!A:B,2,0))),"")</f>
        <v/>
      </c>
    </row>
    <row r="1121" spans="4:18" x14ac:dyDescent="0.25">
      <c r="D1121" s="5"/>
      <c r="N1121" s="6" t="str">
        <f>IFERROR(Tabela3[[#This Row],[Última revisão do bem]]+(VLOOKUP(Tabela3[[#This Row],[Categoria]],Cadastros!A:D,4,0)+365),"")</f>
        <v/>
      </c>
      <c r="O1121" s="7" t="str">
        <f ca="1">IF(Tabela3[[#This Row],[Data da compra]]&gt;0,(TODAY()-Tabela3[[#This Row],[Data da compra]])/365,"")</f>
        <v/>
      </c>
      <c r="P1121" s="7" t="str">
        <f>IFERROR(VLOOKUP(Tabela3[[#This Row],[Categoria]],Cadastros!A:C,3,0),"")</f>
        <v/>
      </c>
      <c r="Q1121" s="9" t="str">
        <f ca="1">IFERROR(Tabela3[[#This Row],[Vida útil]]-Tabela3[[#This Row],[Idade]],"")</f>
        <v/>
      </c>
      <c r="R1121" s="8" t="str">
        <f ca="1">IFERROR(Tabela3[[#This Row],[Valor]]-(Tabela3[[#This Row],[Valor]]*(Tabela3[[#This Row],[Idade]]*VLOOKUP(Tabela3[[#This Row],[Categoria]],Cadastros!A:B,2,0))),"")</f>
        <v/>
      </c>
    </row>
    <row r="1122" spans="4:18" x14ac:dyDescent="0.25">
      <c r="D1122" s="22"/>
      <c r="N1122" s="6" t="str">
        <f>IFERROR(Tabela3[[#This Row],[Última revisão do bem]]+(VLOOKUP(Tabela3[[#This Row],[Categoria]],Cadastros!A:D,4,0)+365),"")</f>
        <v/>
      </c>
      <c r="O1122" s="7" t="str">
        <f ca="1">IF(Tabela3[[#This Row],[Data da compra]]&gt;0,(TODAY()-Tabela3[[#This Row],[Data da compra]])/365,"")</f>
        <v/>
      </c>
      <c r="P1122" s="7" t="str">
        <f>IFERROR(VLOOKUP(Tabela3[[#This Row],[Categoria]],Cadastros!A:C,3,0),"")</f>
        <v/>
      </c>
      <c r="Q1122" s="9" t="str">
        <f ca="1">IFERROR(Tabela3[[#This Row],[Vida útil]]-Tabela3[[#This Row],[Idade]],"")</f>
        <v/>
      </c>
      <c r="R1122" s="23" t="str">
        <f ca="1">IFERROR(Tabela3[[#This Row],[Valor]]-(Tabela3[[#This Row],[Valor]]*(Tabela3[[#This Row],[Idade]]*VLOOKUP(Tabela3[[#This Row],[Categoria]],Cadastros!A:B,2,0))),"")</f>
        <v/>
      </c>
    </row>
    <row r="1123" spans="4:18" x14ac:dyDescent="0.25">
      <c r="D1123" s="5"/>
      <c r="N1123" s="6" t="str">
        <f>IFERROR(Tabela3[[#This Row],[Última revisão do bem]]+(VLOOKUP(Tabela3[[#This Row],[Categoria]],Cadastros!A:D,4,0)+365),"")</f>
        <v/>
      </c>
      <c r="O1123" s="7" t="str">
        <f ca="1">IF(Tabela3[[#This Row],[Data da compra]]&gt;0,(TODAY()-Tabela3[[#This Row],[Data da compra]])/365,"")</f>
        <v/>
      </c>
      <c r="P1123" s="7" t="str">
        <f>IFERROR(VLOOKUP(Tabela3[[#This Row],[Categoria]],Cadastros!A:C,3,0),"")</f>
        <v/>
      </c>
      <c r="Q1123" s="9" t="str">
        <f ca="1">IFERROR(Tabela3[[#This Row],[Vida útil]]-Tabela3[[#This Row],[Idade]],"")</f>
        <v/>
      </c>
      <c r="R1123" s="8" t="str">
        <f ca="1">IFERROR(Tabela3[[#This Row],[Valor]]-(Tabela3[[#This Row],[Valor]]*(Tabela3[[#This Row],[Idade]]*VLOOKUP(Tabela3[[#This Row],[Categoria]],Cadastros!A:B,2,0))),"")</f>
        <v/>
      </c>
    </row>
    <row r="1124" spans="4:18" x14ac:dyDescent="0.25">
      <c r="D1124" s="5"/>
      <c r="N1124" s="6" t="str">
        <f>IFERROR(Tabela3[[#This Row],[Última revisão do bem]]+(VLOOKUP(Tabela3[[#This Row],[Categoria]],Cadastros!A:D,4,0)+365),"")</f>
        <v/>
      </c>
      <c r="O1124" s="7" t="str">
        <f ca="1">IF(Tabela3[[#This Row],[Data da compra]]&gt;0,(TODAY()-Tabela3[[#This Row],[Data da compra]])/365,"")</f>
        <v/>
      </c>
      <c r="P1124" s="7" t="str">
        <f>IFERROR(VLOOKUP(Tabela3[[#This Row],[Categoria]],Cadastros!A:C,3,0),"")</f>
        <v/>
      </c>
      <c r="Q1124" s="9" t="str">
        <f ca="1">IFERROR(Tabela3[[#This Row],[Vida útil]]-Tabela3[[#This Row],[Idade]],"")</f>
        <v/>
      </c>
      <c r="R1124" s="8" t="str">
        <f ca="1">IFERROR(Tabela3[[#This Row],[Valor]]-(Tabela3[[#This Row],[Valor]]*(Tabela3[[#This Row],[Idade]]*VLOOKUP(Tabela3[[#This Row],[Categoria]],Cadastros!A:B,2,0))),"")</f>
        <v/>
      </c>
    </row>
    <row r="1125" spans="4:18" x14ac:dyDescent="0.25">
      <c r="D1125" s="5"/>
      <c r="N1125" s="6" t="str">
        <f>IFERROR(Tabela3[[#This Row],[Última revisão do bem]]+(VLOOKUP(Tabela3[[#This Row],[Categoria]],Cadastros!A:D,4,0)+365),"")</f>
        <v/>
      </c>
      <c r="O1125" s="7" t="str">
        <f ca="1">IF(Tabela3[[#This Row],[Data da compra]]&gt;0,(TODAY()-Tabela3[[#This Row],[Data da compra]])/365,"")</f>
        <v/>
      </c>
      <c r="P1125" s="7" t="str">
        <f>IFERROR(VLOOKUP(Tabela3[[#This Row],[Categoria]],Cadastros!A:C,3,0),"")</f>
        <v/>
      </c>
      <c r="Q1125" s="9" t="str">
        <f ca="1">IFERROR(Tabela3[[#This Row],[Vida útil]]-Tabela3[[#This Row],[Idade]],"")</f>
        <v/>
      </c>
      <c r="R1125" s="8" t="str">
        <f ca="1">IFERROR(Tabela3[[#This Row],[Valor]]-(Tabela3[[#This Row],[Valor]]*(Tabela3[[#This Row],[Idade]]*VLOOKUP(Tabela3[[#This Row],[Categoria]],Cadastros!A:B,2,0))),"")</f>
        <v/>
      </c>
    </row>
    <row r="1126" spans="4:18" x14ac:dyDescent="0.25">
      <c r="D1126" s="5"/>
      <c r="N1126" s="6" t="str">
        <f>IFERROR(Tabela3[[#This Row],[Última revisão do bem]]+(VLOOKUP(Tabela3[[#This Row],[Categoria]],Cadastros!A:D,4,0)+365),"")</f>
        <v/>
      </c>
      <c r="O1126" s="7" t="str">
        <f ca="1">IF(Tabela3[[#This Row],[Data da compra]]&gt;0,(TODAY()-Tabela3[[#This Row],[Data da compra]])/365,"")</f>
        <v/>
      </c>
      <c r="P1126" s="7" t="str">
        <f>IFERROR(VLOOKUP(Tabela3[[#This Row],[Categoria]],Cadastros!A:C,3,0),"")</f>
        <v/>
      </c>
      <c r="Q1126" s="9" t="str">
        <f ca="1">IFERROR(Tabela3[[#This Row],[Vida útil]]-Tabela3[[#This Row],[Idade]],"")</f>
        <v/>
      </c>
      <c r="R1126" s="8" t="str">
        <f ca="1">IFERROR(Tabela3[[#This Row],[Valor]]-(Tabela3[[#This Row],[Valor]]*(Tabela3[[#This Row],[Idade]]*VLOOKUP(Tabela3[[#This Row],[Categoria]],Cadastros!A:B,2,0))),"")</f>
        <v/>
      </c>
    </row>
    <row r="1127" spans="4:18" x14ac:dyDescent="0.25">
      <c r="D1127" s="5"/>
      <c r="N1127" s="6" t="str">
        <f>IFERROR(Tabela3[[#This Row],[Última revisão do bem]]+(VLOOKUP(Tabela3[[#This Row],[Categoria]],Cadastros!A:D,4,0)+365),"")</f>
        <v/>
      </c>
      <c r="O1127" s="7" t="str">
        <f ca="1">IF(Tabela3[[#This Row],[Data da compra]]&gt;0,(TODAY()-Tabela3[[#This Row],[Data da compra]])/365,"")</f>
        <v/>
      </c>
      <c r="P1127" s="7" t="str">
        <f>IFERROR(VLOOKUP(Tabela3[[#This Row],[Categoria]],Cadastros!A:C,3,0),"")</f>
        <v/>
      </c>
      <c r="Q1127" s="9" t="str">
        <f ca="1">IFERROR(Tabela3[[#This Row],[Vida útil]]-Tabela3[[#This Row],[Idade]],"")</f>
        <v/>
      </c>
      <c r="R1127" s="8" t="str">
        <f ca="1">IFERROR(Tabela3[[#This Row],[Valor]]-(Tabela3[[#This Row],[Valor]]*(Tabela3[[#This Row],[Idade]]*VLOOKUP(Tabela3[[#This Row],[Categoria]],Cadastros!A:B,2,0))),"")</f>
        <v/>
      </c>
    </row>
    <row r="1128" spans="4:18" x14ac:dyDescent="0.25">
      <c r="D1128" s="5"/>
      <c r="N1128" s="6" t="str">
        <f>IFERROR(Tabela3[[#This Row],[Última revisão do bem]]+(VLOOKUP(Tabela3[[#This Row],[Categoria]],Cadastros!A:D,4,0)+365),"")</f>
        <v/>
      </c>
      <c r="O1128" s="7" t="str">
        <f ca="1">IF(Tabela3[[#This Row],[Data da compra]]&gt;0,(TODAY()-Tabela3[[#This Row],[Data da compra]])/365,"")</f>
        <v/>
      </c>
      <c r="P1128" s="7" t="str">
        <f>IFERROR(VLOOKUP(Tabela3[[#This Row],[Categoria]],Cadastros!A:C,3,0),"")</f>
        <v/>
      </c>
      <c r="Q1128" s="9" t="str">
        <f ca="1">IFERROR(Tabela3[[#This Row],[Vida útil]]-Tabela3[[#This Row],[Idade]],"")</f>
        <v/>
      </c>
      <c r="R1128" s="8" t="str">
        <f ca="1">IFERROR(Tabela3[[#This Row],[Valor]]-(Tabela3[[#This Row],[Valor]]*(Tabela3[[#This Row],[Idade]]*VLOOKUP(Tabela3[[#This Row],[Categoria]],Cadastros!A:B,2,0))),"")</f>
        <v/>
      </c>
    </row>
    <row r="1129" spans="4:18" x14ac:dyDescent="0.25">
      <c r="D1129" s="5"/>
      <c r="N1129" s="6" t="str">
        <f>IFERROR(Tabela3[[#This Row],[Última revisão do bem]]+(VLOOKUP(Tabela3[[#This Row],[Categoria]],Cadastros!A:D,4,0)+365),"")</f>
        <v/>
      </c>
      <c r="O1129" s="7" t="str">
        <f ca="1">IF(Tabela3[[#This Row],[Data da compra]]&gt;0,(TODAY()-Tabela3[[#This Row],[Data da compra]])/365,"")</f>
        <v/>
      </c>
      <c r="P1129" s="7" t="str">
        <f>IFERROR(VLOOKUP(Tabela3[[#This Row],[Categoria]],Cadastros!A:C,3,0),"")</f>
        <v/>
      </c>
      <c r="Q1129" s="9" t="str">
        <f ca="1">IFERROR(Tabela3[[#This Row],[Vida útil]]-Tabela3[[#This Row],[Idade]],"")</f>
        <v/>
      </c>
      <c r="R1129" s="8" t="str">
        <f ca="1">IFERROR(Tabela3[[#This Row],[Valor]]-(Tabela3[[#This Row],[Valor]]*(Tabela3[[#This Row],[Idade]]*VLOOKUP(Tabela3[[#This Row],[Categoria]],Cadastros!A:B,2,0))),"")</f>
        <v/>
      </c>
    </row>
    <row r="1130" spans="4:18" x14ac:dyDescent="0.25">
      <c r="D1130" s="5"/>
      <c r="N1130" s="6" t="str">
        <f>IFERROR(Tabela3[[#This Row],[Última revisão do bem]]+(VLOOKUP(Tabela3[[#This Row],[Categoria]],Cadastros!A:D,4,0)+365),"")</f>
        <v/>
      </c>
      <c r="O1130" s="7" t="str">
        <f ca="1">IF(Tabela3[[#This Row],[Data da compra]]&gt;0,(TODAY()-Tabela3[[#This Row],[Data da compra]])/365,"")</f>
        <v/>
      </c>
      <c r="P1130" s="7" t="str">
        <f>IFERROR(VLOOKUP(Tabela3[[#This Row],[Categoria]],Cadastros!A:C,3,0),"")</f>
        <v/>
      </c>
      <c r="Q1130" s="9" t="str">
        <f ca="1">IFERROR(Tabela3[[#This Row],[Vida útil]]-Tabela3[[#This Row],[Idade]],"")</f>
        <v/>
      </c>
      <c r="R1130" s="8" t="str">
        <f ca="1">IFERROR(Tabela3[[#This Row],[Valor]]-(Tabela3[[#This Row],[Valor]]*(Tabela3[[#This Row],[Idade]]*VLOOKUP(Tabela3[[#This Row],[Categoria]],Cadastros!A:B,2,0))),"")</f>
        <v/>
      </c>
    </row>
    <row r="1131" spans="4:18" x14ac:dyDescent="0.25">
      <c r="D1131" s="5"/>
      <c r="N1131" s="6" t="str">
        <f>IFERROR(Tabela3[[#This Row],[Última revisão do bem]]+(VLOOKUP(Tabela3[[#This Row],[Categoria]],Cadastros!A:D,4,0)+365),"")</f>
        <v/>
      </c>
      <c r="O1131" s="7" t="str">
        <f ca="1">IF(Tabela3[[#This Row],[Data da compra]]&gt;0,(TODAY()-Tabela3[[#This Row],[Data da compra]])/365,"")</f>
        <v/>
      </c>
      <c r="P1131" s="7" t="str">
        <f>IFERROR(VLOOKUP(Tabela3[[#This Row],[Categoria]],Cadastros!A:C,3,0),"")</f>
        <v/>
      </c>
      <c r="Q1131" s="9" t="str">
        <f ca="1">IFERROR(Tabela3[[#This Row],[Vida útil]]-Tabela3[[#This Row],[Idade]],"")</f>
        <v/>
      </c>
      <c r="R1131" s="8" t="str">
        <f ca="1">IFERROR(Tabela3[[#This Row],[Valor]]-(Tabela3[[#This Row],[Valor]]*(Tabela3[[#This Row],[Idade]]*VLOOKUP(Tabela3[[#This Row],[Categoria]],Cadastros!A:B,2,0))),"")</f>
        <v/>
      </c>
    </row>
    <row r="1132" spans="4:18" x14ac:dyDescent="0.25">
      <c r="D1132" s="5"/>
      <c r="N1132" s="6" t="str">
        <f>IFERROR(Tabela3[[#This Row],[Última revisão do bem]]+(VLOOKUP(Tabela3[[#This Row],[Categoria]],Cadastros!A:D,4,0)+365),"")</f>
        <v/>
      </c>
      <c r="O1132" s="7" t="str">
        <f ca="1">IF(Tabela3[[#This Row],[Data da compra]]&gt;0,(TODAY()-Tabela3[[#This Row],[Data da compra]])/365,"")</f>
        <v/>
      </c>
      <c r="P1132" s="7" t="str">
        <f>IFERROR(VLOOKUP(Tabela3[[#This Row],[Categoria]],Cadastros!A:C,3,0),"")</f>
        <v/>
      </c>
      <c r="Q1132" s="9" t="str">
        <f ca="1">IFERROR(Tabela3[[#This Row],[Vida útil]]-Tabela3[[#This Row],[Idade]],"")</f>
        <v/>
      </c>
      <c r="R1132" s="8" t="str">
        <f ca="1">IFERROR(Tabela3[[#This Row],[Valor]]-(Tabela3[[#This Row],[Valor]]*(Tabela3[[#This Row],[Idade]]*VLOOKUP(Tabela3[[#This Row],[Categoria]],Cadastros!A:B,2,0))),"")</f>
        <v/>
      </c>
    </row>
    <row r="1133" spans="4:18" x14ac:dyDescent="0.25">
      <c r="D1133" s="5"/>
      <c r="N1133" s="6" t="str">
        <f>IFERROR(Tabela3[[#This Row],[Última revisão do bem]]+(VLOOKUP(Tabela3[[#This Row],[Categoria]],Cadastros!A:D,4,0)+365),"")</f>
        <v/>
      </c>
      <c r="O1133" s="7" t="str">
        <f ca="1">IF(Tabela3[[#This Row],[Data da compra]]&gt;0,(TODAY()-Tabela3[[#This Row],[Data da compra]])/365,"")</f>
        <v/>
      </c>
      <c r="P1133" s="7" t="str">
        <f>IFERROR(VLOOKUP(Tabela3[[#This Row],[Categoria]],Cadastros!A:C,3,0),"")</f>
        <v/>
      </c>
      <c r="Q1133" s="9" t="str">
        <f ca="1">IFERROR(Tabela3[[#This Row],[Vida útil]]-Tabela3[[#This Row],[Idade]],"")</f>
        <v/>
      </c>
      <c r="R1133" s="8" t="str">
        <f ca="1">IFERROR(Tabela3[[#This Row],[Valor]]-(Tabela3[[#This Row],[Valor]]*(Tabela3[[#This Row],[Idade]]*VLOOKUP(Tabela3[[#This Row],[Categoria]],Cadastros!A:B,2,0))),"")</f>
        <v/>
      </c>
    </row>
    <row r="1134" spans="4:18" x14ac:dyDescent="0.25">
      <c r="D1134" s="5"/>
      <c r="N1134" s="6" t="str">
        <f>IFERROR(Tabela3[[#This Row],[Última revisão do bem]]+(VLOOKUP(Tabela3[[#This Row],[Categoria]],Cadastros!A:D,4,0)+365),"")</f>
        <v/>
      </c>
      <c r="O1134" s="7" t="str">
        <f ca="1">IF(Tabela3[[#This Row],[Data da compra]]&gt;0,(TODAY()-Tabela3[[#This Row],[Data da compra]])/365,"")</f>
        <v/>
      </c>
      <c r="P1134" s="7" t="str">
        <f>IFERROR(VLOOKUP(Tabela3[[#This Row],[Categoria]],Cadastros!A:C,3,0),"")</f>
        <v/>
      </c>
      <c r="Q1134" s="9" t="str">
        <f ca="1">IFERROR(Tabela3[[#This Row],[Vida útil]]-Tabela3[[#This Row],[Idade]],"")</f>
        <v/>
      </c>
      <c r="R1134" s="8" t="str">
        <f ca="1">IFERROR(Tabela3[[#This Row],[Valor]]-(Tabela3[[#This Row],[Valor]]*(Tabela3[[#This Row],[Idade]]*VLOOKUP(Tabela3[[#This Row],[Categoria]],Cadastros!A:B,2,0))),"")</f>
        <v/>
      </c>
    </row>
    <row r="1135" spans="4:18" x14ac:dyDescent="0.25">
      <c r="D1135" s="5"/>
      <c r="N1135" s="6" t="str">
        <f>IFERROR(Tabela3[[#This Row],[Última revisão do bem]]+(VLOOKUP(Tabela3[[#This Row],[Categoria]],Cadastros!A:D,4,0)+365),"")</f>
        <v/>
      </c>
      <c r="O1135" s="7" t="str">
        <f ca="1">IF(Tabela3[[#This Row],[Data da compra]]&gt;0,(TODAY()-Tabela3[[#This Row],[Data da compra]])/365,"")</f>
        <v/>
      </c>
      <c r="P1135" s="7" t="str">
        <f>IFERROR(VLOOKUP(Tabela3[[#This Row],[Categoria]],Cadastros!A:C,3,0),"")</f>
        <v/>
      </c>
      <c r="Q1135" s="9" t="str">
        <f ca="1">IFERROR(Tabela3[[#This Row],[Vida útil]]-Tabela3[[#This Row],[Idade]],"")</f>
        <v/>
      </c>
      <c r="R1135" s="8" t="str">
        <f ca="1">IFERROR(Tabela3[[#This Row],[Valor]]-(Tabela3[[#This Row],[Valor]]*(Tabela3[[#This Row],[Idade]]*VLOOKUP(Tabela3[[#This Row],[Categoria]],Cadastros!A:B,2,0))),"")</f>
        <v/>
      </c>
    </row>
    <row r="1136" spans="4:18" x14ac:dyDescent="0.25">
      <c r="D1136" s="5"/>
      <c r="N1136" s="6" t="str">
        <f>IFERROR(Tabela3[[#This Row],[Última revisão do bem]]+(VLOOKUP(Tabela3[[#This Row],[Categoria]],Cadastros!A:D,4,0)+365),"")</f>
        <v/>
      </c>
      <c r="O1136" s="7" t="str">
        <f ca="1">IF(Tabela3[[#This Row],[Data da compra]]&gt;0,(TODAY()-Tabela3[[#This Row],[Data da compra]])/365,"")</f>
        <v/>
      </c>
      <c r="P1136" s="7" t="str">
        <f>IFERROR(VLOOKUP(Tabela3[[#This Row],[Categoria]],Cadastros!A:C,3,0),"")</f>
        <v/>
      </c>
      <c r="Q1136" s="9" t="str">
        <f ca="1">IFERROR(Tabela3[[#This Row],[Vida útil]]-Tabela3[[#This Row],[Idade]],"")</f>
        <v/>
      </c>
      <c r="R1136" s="8" t="str">
        <f ca="1">IFERROR(Tabela3[[#This Row],[Valor]]-(Tabela3[[#This Row],[Valor]]*(Tabela3[[#This Row],[Idade]]*VLOOKUP(Tabela3[[#This Row],[Categoria]],Cadastros!A:B,2,0))),"")</f>
        <v/>
      </c>
    </row>
    <row r="1137" spans="4:18" x14ac:dyDescent="0.25">
      <c r="D1137" s="5"/>
      <c r="N1137" s="6" t="str">
        <f>IFERROR(Tabela3[[#This Row],[Última revisão do bem]]+(VLOOKUP(Tabela3[[#This Row],[Categoria]],Cadastros!A:D,4,0)+365),"")</f>
        <v/>
      </c>
      <c r="O1137" s="7" t="str">
        <f ca="1">IF(Tabela3[[#This Row],[Data da compra]]&gt;0,(TODAY()-Tabela3[[#This Row],[Data da compra]])/365,"")</f>
        <v/>
      </c>
      <c r="P1137" s="7" t="str">
        <f>IFERROR(VLOOKUP(Tabela3[[#This Row],[Categoria]],Cadastros!A:C,3,0),"")</f>
        <v/>
      </c>
      <c r="Q1137" s="9" t="str">
        <f ca="1">IFERROR(Tabela3[[#This Row],[Vida útil]]-Tabela3[[#This Row],[Idade]],"")</f>
        <v/>
      </c>
      <c r="R1137" s="8" t="str">
        <f ca="1">IFERROR(Tabela3[[#This Row],[Valor]]-(Tabela3[[#This Row],[Valor]]*(Tabela3[[#This Row],[Idade]]*VLOOKUP(Tabela3[[#This Row],[Categoria]],Cadastros!A:B,2,0))),"")</f>
        <v/>
      </c>
    </row>
    <row r="1138" spans="4:18" x14ac:dyDescent="0.25">
      <c r="D1138" s="5"/>
      <c r="N1138" s="6" t="str">
        <f>IFERROR(Tabela3[[#This Row],[Última revisão do bem]]+(VLOOKUP(Tabela3[[#This Row],[Categoria]],Cadastros!A:D,4,0)+365),"")</f>
        <v/>
      </c>
      <c r="O1138" s="7" t="str">
        <f ca="1">IF(Tabela3[[#This Row],[Data da compra]]&gt;0,(TODAY()-Tabela3[[#This Row],[Data da compra]])/365,"")</f>
        <v/>
      </c>
      <c r="P1138" s="7" t="str">
        <f>IFERROR(VLOOKUP(Tabela3[[#This Row],[Categoria]],Cadastros!A:C,3,0),"")</f>
        <v/>
      </c>
      <c r="Q1138" s="9" t="str">
        <f ca="1">IFERROR(Tabela3[[#This Row],[Vida útil]]-Tabela3[[#This Row],[Idade]],"")</f>
        <v/>
      </c>
      <c r="R1138" s="8" t="str">
        <f ca="1">IFERROR(Tabela3[[#This Row],[Valor]]-(Tabela3[[#This Row],[Valor]]*(Tabela3[[#This Row],[Idade]]*VLOOKUP(Tabela3[[#This Row],[Categoria]],Cadastros!A:B,2,0))),"")</f>
        <v/>
      </c>
    </row>
    <row r="1139" spans="4:18" x14ac:dyDescent="0.25">
      <c r="D1139" s="5"/>
      <c r="N1139" s="6" t="str">
        <f>IFERROR(Tabela3[[#This Row],[Última revisão do bem]]+(VLOOKUP(Tabela3[[#This Row],[Categoria]],Cadastros!A:D,4,0)+365),"")</f>
        <v/>
      </c>
      <c r="O1139" s="7" t="str">
        <f ca="1">IF(Tabela3[[#This Row],[Data da compra]]&gt;0,(TODAY()-Tabela3[[#This Row],[Data da compra]])/365,"")</f>
        <v/>
      </c>
      <c r="P1139" s="7" t="str">
        <f>IFERROR(VLOOKUP(Tabela3[[#This Row],[Categoria]],Cadastros!A:C,3,0),"")</f>
        <v/>
      </c>
      <c r="Q1139" s="9" t="str">
        <f ca="1">IFERROR(Tabela3[[#This Row],[Vida útil]]-Tabela3[[#This Row],[Idade]],"")</f>
        <v/>
      </c>
      <c r="R1139" s="8" t="str">
        <f ca="1">IFERROR(Tabela3[[#This Row],[Valor]]-(Tabela3[[#This Row],[Valor]]*(Tabela3[[#This Row],[Idade]]*VLOOKUP(Tabela3[[#This Row],[Categoria]],Cadastros!A:B,2,0))),"")</f>
        <v/>
      </c>
    </row>
    <row r="1140" spans="4:18" x14ac:dyDescent="0.25">
      <c r="D1140" s="22"/>
      <c r="N1140" s="6" t="str">
        <f>IFERROR(Tabela3[[#This Row],[Última revisão do bem]]+(VLOOKUP(Tabela3[[#This Row],[Categoria]],Cadastros!A:D,4,0)+365),"")</f>
        <v/>
      </c>
      <c r="O1140" s="7" t="str">
        <f ca="1">IF(Tabela3[[#This Row],[Data da compra]]&gt;0,(TODAY()-Tabela3[[#This Row],[Data da compra]])/365,"")</f>
        <v/>
      </c>
      <c r="P1140" s="7" t="str">
        <f>IFERROR(VLOOKUP(Tabela3[[#This Row],[Categoria]],Cadastros!A:C,3,0),"")</f>
        <v/>
      </c>
      <c r="Q1140" s="9" t="str">
        <f ca="1">IFERROR(Tabela3[[#This Row],[Vida útil]]-Tabela3[[#This Row],[Idade]],"")</f>
        <v/>
      </c>
      <c r="R1140" s="23" t="str">
        <f ca="1">IFERROR(Tabela3[[#This Row],[Valor]]-(Tabela3[[#This Row],[Valor]]*(Tabela3[[#This Row],[Idade]]*VLOOKUP(Tabela3[[#This Row],[Categoria]],Cadastros!A:B,2,0))),"")</f>
        <v/>
      </c>
    </row>
    <row r="1141" spans="4:18" x14ac:dyDescent="0.25">
      <c r="D1141" s="5"/>
      <c r="N1141" s="6" t="str">
        <f>IFERROR(Tabela3[[#This Row],[Última revisão do bem]]+(VLOOKUP(Tabela3[[#This Row],[Categoria]],Cadastros!A:D,4,0)+365),"")</f>
        <v/>
      </c>
      <c r="O1141" s="7" t="str">
        <f ca="1">IF(Tabela3[[#This Row],[Data da compra]]&gt;0,(TODAY()-Tabela3[[#This Row],[Data da compra]])/365,"")</f>
        <v/>
      </c>
      <c r="P1141" s="7" t="str">
        <f>IFERROR(VLOOKUP(Tabela3[[#This Row],[Categoria]],Cadastros!A:C,3,0),"")</f>
        <v/>
      </c>
      <c r="Q1141" s="9" t="str">
        <f ca="1">IFERROR(Tabela3[[#This Row],[Vida útil]]-Tabela3[[#This Row],[Idade]],"")</f>
        <v/>
      </c>
      <c r="R1141" s="8" t="str">
        <f ca="1">IFERROR(Tabela3[[#This Row],[Valor]]-(Tabela3[[#This Row],[Valor]]*(Tabela3[[#This Row],[Idade]]*VLOOKUP(Tabela3[[#This Row],[Categoria]],Cadastros!A:B,2,0))),"")</f>
        <v/>
      </c>
    </row>
    <row r="1142" spans="4:18" x14ac:dyDescent="0.25">
      <c r="D1142" s="5"/>
      <c r="N1142" s="6" t="str">
        <f>IFERROR(Tabela3[[#This Row],[Última revisão do bem]]+(VLOOKUP(Tabela3[[#This Row],[Categoria]],Cadastros!A:D,4,0)+365),"")</f>
        <v/>
      </c>
      <c r="O1142" s="7" t="str">
        <f ca="1">IF(Tabela3[[#This Row],[Data da compra]]&gt;0,(TODAY()-Tabela3[[#This Row],[Data da compra]])/365,"")</f>
        <v/>
      </c>
      <c r="P1142" s="7" t="str">
        <f>IFERROR(VLOOKUP(Tabela3[[#This Row],[Categoria]],Cadastros!A:C,3,0),"")</f>
        <v/>
      </c>
      <c r="Q1142" s="9" t="str">
        <f ca="1">IFERROR(Tabela3[[#This Row],[Vida útil]]-Tabela3[[#This Row],[Idade]],"")</f>
        <v/>
      </c>
      <c r="R1142" s="8" t="str">
        <f ca="1">IFERROR(Tabela3[[#This Row],[Valor]]-(Tabela3[[#This Row],[Valor]]*(Tabela3[[#This Row],[Idade]]*VLOOKUP(Tabela3[[#This Row],[Categoria]],Cadastros!A:B,2,0))),"")</f>
        <v/>
      </c>
    </row>
    <row r="1143" spans="4:18" x14ac:dyDescent="0.25">
      <c r="D1143" s="5"/>
      <c r="N1143" s="6" t="str">
        <f>IFERROR(Tabela3[[#This Row],[Última revisão do bem]]+(VLOOKUP(Tabela3[[#This Row],[Categoria]],Cadastros!A:D,4,0)+365),"")</f>
        <v/>
      </c>
      <c r="O1143" s="7" t="str">
        <f ca="1">IF(Tabela3[[#This Row],[Data da compra]]&gt;0,(TODAY()-Tabela3[[#This Row],[Data da compra]])/365,"")</f>
        <v/>
      </c>
      <c r="P1143" s="7" t="str">
        <f>IFERROR(VLOOKUP(Tabela3[[#This Row],[Categoria]],Cadastros!A:C,3,0),"")</f>
        <v/>
      </c>
      <c r="Q1143" s="9" t="str">
        <f ca="1">IFERROR(Tabela3[[#This Row],[Vida útil]]-Tabela3[[#This Row],[Idade]],"")</f>
        <v/>
      </c>
      <c r="R1143" s="8" t="str">
        <f ca="1">IFERROR(Tabela3[[#This Row],[Valor]]-(Tabela3[[#This Row],[Valor]]*(Tabela3[[#This Row],[Idade]]*VLOOKUP(Tabela3[[#This Row],[Categoria]],Cadastros!A:B,2,0))),"")</f>
        <v/>
      </c>
    </row>
    <row r="1144" spans="4:18" x14ac:dyDescent="0.25">
      <c r="D1144" s="5"/>
      <c r="N1144" s="6" t="str">
        <f>IFERROR(Tabela3[[#This Row],[Última revisão do bem]]+(VLOOKUP(Tabela3[[#This Row],[Categoria]],Cadastros!A:D,4,0)+365),"")</f>
        <v/>
      </c>
      <c r="O1144" s="7" t="str">
        <f ca="1">IF(Tabela3[[#This Row],[Data da compra]]&gt;0,(TODAY()-Tabela3[[#This Row],[Data da compra]])/365,"")</f>
        <v/>
      </c>
      <c r="P1144" s="7" t="str">
        <f>IFERROR(VLOOKUP(Tabela3[[#This Row],[Categoria]],Cadastros!A:C,3,0),"")</f>
        <v/>
      </c>
      <c r="Q1144" s="9" t="str">
        <f ca="1">IFERROR(Tabela3[[#This Row],[Vida útil]]-Tabela3[[#This Row],[Idade]],"")</f>
        <v/>
      </c>
      <c r="R1144" s="8" t="str">
        <f ca="1">IFERROR(Tabela3[[#This Row],[Valor]]-(Tabela3[[#This Row],[Valor]]*(Tabela3[[#This Row],[Idade]]*VLOOKUP(Tabela3[[#This Row],[Categoria]],Cadastros!A:B,2,0))),"")</f>
        <v/>
      </c>
    </row>
    <row r="1145" spans="4:18" x14ac:dyDescent="0.25">
      <c r="D1145" s="5"/>
      <c r="N1145" s="6" t="str">
        <f>IFERROR(Tabela3[[#This Row],[Última revisão do bem]]+(VLOOKUP(Tabela3[[#This Row],[Categoria]],Cadastros!A:D,4,0)+365),"")</f>
        <v/>
      </c>
      <c r="O1145" s="7" t="str">
        <f ca="1">IF(Tabela3[[#This Row],[Data da compra]]&gt;0,(TODAY()-Tabela3[[#This Row],[Data da compra]])/365,"")</f>
        <v/>
      </c>
      <c r="P1145" s="7" t="str">
        <f>IFERROR(VLOOKUP(Tabela3[[#This Row],[Categoria]],Cadastros!A:C,3,0),"")</f>
        <v/>
      </c>
      <c r="Q1145" s="9" t="str">
        <f ca="1">IFERROR(Tabela3[[#This Row],[Vida útil]]-Tabela3[[#This Row],[Idade]],"")</f>
        <v/>
      </c>
      <c r="R1145" s="8" t="str">
        <f ca="1">IFERROR(Tabela3[[#This Row],[Valor]]-(Tabela3[[#This Row],[Valor]]*(Tabela3[[#This Row],[Idade]]*VLOOKUP(Tabela3[[#This Row],[Categoria]],Cadastros!A:B,2,0))),"")</f>
        <v/>
      </c>
    </row>
    <row r="1146" spans="4:18" x14ac:dyDescent="0.25">
      <c r="D1146" s="5"/>
      <c r="N1146" s="6" t="str">
        <f>IFERROR(Tabela3[[#This Row],[Última revisão do bem]]+(VLOOKUP(Tabela3[[#This Row],[Categoria]],Cadastros!A:D,4,0)+365),"")</f>
        <v/>
      </c>
      <c r="O1146" s="7" t="str">
        <f ca="1">IF(Tabela3[[#This Row],[Data da compra]]&gt;0,(TODAY()-Tabela3[[#This Row],[Data da compra]])/365,"")</f>
        <v/>
      </c>
      <c r="P1146" s="7" t="str">
        <f>IFERROR(VLOOKUP(Tabela3[[#This Row],[Categoria]],Cadastros!A:C,3,0),"")</f>
        <v/>
      </c>
      <c r="Q1146" s="9" t="str">
        <f ca="1">IFERROR(Tabela3[[#This Row],[Vida útil]]-Tabela3[[#This Row],[Idade]],"")</f>
        <v/>
      </c>
      <c r="R1146" s="8" t="str">
        <f ca="1">IFERROR(Tabela3[[#This Row],[Valor]]-(Tabela3[[#This Row],[Valor]]*(Tabela3[[#This Row],[Idade]]*VLOOKUP(Tabela3[[#This Row],[Categoria]],Cadastros!A:B,2,0))),"")</f>
        <v/>
      </c>
    </row>
    <row r="1147" spans="4:18" x14ac:dyDescent="0.25">
      <c r="D1147" s="5"/>
      <c r="N1147" s="6" t="str">
        <f>IFERROR(Tabela3[[#This Row],[Última revisão do bem]]+(VLOOKUP(Tabela3[[#This Row],[Categoria]],Cadastros!A:D,4,0)+365),"")</f>
        <v/>
      </c>
      <c r="O1147" s="7" t="str">
        <f ca="1">IF(Tabela3[[#This Row],[Data da compra]]&gt;0,(TODAY()-Tabela3[[#This Row],[Data da compra]])/365,"")</f>
        <v/>
      </c>
      <c r="P1147" s="7" t="str">
        <f>IFERROR(VLOOKUP(Tabela3[[#This Row],[Categoria]],Cadastros!A:C,3,0),"")</f>
        <v/>
      </c>
      <c r="Q1147" s="9" t="str">
        <f ca="1">IFERROR(Tabela3[[#This Row],[Vida útil]]-Tabela3[[#This Row],[Idade]],"")</f>
        <v/>
      </c>
      <c r="R1147" s="8" t="str">
        <f ca="1">IFERROR(Tabela3[[#This Row],[Valor]]-(Tabela3[[#This Row],[Valor]]*(Tabela3[[#This Row],[Idade]]*VLOOKUP(Tabela3[[#This Row],[Categoria]],Cadastros!A:B,2,0))),"")</f>
        <v/>
      </c>
    </row>
    <row r="1148" spans="4:18" x14ac:dyDescent="0.25">
      <c r="D1148" s="5"/>
      <c r="N1148" s="6" t="str">
        <f>IFERROR(Tabela3[[#This Row],[Última revisão do bem]]+(VLOOKUP(Tabela3[[#This Row],[Categoria]],Cadastros!A:D,4,0)+365),"")</f>
        <v/>
      </c>
      <c r="O1148" s="7" t="str">
        <f ca="1">IF(Tabela3[[#This Row],[Data da compra]]&gt;0,(TODAY()-Tabela3[[#This Row],[Data da compra]])/365,"")</f>
        <v/>
      </c>
      <c r="P1148" s="7" t="str">
        <f>IFERROR(VLOOKUP(Tabela3[[#This Row],[Categoria]],Cadastros!A:C,3,0),"")</f>
        <v/>
      </c>
      <c r="Q1148" s="9" t="str">
        <f ca="1">IFERROR(Tabela3[[#This Row],[Vida útil]]-Tabela3[[#This Row],[Idade]],"")</f>
        <v/>
      </c>
      <c r="R1148" s="8" t="str">
        <f ca="1">IFERROR(Tabela3[[#This Row],[Valor]]-(Tabela3[[#This Row],[Valor]]*(Tabela3[[#This Row],[Idade]]*VLOOKUP(Tabela3[[#This Row],[Categoria]],Cadastros!A:B,2,0))),"")</f>
        <v/>
      </c>
    </row>
    <row r="1149" spans="4:18" x14ac:dyDescent="0.25">
      <c r="D1149" s="5"/>
      <c r="N1149" s="6" t="str">
        <f>IFERROR(Tabela3[[#This Row],[Última revisão do bem]]+(VLOOKUP(Tabela3[[#This Row],[Categoria]],Cadastros!A:D,4,0)+365),"")</f>
        <v/>
      </c>
      <c r="O1149" s="7" t="str">
        <f ca="1">IF(Tabela3[[#This Row],[Data da compra]]&gt;0,(TODAY()-Tabela3[[#This Row],[Data da compra]])/365,"")</f>
        <v/>
      </c>
      <c r="P1149" s="7" t="str">
        <f>IFERROR(VLOOKUP(Tabela3[[#This Row],[Categoria]],Cadastros!A:C,3,0),"")</f>
        <v/>
      </c>
      <c r="Q1149" s="9" t="str">
        <f ca="1">IFERROR(Tabela3[[#This Row],[Vida útil]]-Tabela3[[#This Row],[Idade]],"")</f>
        <v/>
      </c>
      <c r="R1149" s="8" t="str">
        <f ca="1">IFERROR(Tabela3[[#This Row],[Valor]]-(Tabela3[[#This Row],[Valor]]*(Tabela3[[#This Row],[Idade]]*VLOOKUP(Tabela3[[#This Row],[Categoria]],Cadastros!A:B,2,0))),"")</f>
        <v/>
      </c>
    </row>
    <row r="1150" spans="4:18" x14ac:dyDescent="0.25">
      <c r="D1150" s="5"/>
      <c r="N1150" s="6" t="str">
        <f>IFERROR(Tabela3[[#This Row],[Última revisão do bem]]+(VLOOKUP(Tabela3[[#This Row],[Categoria]],Cadastros!A:D,4,0)+365),"")</f>
        <v/>
      </c>
      <c r="O1150" s="7" t="str">
        <f ca="1">IF(Tabela3[[#This Row],[Data da compra]]&gt;0,(TODAY()-Tabela3[[#This Row],[Data da compra]])/365,"")</f>
        <v/>
      </c>
      <c r="P1150" s="7" t="str">
        <f>IFERROR(VLOOKUP(Tabela3[[#This Row],[Categoria]],Cadastros!A:C,3,0),"")</f>
        <v/>
      </c>
      <c r="Q1150" s="9" t="str">
        <f ca="1">IFERROR(Tabela3[[#This Row],[Vida útil]]-Tabela3[[#This Row],[Idade]],"")</f>
        <v/>
      </c>
      <c r="R1150" s="8" t="str">
        <f ca="1">IFERROR(Tabela3[[#This Row],[Valor]]-(Tabela3[[#This Row],[Valor]]*(Tabela3[[#This Row],[Idade]]*VLOOKUP(Tabela3[[#This Row],[Categoria]],Cadastros!A:B,2,0))),"")</f>
        <v/>
      </c>
    </row>
    <row r="1151" spans="4:18" x14ac:dyDescent="0.25">
      <c r="D1151" s="5"/>
      <c r="N1151" s="6" t="str">
        <f>IFERROR(Tabela3[[#This Row],[Última revisão do bem]]+(VLOOKUP(Tabela3[[#This Row],[Categoria]],Cadastros!A:D,4,0)+365),"")</f>
        <v/>
      </c>
      <c r="O1151" s="7" t="str">
        <f ca="1">IF(Tabela3[[#This Row],[Data da compra]]&gt;0,(TODAY()-Tabela3[[#This Row],[Data da compra]])/365,"")</f>
        <v/>
      </c>
      <c r="P1151" s="7" t="str">
        <f>IFERROR(VLOOKUP(Tabela3[[#This Row],[Categoria]],Cadastros!A:C,3,0),"")</f>
        <v/>
      </c>
      <c r="Q1151" s="9" t="str">
        <f ca="1">IFERROR(Tabela3[[#This Row],[Vida útil]]-Tabela3[[#This Row],[Idade]],"")</f>
        <v/>
      </c>
      <c r="R1151" s="8" t="str">
        <f ca="1">IFERROR(Tabela3[[#This Row],[Valor]]-(Tabela3[[#This Row],[Valor]]*(Tabela3[[#This Row],[Idade]]*VLOOKUP(Tabela3[[#This Row],[Categoria]],Cadastros!A:B,2,0))),"")</f>
        <v/>
      </c>
    </row>
    <row r="1152" spans="4:18" x14ac:dyDescent="0.25">
      <c r="D1152" s="5"/>
      <c r="N1152" s="6" t="str">
        <f>IFERROR(Tabela3[[#This Row],[Última revisão do bem]]+(VLOOKUP(Tabela3[[#This Row],[Categoria]],Cadastros!A:D,4,0)+365),"")</f>
        <v/>
      </c>
      <c r="O1152" s="7" t="str">
        <f ca="1">IF(Tabela3[[#This Row],[Data da compra]]&gt;0,(TODAY()-Tabela3[[#This Row],[Data da compra]])/365,"")</f>
        <v/>
      </c>
      <c r="P1152" s="7" t="str">
        <f>IFERROR(VLOOKUP(Tabela3[[#This Row],[Categoria]],Cadastros!A:C,3,0),"")</f>
        <v/>
      </c>
      <c r="Q1152" s="9" t="str">
        <f ca="1">IFERROR(Tabela3[[#This Row],[Vida útil]]-Tabela3[[#This Row],[Idade]],"")</f>
        <v/>
      </c>
      <c r="R1152" s="8" t="str">
        <f ca="1">IFERROR(Tabela3[[#This Row],[Valor]]-(Tabela3[[#This Row],[Valor]]*(Tabela3[[#This Row],[Idade]]*VLOOKUP(Tabela3[[#This Row],[Categoria]],Cadastros!A:B,2,0))),"")</f>
        <v/>
      </c>
    </row>
    <row r="1153" spans="4:18" x14ac:dyDescent="0.25">
      <c r="D1153" s="5"/>
      <c r="N1153" s="6" t="str">
        <f>IFERROR(Tabela3[[#This Row],[Última revisão do bem]]+(VLOOKUP(Tabela3[[#This Row],[Categoria]],Cadastros!A:D,4,0)+365),"")</f>
        <v/>
      </c>
      <c r="O1153" s="7" t="str">
        <f ca="1">IF(Tabela3[[#This Row],[Data da compra]]&gt;0,(TODAY()-Tabela3[[#This Row],[Data da compra]])/365,"")</f>
        <v/>
      </c>
      <c r="P1153" s="7" t="str">
        <f>IFERROR(VLOOKUP(Tabela3[[#This Row],[Categoria]],Cadastros!A:C,3,0),"")</f>
        <v/>
      </c>
      <c r="Q1153" s="9" t="str">
        <f ca="1">IFERROR(Tabela3[[#This Row],[Vida útil]]-Tabela3[[#This Row],[Idade]],"")</f>
        <v/>
      </c>
      <c r="R1153" s="8" t="str">
        <f ca="1">IFERROR(Tabela3[[#This Row],[Valor]]-(Tabela3[[#This Row],[Valor]]*(Tabela3[[#This Row],[Idade]]*VLOOKUP(Tabela3[[#This Row],[Categoria]],Cadastros!A:B,2,0))),"")</f>
        <v/>
      </c>
    </row>
    <row r="1154" spans="4:18" x14ac:dyDescent="0.25">
      <c r="D1154" s="5"/>
      <c r="N1154" s="6" t="str">
        <f>IFERROR(Tabela3[[#This Row],[Última revisão do bem]]+(VLOOKUP(Tabela3[[#This Row],[Categoria]],Cadastros!A:D,4,0)+365),"")</f>
        <v/>
      </c>
      <c r="O1154" s="7" t="str">
        <f ca="1">IF(Tabela3[[#This Row],[Data da compra]]&gt;0,(TODAY()-Tabela3[[#This Row],[Data da compra]])/365,"")</f>
        <v/>
      </c>
      <c r="P1154" s="7" t="str">
        <f>IFERROR(VLOOKUP(Tabela3[[#This Row],[Categoria]],Cadastros!A:C,3,0),"")</f>
        <v/>
      </c>
      <c r="Q1154" s="9" t="str">
        <f ca="1">IFERROR(Tabela3[[#This Row],[Vida útil]]-Tabela3[[#This Row],[Idade]],"")</f>
        <v/>
      </c>
      <c r="R1154" s="8" t="str">
        <f ca="1">IFERROR(Tabela3[[#This Row],[Valor]]-(Tabela3[[#This Row],[Valor]]*(Tabela3[[#This Row],[Idade]]*VLOOKUP(Tabela3[[#This Row],[Categoria]],Cadastros!A:B,2,0))),"")</f>
        <v/>
      </c>
    </row>
    <row r="1155" spans="4:18" x14ac:dyDescent="0.25">
      <c r="D1155" s="5"/>
      <c r="N1155" s="6" t="str">
        <f>IFERROR(Tabela3[[#This Row],[Última revisão do bem]]+(VLOOKUP(Tabela3[[#This Row],[Categoria]],Cadastros!A:D,4,0)+365),"")</f>
        <v/>
      </c>
      <c r="O1155" s="7" t="str">
        <f ca="1">IF(Tabela3[[#This Row],[Data da compra]]&gt;0,(TODAY()-Tabela3[[#This Row],[Data da compra]])/365,"")</f>
        <v/>
      </c>
      <c r="P1155" s="7" t="str">
        <f>IFERROR(VLOOKUP(Tabela3[[#This Row],[Categoria]],Cadastros!A:C,3,0),"")</f>
        <v/>
      </c>
      <c r="Q1155" s="9" t="str">
        <f ca="1">IFERROR(Tabela3[[#This Row],[Vida útil]]-Tabela3[[#This Row],[Idade]],"")</f>
        <v/>
      </c>
      <c r="R1155" s="8" t="str">
        <f ca="1">IFERROR(Tabela3[[#This Row],[Valor]]-(Tabela3[[#This Row],[Valor]]*(Tabela3[[#This Row],[Idade]]*VLOOKUP(Tabela3[[#This Row],[Categoria]],Cadastros!A:B,2,0))),"")</f>
        <v/>
      </c>
    </row>
    <row r="1156" spans="4:18" x14ac:dyDescent="0.25">
      <c r="D1156" s="5"/>
      <c r="N1156" s="6" t="str">
        <f>IFERROR(Tabela3[[#This Row],[Última revisão do bem]]+(VLOOKUP(Tabela3[[#This Row],[Categoria]],Cadastros!A:D,4,0)+365),"")</f>
        <v/>
      </c>
      <c r="O1156" s="7" t="str">
        <f ca="1">IF(Tabela3[[#This Row],[Data da compra]]&gt;0,(TODAY()-Tabela3[[#This Row],[Data da compra]])/365,"")</f>
        <v/>
      </c>
      <c r="P1156" s="7" t="str">
        <f>IFERROR(VLOOKUP(Tabela3[[#This Row],[Categoria]],Cadastros!A:C,3,0),"")</f>
        <v/>
      </c>
      <c r="Q1156" s="9" t="str">
        <f ca="1">IFERROR(Tabela3[[#This Row],[Vida útil]]-Tabela3[[#This Row],[Idade]],"")</f>
        <v/>
      </c>
      <c r="R1156" s="8" t="str">
        <f ca="1">IFERROR(Tabela3[[#This Row],[Valor]]-(Tabela3[[#This Row],[Valor]]*(Tabela3[[#This Row],[Idade]]*VLOOKUP(Tabela3[[#This Row],[Categoria]],Cadastros!A:B,2,0))),"")</f>
        <v/>
      </c>
    </row>
    <row r="1157" spans="4:18" x14ac:dyDescent="0.25">
      <c r="D1157" s="5"/>
      <c r="N1157" s="6" t="str">
        <f>IFERROR(Tabela3[[#This Row],[Última revisão do bem]]+(VLOOKUP(Tabela3[[#This Row],[Categoria]],Cadastros!A:D,4,0)+365),"")</f>
        <v/>
      </c>
      <c r="O1157" s="7" t="str">
        <f ca="1">IF(Tabela3[[#This Row],[Data da compra]]&gt;0,(TODAY()-Tabela3[[#This Row],[Data da compra]])/365,"")</f>
        <v/>
      </c>
      <c r="P1157" s="7" t="str">
        <f>IFERROR(VLOOKUP(Tabela3[[#This Row],[Categoria]],Cadastros!A:C,3,0),"")</f>
        <v/>
      </c>
      <c r="Q1157" s="9" t="str">
        <f ca="1">IFERROR(Tabela3[[#This Row],[Vida útil]]-Tabela3[[#This Row],[Idade]],"")</f>
        <v/>
      </c>
      <c r="R1157" s="8" t="str">
        <f ca="1">IFERROR(Tabela3[[#This Row],[Valor]]-(Tabela3[[#This Row],[Valor]]*(Tabela3[[#This Row],[Idade]]*VLOOKUP(Tabela3[[#This Row],[Categoria]],Cadastros!A:B,2,0))),"")</f>
        <v/>
      </c>
    </row>
    <row r="1158" spans="4:18" x14ac:dyDescent="0.25">
      <c r="D1158" s="22"/>
      <c r="N1158" s="6" t="str">
        <f>IFERROR(Tabela3[[#This Row],[Última revisão do bem]]+(VLOOKUP(Tabela3[[#This Row],[Categoria]],Cadastros!A:D,4,0)+365),"")</f>
        <v/>
      </c>
      <c r="O1158" s="7" t="str">
        <f ca="1">IF(Tabela3[[#This Row],[Data da compra]]&gt;0,(TODAY()-Tabela3[[#This Row],[Data da compra]])/365,"")</f>
        <v/>
      </c>
      <c r="P1158" s="7" t="str">
        <f>IFERROR(VLOOKUP(Tabela3[[#This Row],[Categoria]],Cadastros!A:C,3,0),"")</f>
        <v/>
      </c>
      <c r="Q1158" s="9" t="str">
        <f ca="1">IFERROR(Tabela3[[#This Row],[Vida útil]]-Tabela3[[#This Row],[Idade]],"")</f>
        <v/>
      </c>
      <c r="R1158" s="23" t="str">
        <f ca="1">IFERROR(Tabela3[[#This Row],[Valor]]-(Tabela3[[#This Row],[Valor]]*(Tabela3[[#This Row],[Idade]]*VLOOKUP(Tabela3[[#This Row],[Categoria]],Cadastros!A:B,2,0))),"")</f>
        <v/>
      </c>
    </row>
    <row r="1159" spans="4:18" x14ac:dyDescent="0.25">
      <c r="D1159" s="5"/>
      <c r="N1159" s="6" t="str">
        <f>IFERROR(Tabela3[[#This Row],[Última revisão do bem]]+(VLOOKUP(Tabela3[[#This Row],[Categoria]],Cadastros!A:D,4,0)+365),"")</f>
        <v/>
      </c>
      <c r="O1159" s="7" t="str">
        <f ca="1">IF(Tabela3[[#This Row],[Data da compra]]&gt;0,(TODAY()-Tabela3[[#This Row],[Data da compra]])/365,"")</f>
        <v/>
      </c>
      <c r="P1159" s="7" t="str">
        <f>IFERROR(VLOOKUP(Tabela3[[#This Row],[Categoria]],Cadastros!A:C,3,0),"")</f>
        <v/>
      </c>
      <c r="Q1159" s="9" t="str">
        <f ca="1">IFERROR(Tabela3[[#This Row],[Vida útil]]-Tabela3[[#This Row],[Idade]],"")</f>
        <v/>
      </c>
      <c r="R1159" s="8" t="str">
        <f ca="1">IFERROR(Tabela3[[#This Row],[Valor]]-(Tabela3[[#This Row],[Valor]]*(Tabela3[[#This Row],[Idade]]*VLOOKUP(Tabela3[[#This Row],[Categoria]],Cadastros!A:B,2,0))),"")</f>
        <v/>
      </c>
    </row>
    <row r="1160" spans="4:18" x14ac:dyDescent="0.25">
      <c r="D1160" s="5"/>
      <c r="N1160" s="6" t="str">
        <f>IFERROR(Tabela3[[#This Row],[Última revisão do bem]]+(VLOOKUP(Tabela3[[#This Row],[Categoria]],Cadastros!A:D,4,0)+365),"")</f>
        <v/>
      </c>
      <c r="O1160" s="7" t="str">
        <f ca="1">IF(Tabela3[[#This Row],[Data da compra]]&gt;0,(TODAY()-Tabela3[[#This Row],[Data da compra]])/365,"")</f>
        <v/>
      </c>
      <c r="P1160" s="7" t="str">
        <f>IFERROR(VLOOKUP(Tabela3[[#This Row],[Categoria]],Cadastros!A:C,3,0),"")</f>
        <v/>
      </c>
      <c r="Q1160" s="9" t="str">
        <f ca="1">IFERROR(Tabela3[[#This Row],[Vida útil]]-Tabela3[[#This Row],[Idade]],"")</f>
        <v/>
      </c>
      <c r="R1160" s="8" t="str">
        <f ca="1">IFERROR(Tabela3[[#This Row],[Valor]]-(Tabela3[[#This Row],[Valor]]*(Tabela3[[#This Row],[Idade]]*VLOOKUP(Tabela3[[#This Row],[Categoria]],Cadastros!A:B,2,0))),"")</f>
        <v/>
      </c>
    </row>
    <row r="1161" spans="4:18" x14ac:dyDescent="0.25">
      <c r="D1161" s="5"/>
      <c r="N1161" s="6" t="str">
        <f>IFERROR(Tabela3[[#This Row],[Última revisão do bem]]+(VLOOKUP(Tabela3[[#This Row],[Categoria]],Cadastros!A:D,4,0)+365),"")</f>
        <v/>
      </c>
      <c r="O1161" s="7" t="str">
        <f ca="1">IF(Tabela3[[#This Row],[Data da compra]]&gt;0,(TODAY()-Tabela3[[#This Row],[Data da compra]])/365,"")</f>
        <v/>
      </c>
      <c r="P1161" s="7" t="str">
        <f>IFERROR(VLOOKUP(Tabela3[[#This Row],[Categoria]],Cadastros!A:C,3,0),"")</f>
        <v/>
      </c>
      <c r="Q1161" s="9" t="str">
        <f ca="1">IFERROR(Tabela3[[#This Row],[Vida útil]]-Tabela3[[#This Row],[Idade]],"")</f>
        <v/>
      </c>
      <c r="R1161" s="8" t="str">
        <f ca="1">IFERROR(Tabela3[[#This Row],[Valor]]-(Tabela3[[#This Row],[Valor]]*(Tabela3[[#This Row],[Idade]]*VLOOKUP(Tabela3[[#This Row],[Categoria]],Cadastros!A:B,2,0))),"")</f>
        <v/>
      </c>
    </row>
    <row r="1162" spans="4:18" x14ac:dyDescent="0.25">
      <c r="D1162" s="5"/>
      <c r="N1162" s="6" t="str">
        <f>IFERROR(Tabela3[[#This Row],[Última revisão do bem]]+(VLOOKUP(Tabela3[[#This Row],[Categoria]],Cadastros!A:D,4,0)+365),"")</f>
        <v/>
      </c>
      <c r="O1162" s="7" t="str">
        <f ca="1">IF(Tabela3[[#This Row],[Data da compra]]&gt;0,(TODAY()-Tabela3[[#This Row],[Data da compra]])/365,"")</f>
        <v/>
      </c>
      <c r="P1162" s="7" t="str">
        <f>IFERROR(VLOOKUP(Tabela3[[#This Row],[Categoria]],Cadastros!A:C,3,0),"")</f>
        <v/>
      </c>
      <c r="Q1162" s="9" t="str">
        <f ca="1">IFERROR(Tabela3[[#This Row],[Vida útil]]-Tabela3[[#This Row],[Idade]],"")</f>
        <v/>
      </c>
      <c r="R1162" s="8" t="str">
        <f ca="1">IFERROR(Tabela3[[#This Row],[Valor]]-(Tabela3[[#This Row],[Valor]]*(Tabela3[[#This Row],[Idade]]*VLOOKUP(Tabela3[[#This Row],[Categoria]],Cadastros!A:B,2,0))),"")</f>
        <v/>
      </c>
    </row>
    <row r="1163" spans="4:18" x14ac:dyDescent="0.25">
      <c r="D1163" s="5"/>
      <c r="N1163" s="6" t="str">
        <f>IFERROR(Tabela3[[#This Row],[Última revisão do bem]]+(VLOOKUP(Tabela3[[#This Row],[Categoria]],Cadastros!A:D,4,0)+365),"")</f>
        <v/>
      </c>
      <c r="O1163" s="7" t="str">
        <f ca="1">IF(Tabela3[[#This Row],[Data da compra]]&gt;0,(TODAY()-Tabela3[[#This Row],[Data da compra]])/365,"")</f>
        <v/>
      </c>
      <c r="P1163" s="7" t="str">
        <f>IFERROR(VLOOKUP(Tabela3[[#This Row],[Categoria]],Cadastros!A:C,3,0),"")</f>
        <v/>
      </c>
      <c r="Q1163" s="9" t="str">
        <f ca="1">IFERROR(Tabela3[[#This Row],[Vida útil]]-Tabela3[[#This Row],[Idade]],"")</f>
        <v/>
      </c>
      <c r="R1163" s="8" t="str">
        <f ca="1">IFERROR(Tabela3[[#This Row],[Valor]]-(Tabela3[[#This Row],[Valor]]*(Tabela3[[#This Row],[Idade]]*VLOOKUP(Tabela3[[#This Row],[Categoria]],Cadastros!A:B,2,0))),"")</f>
        <v/>
      </c>
    </row>
    <row r="1164" spans="4:18" x14ac:dyDescent="0.25">
      <c r="D1164" s="5"/>
      <c r="N1164" s="6" t="str">
        <f>IFERROR(Tabela3[[#This Row],[Última revisão do bem]]+(VLOOKUP(Tabela3[[#This Row],[Categoria]],Cadastros!A:D,4,0)+365),"")</f>
        <v/>
      </c>
      <c r="O1164" s="7" t="str">
        <f ca="1">IF(Tabela3[[#This Row],[Data da compra]]&gt;0,(TODAY()-Tabela3[[#This Row],[Data da compra]])/365,"")</f>
        <v/>
      </c>
      <c r="P1164" s="7" t="str">
        <f>IFERROR(VLOOKUP(Tabela3[[#This Row],[Categoria]],Cadastros!A:C,3,0),"")</f>
        <v/>
      </c>
      <c r="Q1164" s="9" t="str">
        <f ca="1">IFERROR(Tabela3[[#This Row],[Vida útil]]-Tabela3[[#This Row],[Idade]],"")</f>
        <v/>
      </c>
      <c r="R1164" s="8" t="str">
        <f ca="1">IFERROR(Tabela3[[#This Row],[Valor]]-(Tabela3[[#This Row],[Valor]]*(Tabela3[[#This Row],[Idade]]*VLOOKUP(Tabela3[[#This Row],[Categoria]],Cadastros!A:B,2,0))),"")</f>
        <v/>
      </c>
    </row>
    <row r="1165" spans="4:18" x14ac:dyDescent="0.25">
      <c r="D1165" s="5"/>
      <c r="N1165" s="6" t="str">
        <f>IFERROR(Tabela3[[#This Row],[Última revisão do bem]]+(VLOOKUP(Tabela3[[#This Row],[Categoria]],Cadastros!A:D,4,0)+365),"")</f>
        <v/>
      </c>
      <c r="O1165" s="7" t="str">
        <f ca="1">IF(Tabela3[[#This Row],[Data da compra]]&gt;0,(TODAY()-Tabela3[[#This Row],[Data da compra]])/365,"")</f>
        <v/>
      </c>
      <c r="P1165" s="7" t="str">
        <f>IFERROR(VLOOKUP(Tabela3[[#This Row],[Categoria]],Cadastros!A:C,3,0),"")</f>
        <v/>
      </c>
      <c r="Q1165" s="9" t="str">
        <f ca="1">IFERROR(Tabela3[[#This Row],[Vida útil]]-Tabela3[[#This Row],[Idade]],"")</f>
        <v/>
      </c>
      <c r="R1165" s="8" t="str">
        <f ca="1">IFERROR(Tabela3[[#This Row],[Valor]]-(Tabela3[[#This Row],[Valor]]*(Tabela3[[#This Row],[Idade]]*VLOOKUP(Tabela3[[#This Row],[Categoria]],Cadastros!A:B,2,0))),"")</f>
        <v/>
      </c>
    </row>
    <row r="1166" spans="4:18" x14ac:dyDescent="0.25">
      <c r="D1166" s="5"/>
      <c r="N1166" s="6" t="str">
        <f>IFERROR(Tabela3[[#This Row],[Última revisão do bem]]+(VLOOKUP(Tabela3[[#This Row],[Categoria]],Cadastros!A:D,4,0)+365),"")</f>
        <v/>
      </c>
      <c r="O1166" s="7" t="str">
        <f ca="1">IF(Tabela3[[#This Row],[Data da compra]]&gt;0,(TODAY()-Tabela3[[#This Row],[Data da compra]])/365,"")</f>
        <v/>
      </c>
      <c r="P1166" s="7" t="str">
        <f>IFERROR(VLOOKUP(Tabela3[[#This Row],[Categoria]],Cadastros!A:C,3,0),"")</f>
        <v/>
      </c>
      <c r="Q1166" s="9" t="str">
        <f ca="1">IFERROR(Tabela3[[#This Row],[Vida útil]]-Tabela3[[#This Row],[Idade]],"")</f>
        <v/>
      </c>
      <c r="R1166" s="8" t="str">
        <f ca="1">IFERROR(Tabela3[[#This Row],[Valor]]-(Tabela3[[#This Row],[Valor]]*(Tabela3[[#This Row],[Idade]]*VLOOKUP(Tabela3[[#This Row],[Categoria]],Cadastros!A:B,2,0))),"")</f>
        <v/>
      </c>
    </row>
    <row r="1167" spans="4:18" x14ac:dyDescent="0.25">
      <c r="D1167" s="5"/>
      <c r="N1167" s="6" t="str">
        <f>IFERROR(Tabela3[[#This Row],[Última revisão do bem]]+(VLOOKUP(Tabela3[[#This Row],[Categoria]],Cadastros!A:D,4,0)+365),"")</f>
        <v/>
      </c>
      <c r="O1167" s="7" t="str">
        <f ca="1">IF(Tabela3[[#This Row],[Data da compra]]&gt;0,(TODAY()-Tabela3[[#This Row],[Data da compra]])/365,"")</f>
        <v/>
      </c>
      <c r="P1167" s="7" t="str">
        <f>IFERROR(VLOOKUP(Tabela3[[#This Row],[Categoria]],Cadastros!A:C,3,0),"")</f>
        <v/>
      </c>
      <c r="Q1167" s="9" t="str">
        <f ca="1">IFERROR(Tabela3[[#This Row],[Vida útil]]-Tabela3[[#This Row],[Idade]],"")</f>
        <v/>
      </c>
      <c r="R1167" s="8" t="str">
        <f ca="1">IFERROR(Tabela3[[#This Row],[Valor]]-(Tabela3[[#This Row],[Valor]]*(Tabela3[[#This Row],[Idade]]*VLOOKUP(Tabela3[[#This Row],[Categoria]],Cadastros!A:B,2,0))),"")</f>
        <v/>
      </c>
    </row>
    <row r="1168" spans="4:18" x14ac:dyDescent="0.25">
      <c r="D1168" s="5"/>
      <c r="N1168" s="6" t="str">
        <f>IFERROR(Tabela3[[#This Row],[Última revisão do bem]]+(VLOOKUP(Tabela3[[#This Row],[Categoria]],Cadastros!A:D,4,0)+365),"")</f>
        <v/>
      </c>
      <c r="O1168" s="7" t="str">
        <f ca="1">IF(Tabela3[[#This Row],[Data da compra]]&gt;0,(TODAY()-Tabela3[[#This Row],[Data da compra]])/365,"")</f>
        <v/>
      </c>
      <c r="P1168" s="7" t="str">
        <f>IFERROR(VLOOKUP(Tabela3[[#This Row],[Categoria]],Cadastros!A:C,3,0),"")</f>
        <v/>
      </c>
      <c r="Q1168" s="9" t="str">
        <f ca="1">IFERROR(Tabela3[[#This Row],[Vida útil]]-Tabela3[[#This Row],[Idade]],"")</f>
        <v/>
      </c>
      <c r="R1168" s="8" t="str">
        <f ca="1">IFERROR(Tabela3[[#This Row],[Valor]]-(Tabela3[[#This Row],[Valor]]*(Tabela3[[#This Row],[Idade]]*VLOOKUP(Tabela3[[#This Row],[Categoria]],Cadastros!A:B,2,0))),"")</f>
        <v/>
      </c>
    </row>
    <row r="1169" spans="4:18" x14ac:dyDescent="0.25">
      <c r="D1169" s="5"/>
      <c r="N1169" s="6" t="str">
        <f>IFERROR(Tabela3[[#This Row],[Última revisão do bem]]+(VLOOKUP(Tabela3[[#This Row],[Categoria]],Cadastros!A:D,4,0)+365),"")</f>
        <v/>
      </c>
      <c r="O1169" s="7" t="str">
        <f ca="1">IF(Tabela3[[#This Row],[Data da compra]]&gt;0,(TODAY()-Tabela3[[#This Row],[Data da compra]])/365,"")</f>
        <v/>
      </c>
      <c r="P1169" s="7" t="str">
        <f>IFERROR(VLOOKUP(Tabela3[[#This Row],[Categoria]],Cadastros!A:C,3,0),"")</f>
        <v/>
      </c>
      <c r="Q1169" s="9" t="str">
        <f ca="1">IFERROR(Tabela3[[#This Row],[Vida útil]]-Tabela3[[#This Row],[Idade]],"")</f>
        <v/>
      </c>
      <c r="R1169" s="8" t="str">
        <f ca="1">IFERROR(Tabela3[[#This Row],[Valor]]-(Tabela3[[#This Row],[Valor]]*(Tabela3[[#This Row],[Idade]]*VLOOKUP(Tabela3[[#This Row],[Categoria]],Cadastros!A:B,2,0))),"")</f>
        <v/>
      </c>
    </row>
    <row r="1170" spans="4:18" x14ac:dyDescent="0.25">
      <c r="D1170" s="5"/>
      <c r="N1170" s="6" t="str">
        <f>IFERROR(Tabela3[[#This Row],[Última revisão do bem]]+(VLOOKUP(Tabela3[[#This Row],[Categoria]],Cadastros!A:D,4,0)+365),"")</f>
        <v/>
      </c>
      <c r="O1170" s="7" t="str">
        <f ca="1">IF(Tabela3[[#This Row],[Data da compra]]&gt;0,(TODAY()-Tabela3[[#This Row],[Data da compra]])/365,"")</f>
        <v/>
      </c>
      <c r="P1170" s="7" t="str">
        <f>IFERROR(VLOOKUP(Tabela3[[#This Row],[Categoria]],Cadastros!A:C,3,0),"")</f>
        <v/>
      </c>
      <c r="Q1170" s="9" t="str">
        <f ca="1">IFERROR(Tabela3[[#This Row],[Vida útil]]-Tabela3[[#This Row],[Idade]],"")</f>
        <v/>
      </c>
      <c r="R1170" s="8" t="str">
        <f ca="1">IFERROR(Tabela3[[#This Row],[Valor]]-(Tabela3[[#This Row],[Valor]]*(Tabela3[[#This Row],[Idade]]*VLOOKUP(Tabela3[[#This Row],[Categoria]],Cadastros!A:B,2,0))),"")</f>
        <v/>
      </c>
    </row>
    <row r="1171" spans="4:18" x14ac:dyDescent="0.25">
      <c r="D1171" s="5"/>
      <c r="N1171" s="6" t="str">
        <f>IFERROR(Tabela3[[#This Row],[Última revisão do bem]]+(VLOOKUP(Tabela3[[#This Row],[Categoria]],Cadastros!A:D,4,0)+365),"")</f>
        <v/>
      </c>
      <c r="O1171" s="7" t="str">
        <f ca="1">IF(Tabela3[[#This Row],[Data da compra]]&gt;0,(TODAY()-Tabela3[[#This Row],[Data da compra]])/365,"")</f>
        <v/>
      </c>
      <c r="P1171" s="7" t="str">
        <f>IFERROR(VLOOKUP(Tabela3[[#This Row],[Categoria]],Cadastros!A:C,3,0),"")</f>
        <v/>
      </c>
      <c r="Q1171" s="9" t="str">
        <f ca="1">IFERROR(Tabela3[[#This Row],[Vida útil]]-Tabela3[[#This Row],[Idade]],"")</f>
        <v/>
      </c>
      <c r="R1171" s="8" t="str">
        <f ca="1">IFERROR(Tabela3[[#This Row],[Valor]]-(Tabela3[[#This Row],[Valor]]*(Tabela3[[#This Row],[Idade]]*VLOOKUP(Tabela3[[#This Row],[Categoria]],Cadastros!A:B,2,0))),"")</f>
        <v/>
      </c>
    </row>
    <row r="1172" spans="4:18" x14ac:dyDescent="0.25">
      <c r="D1172" s="5"/>
      <c r="N1172" s="6" t="str">
        <f>IFERROR(Tabela3[[#This Row],[Última revisão do bem]]+(VLOOKUP(Tabela3[[#This Row],[Categoria]],Cadastros!A:D,4,0)+365),"")</f>
        <v/>
      </c>
      <c r="O1172" s="7" t="str">
        <f ca="1">IF(Tabela3[[#This Row],[Data da compra]]&gt;0,(TODAY()-Tabela3[[#This Row],[Data da compra]])/365,"")</f>
        <v/>
      </c>
      <c r="P1172" s="7" t="str">
        <f>IFERROR(VLOOKUP(Tabela3[[#This Row],[Categoria]],Cadastros!A:C,3,0),"")</f>
        <v/>
      </c>
      <c r="Q1172" s="9" t="str">
        <f ca="1">IFERROR(Tabela3[[#This Row],[Vida útil]]-Tabela3[[#This Row],[Idade]],"")</f>
        <v/>
      </c>
      <c r="R1172" s="8" t="str">
        <f ca="1">IFERROR(Tabela3[[#This Row],[Valor]]-(Tabela3[[#This Row],[Valor]]*(Tabela3[[#This Row],[Idade]]*VLOOKUP(Tabela3[[#This Row],[Categoria]],Cadastros!A:B,2,0))),"")</f>
        <v/>
      </c>
    </row>
    <row r="1173" spans="4:18" x14ac:dyDescent="0.25">
      <c r="D1173" s="5"/>
      <c r="N1173" s="6" t="str">
        <f>IFERROR(Tabela3[[#This Row],[Última revisão do bem]]+(VLOOKUP(Tabela3[[#This Row],[Categoria]],Cadastros!A:D,4,0)+365),"")</f>
        <v/>
      </c>
      <c r="O1173" s="7" t="str">
        <f ca="1">IF(Tabela3[[#This Row],[Data da compra]]&gt;0,(TODAY()-Tabela3[[#This Row],[Data da compra]])/365,"")</f>
        <v/>
      </c>
      <c r="P1173" s="7" t="str">
        <f>IFERROR(VLOOKUP(Tabela3[[#This Row],[Categoria]],Cadastros!A:C,3,0),"")</f>
        <v/>
      </c>
      <c r="Q1173" s="9" t="str">
        <f ca="1">IFERROR(Tabela3[[#This Row],[Vida útil]]-Tabela3[[#This Row],[Idade]],"")</f>
        <v/>
      </c>
      <c r="R1173" s="8" t="str">
        <f ca="1">IFERROR(Tabela3[[#This Row],[Valor]]-(Tabela3[[#This Row],[Valor]]*(Tabela3[[#This Row],[Idade]]*VLOOKUP(Tabela3[[#This Row],[Categoria]],Cadastros!A:B,2,0))),"")</f>
        <v/>
      </c>
    </row>
    <row r="1174" spans="4:18" x14ac:dyDescent="0.25">
      <c r="D1174" s="5"/>
      <c r="N1174" s="6" t="str">
        <f>IFERROR(Tabela3[[#This Row],[Última revisão do bem]]+(VLOOKUP(Tabela3[[#This Row],[Categoria]],Cadastros!A:D,4,0)+365),"")</f>
        <v/>
      </c>
      <c r="O1174" s="7" t="str">
        <f ca="1">IF(Tabela3[[#This Row],[Data da compra]]&gt;0,(TODAY()-Tabela3[[#This Row],[Data da compra]])/365,"")</f>
        <v/>
      </c>
      <c r="P1174" s="7" t="str">
        <f>IFERROR(VLOOKUP(Tabela3[[#This Row],[Categoria]],Cadastros!A:C,3,0),"")</f>
        <v/>
      </c>
      <c r="Q1174" s="9" t="str">
        <f ca="1">IFERROR(Tabela3[[#This Row],[Vida útil]]-Tabela3[[#This Row],[Idade]],"")</f>
        <v/>
      </c>
      <c r="R1174" s="8" t="str">
        <f ca="1">IFERROR(Tabela3[[#This Row],[Valor]]-(Tabela3[[#This Row],[Valor]]*(Tabela3[[#This Row],[Idade]]*VLOOKUP(Tabela3[[#This Row],[Categoria]],Cadastros!A:B,2,0))),"")</f>
        <v/>
      </c>
    </row>
    <row r="1175" spans="4:18" x14ac:dyDescent="0.25">
      <c r="D1175" s="5"/>
      <c r="N1175" s="6" t="str">
        <f>IFERROR(Tabela3[[#This Row],[Última revisão do bem]]+(VLOOKUP(Tabela3[[#This Row],[Categoria]],Cadastros!A:D,4,0)+365),"")</f>
        <v/>
      </c>
      <c r="O1175" s="7" t="str">
        <f ca="1">IF(Tabela3[[#This Row],[Data da compra]]&gt;0,(TODAY()-Tabela3[[#This Row],[Data da compra]])/365,"")</f>
        <v/>
      </c>
      <c r="P1175" s="7" t="str">
        <f>IFERROR(VLOOKUP(Tabela3[[#This Row],[Categoria]],Cadastros!A:C,3,0),"")</f>
        <v/>
      </c>
      <c r="Q1175" s="9" t="str">
        <f ca="1">IFERROR(Tabela3[[#This Row],[Vida útil]]-Tabela3[[#This Row],[Idade]],"")</f>
        <v/>
      </c>
      <c r="R1175" s="8" t="str">
        <f ca="1">IFERROR(Tabela3[[#This Row],[Valor]]-(Tabela3[[#This Row],[Valor]]*(Tabela3[[#This Row],[Idade]]*VLOOKUP(Tabela3[[#This Row],[Categoria]],Cadastros!A:B,2,0))),"")</f>
        <v/>
      </c>
    </row>
    <row r="1176" spans="4:18" x14ac:dyDescent="0.25">
      <c r="D1176" s="5"/>
      <c r="N1176" s="6" t="str">
        <f>IFERROR(Tabela3[[#This Row],[Última revisão do bem]]+(VLOOKUP(Tabela3[[#This Row],[Categoria]],Cadastros!A:D,4,0)+365),"")</f>
        <v/>
      </c>
      <c r="O1176" s="7" t="str">
        <f ca="1">IF(Tabela3[[#This Row],[Data da compra]]&gt;0,(TODAY()-Tabela3[[#This Row],[Data da compra]])/365,"")</f>
        <v/>
      </c>
      <c r="P1176" s="7" t="str">
        <f>IFERROR(VLOOKUP(Tabela3[[#This Row],[Categoria]],Cadastros!A:C,3,0),"")</f>
        <v/>
      </c>
      <c r="Q1176" s="9" t="str">
        <f ca="1">IFERROR(Tabela3[[#This Row],[Vida útil]]-Tabela3[[#This Row],[Idade]],"")</f>
        <v/>
      </c>
      <c r="R1176" s="8" t="str">
        <f ca="1">IFERROR(Tabela3[[#This Row],[Valor]]-(Tabela3[[#This Row],[Valor]]*(Tabela3[[#This Row],[Idade]]*VLOOKUP(Tabela3[[#This Row],[Categoria]],Cadastros!A:B,2,0))),"")</f>
        <v/>
      </c>
    </row>
    <row r="1177" spans="4:18" x14ac:dyDescent="0.25">
      <c r="D1177" s="5"/>
      <c r="N1177" s="6" t="str">
        <f>IFERROR(Tabela3[[#This Row],[Última revisão do bem]]+(VLOOKUP(Tabela3[[#This Row],[Categoria]],Cadastros!A:D,4,0)+365),"")</f>
        <v/>
      </c>
      <c r="O1177" s="7" t="str">
        <f ca="1">IF(Tabela3[[#This Row],[Data da compra]]&gt;0,(TODAY()-Tabela3[[#This Row],[Data da compra]])/365,"")</f>
        <v/>
      </c>
      <c r="P1177" s="7" t="str">
        <f>IFERROR(VLOOKUP(Tabela3[[#This Row],[Categoria]],Cadastros!A:C,3,0),"")</f>
        <v/>
      </c>
      <c r="Q1177" s="9" t="str">
        <f ca="1">IFERROR(Tabela3[[#This Row],[Vida útil]]-Tabela3[[#This Row],[Idade]],"")</f>
        <v/>
      </c>
      <c r="R1177" s="8" t="str">
        <f ca="1">IFERROR(Tabela3[[#This Row],[Valor]]-(Tabela3[[#This Row],[Valor]]*(Tabela3[[#This Row],[Idade]]*VLOOKUP(Tabela3[[#This Row],[Categoria]],Cadastros!A:B,2,0))),"")</f>
        <v/>
      </c>
    </row>
    <row r="1178" spans="4:18" x14ac:dyDescent="0.25">
      <c r="D1178" s="5"/>
      <c r="N1178" s="6" t="str">
        <f>IFERROR(Tabela3[[#This Row],[Última revisão do bem]]+(VLOOKUP(Tabela3[[#This Row],[Categoria]],Cadastros!A:D,4,0)+365),"")</f>
        <v/>
      </c>
      <c r="O1178" s="7" t="str">
        <f ca="1">IF(Tabela3[[#This Row],[Data da compra]]&gt;0,(TODAY()-Tabela3[[#This Row],[Data da compra]])/365,"")</f>
        <v/>
      </c>
      <c r="P1178" s="7" t="str">
        <f>IFERROR(VLOOKUP(Tabela3[[#This Row],[Categoria]],Cadastros!A:C,3,0),"")</f>
        <v/>
      </c>
      <c r="Q1178" s="9" t="str">
        <f ca="1">IFERROR(Tabela3[[#This Row],[Vida útil]]-Tabela3[[#This Row],[Idade]],"")</f>
        <v/>
      </c>
      <c r="R1178" s="8" t="str">
        <f ca="1">IFERROR(Tabela3[[#This Row],[Valor]]-(Tabela3[[#This Row],[Valor]]*(Tabela3[[#This Row],[Idade]]*VLOOKUP(Tabela3[[#This Row],[Categoria]],Cadastros!A:B,2,0))),"")</f>
        <v/>
      </c>
    </row>
    <row r="1179" spans="4:18" x14ac:dyDescent="0.25">
      <c r="D1179" s="5"/>
      <c r="N1179" s="6" t="str">
        <f>IFERROR(Tabela3[[#This Row],[Última revisão do bem]]+(VLOOKUP(Tabela3[[#This Row],[Categoria]],Cadastros!A:D,4,0)+365),"")</f>
        <v/>
      </c>
      <c r="O1179" s="7" t="str">
        <f ca="1">IF(Tabela3[[#This Row],[Data da compra]]&gt;0,(TODAY()-Tabela3[[#This Row],[Data da compra]])/365,"")</f>
        <v/>
      </c>
      <c r="P1179" s="7" t="str">
        <f>IFERROR(VLOOKUP(Tabela3[[#This Row],[Categoria]],Cadastros!A:C,3,0),"")</f>
        <v/>
      </c>
      <c r="Q1179" s="9" t="str">
        <f ca="1">IFERROR(Tabela3[[#This Row],[Vida útil]]-Tabela3[[#This Row],[Idade]],"")</f>
        <v/>
      </c>
      <c r="R1179" s="8" t="str">
        <f ca="1">IFERROR(Tabela3[[#This Row],[Valor]]-(Tabela3[[#This Row],[Valor]]*(Tabela3[[#This Row],[Idade]]*VLOOKUP(Tabela3[[#This Row],[Categoria]],Cadastros!A:B,2,0))),"")</f>
        <v/>
      </c>
    </row>
    <row r="1180" spans="4:18" x14ac:dyDescent="0.25">
      <c r="D1180" s="5"/>
      <c r="N1180" s="6" t="str">
        <f>IFERROR(Tabela3[[#This Row],[Última revisão do bem]]+(VLOOKUP(Tabela3[[#This Row],[Categoria]],Cadastros!A:D,4,0)+365),"")</f>
        <v/>
      </c>
      <c r="O1180" s="7" t="str">
        <f ca="1">IF(Tabela3[[#This Row],[Data da compra]]&gt;0,(TODAY()-Tabela3[[#This Row],[Data da compra]])/365,"")</f>
        <v/>
      </c>
      <c r="P1180" s="7" t="str">
        <f>IFERROR(VLOOKUP(Tabela3[[#This Row],[Categoria]],Cadastros!A:C,3,0),"")</f>
        <v/>
      </c>
      <c r="Q1180" s="9" t="str">
        <f ca="1">IFERROR(Tabela3[[#This Row],[Vida útil]]-Tabela3[[#This Row],[Idade]],"")</f>
        <v/>
      </c>
      <c r="R1180" s="8" t="str">
        <f ca="1">IFERROR(Tabela3[[#This Row],[Valor]]-(Tabela3[[#This Row],[Valor]]*(Tabela3[[#This Row],[Idade]]*VLOOKUP(Tabela3[[#This Row],[Categoria]],Cadastros!A:B,2,0))),"")</f>
        <v/>
      </c>
    </row>
    <row r="1181" spans="4:18" x14ac:dyDescent="0.25">
      <c r="D1181" s="5"/>
      <c r="N1181" s="6" t="str">
        <f>IFERROR(Tabela3[[#This Row],[Última revisão do bem]]+(VLOOKUP(Tabela3[[#This Row],[Categoria]],Cadastros!A:D,4,0)+365),"")</f>
        <v/>
      </c>
      <c r="O1181" s="7" t="str">
        <f ca="1">IF(Tabela3[[#This Row],[Data da compra]]&gt;0,(TODAY()-Tabela3[[#This Row],[Data da compra]])/365,"")</f>
        <v/>
      </c>
      <c r="P1181" s="7" t="str">
        <f>IFERROR(VLOOKUP(Tabela3[[#This Row],[Categoria]],Cadastros!A:C,3,0),"")</f>
        <v/>
      </c>
      <c r="Q1181" s="9" t="str">
        <f ca="1">IFERROR(Tabela3[[#This Row],[Vida útil]]-Tabela3[[#This Row],[Idade]],"")</f>
        <v/>
      </c>
      <c r="R1181" s="8" t="str">
        <f ca="1">IFERROR(Tabela3[[#This Row],[Valor]]-(Tabela3[[#This Row],[Valor]]*(Tabela3[[#This Row],[Idade]]*VLOOKUP(Tabela3[[#This Row],[Categoria]],Cadastros!A:B,2,0))),"")</f>
        <v/>
      </c>
    </row>
    <row r="1182" spans="4:18" x14ac:dyDescent="0.25">
      <c r="D1182" s="5"/>
      <c r="N1182" s="6" t="str">
        <f>IFERROR(Tabela3[[#This Row],[Última revisão do bem]]+(VLOOKUP(Tabela3[[#This Row],[Categoria]],Cadastros!A:D,4,0)+365),"")</f>
        <v/>
      </c>
      <c r="O1182" s="7" t="str">
        <f ca="1">IF(Tabela3[[#This Row],[Data da compra]]&gt;0,(TODAY()-Tabela3[[#This Row],[Data da compra]])/365,"")</f>
        <v/>
      </c>
      <c r="P1182" s="7" t="str">
        <f>IFERROR(VLOOKUP(Tabela3[[#This Row],[Categoria]],Cadastros!A:C,3,0),"")</f>
        <v/>
      </c>
      <c r="Q1182" s="9" t="str">
        <f ca="1">IFERROR(Tabela3[[#This Row],[Vida útil]]-Tabela3[[#This Row],[Idade]],"")</f>
        <v/>
      </c>
      <c r="R1182" s="8" t="str">
        <f ca="1">IFERROR(Tabela3[[#This Row],[Valor]]-(Tabela3[[#This Row],[Valor]]*(Tabela3[[#This Row],[Idade]]*VLOOKUP(Tabela3[[#This Row],[Categoria]],Cadastros!A:B,2,0))),"")</f>
        <v/>
      </c>
    </row>
    <row r="1183" spans="4:18" x14ac:dyDescent="0.25">
      <c r="D1183" s="5"/>
      <c r="N1183" s="6" t="str">
        <f>IFERROR(Tabela3[[#This Row],[Última revisão do bem]]+(VLOOKUP(Tabela3[[#This Row],[Categoria]],Cadastros!A:D,4,0)+365),"")</f>
        <v/>
      </c>
      <c r="O1183" s="7" t="str">
        <f ca="1">IF(Tabela3[[#This Row],[Data da compra]]&gt;0,(TODAY()-Tabela3[[#This Row],[Data da compra]])/365,"")</f>
        <v/>
      </c>
      <c r="P1183" s="7" t="str">
        <f>IFERROR(VLOOKUP(Tabela3[[#This Row],[Categoria]],Cadastros!A:C,3,0),"")</f>
        <v/>
      </c>
      <c r="Q1183" s="9" t="str">
        <f ca="1">IFERROR(Tabela3[[#This Row],[Vida útil]]-Tabela3[[#This Row],[Idade]],"")</f>
        <v/>
      </c>
      <c r="R1183" s="8" t="str">
        <f ca="1">IFERROR(Tabela3[[#This Row],[Valor]]-(Tabela3[[#This Row],[Valor]]*(Tabela3[[#This Row],[Idade]]*VLOOKUP(Tabela3[[#This Row],[Categoria]],Cadastros!A:B,2,0))),"")</f>
        <v/>
      </c>
    </row>
    <row r="1184" spans="4:18" x14ac:dyDescent="0.25">
      <c r="D1184" s="5"/>
      <c r="N1184" s="6" t="str">
        <f>IFERROR(Tabela3[[#This Row],[Última revisão do bem]]+(VLOOKUP(Tabela3[[#This Row],[Categoria]],Cadastros!A:D,4,0)+365),"")</f>
        <v/>
      </c>
      <c r="O1184" s="7" t="str">
        <f ca="1">IF(Tabela3[[#This Row],[Data da compra]]&gt;0,(TODAY()-Tabela3[[#This Row],[Data da compra]])/365,"")</f>
        <v/>
      </c>
      <c r="P1184" s="7" t="str">
        <f>IFERROR(VLOOKUP(Tabela3[[#This Row],[Categoria]],Cadastros!A:C,3,0),"")</f>
        <v/>
      </c>
      <c r="Q1184" s="9" t="str">
        <f ca="1">IFERROR(Tabela3[[#This Row],[Vida útil]]-Tabela3[[#This Row],[Idade]],"")</f>
        <v/>
      </c>
      <c r="R1184" s="8" t="str">
        <f ca="1">IFERROR(Tabela3[[#This Row],[Valor]]-(Tabela3[[#This Row],[Valor]]*(Tabela3[[#This Row],[Idade]]*VLOOKUP(Tabela3[[#This Row],[Categoria]],Cadastros!A:B,2,0))),"")</f>
        <v/>
      </c>
    </row>
    <row r="1185" spans="4:18" x14ac:dyDescent="0.25">
      <c r="D1185" s="5"/>
      <c r="N1185" s="6" t="str">
        <f>IFERROR(Tabela3[[#This Row],[Última revisão do bem]]+(VLOOKUP(Tabela3[[#This Row],[Categoria]],Cadastros!A:D,4,0)+365),"")</f>
        <v/>
      </c>
      <c r="O1185" s="7" t="str">
        <f ca="1">IF(Tabela3[[#This Row],[Data da compra]]&gt;0,(TODAY()-Tabela3[[#This Row],[Data da compra]])/365,"")</f>
        <v/>
      </c>
      <c r="P1185" s="7" t="str">
        <f>IFERROR(VLOOKUP(Tabela3[[#This Row],[Categoria]],Cadastros!A:C,3,0),"")</f>
        <v/>
      </c>
      <c r="Q1185" s="9" t="str">
        <f ca="1">IFERROR(Tabela3[[#This Row],[Vida útil]]-Tabela3[[#This Row],[Idade]],"")</f>
        <v/>
      </c>
      <c r="R1185" s="8" t="str">
        <f ca="1">IFERROR(Tabela3[[#This Row],[Valor]]-(Tabela3[[#This Row],[Valor]]*(Tabela3[[#This Row],[Idade]]*VLOOKUP(Tabela3[[#This Row],[Categoria]],Cadastros!A:B,2,0))),"")</f>
        <v/>
      </c>
    </row>
    <row r="1186" spans="4:18" x14ac:dyDescent="0.25">
      <c r="D1186" s="5"/>
      <c r="N1186" s="6" t="str">
        <f>IFERROR(Tabela3[[#This Row],[Última revisão do bem]]+(VLOOKUP(Tabela3[[#This Row],[Categoria]],Cadastros!A:D,4,0)+365),"")</f>
        <v/>
      </c>
      <c r="O1186" s="7" t="str">
        <f ca="1">IF(Tabela3[[#This Row],[Data da compra]]&gt;0,(TODAY()-Tabela3[[#This Row],[Data da compra]])/365,"")</f>
        <v/>
      </c>
      <c r="P1186" s="7" t="str">
        <f>IFERROR(VLOOKUP(Tabela3[[#This Row],[Categoria]],Cadastros!A:C,3,0),"")</f>
        <v/>
      </c>
      <c r="Q1186" s="9" t="str">
        <f ca="1">IFERROR(Tabela3[[#This Row],[Vida útil]]-Tabela3[[#This Row],[Idade]],"")</f>
        <v/>
      </c>
      <c r="R1186" s="8" t="str">
        <f ca="1">IFERROR(Tabela3[[#This Row],[Valor]]-(Tabela3[[#This Row],[Valor]]*(Tabela3[[#This Row],[Idade]]*VLOOKUP(Tabela3[[#This Row],[Categoria]],Cadastros!A:B,2,0))),"")</f>
        <v/>
      </c>
    </row>
    <row r="1187" spans="4:18" x14ac:dyDescent="0.25">
      <c r="D1187" s="5"/>
      <c r="N1187" s="6" t="str">
        <f>IFERROR(Tabela3[[#This Row],[Última revisão do bem]]+(VLOOKUP(Tabela3[[#This Row],[Categoria]],Cadastros!A:D,4,0)+365),"")</f>
        <v/>
      </c>
      <c r="O1187" s="7" t="str">
        <f ca="1">IF(Tabela3[[#This Row],[Data da compra]]&gt;0,(TODAY()-Tabela3[[#This Row],[Data da compra]])/365,"")</f>
        <v/>
      </c>
      <c r="P1187" s="7" t="str">
        <f>IFERROR(VLOOKUP(Tabela3[[#This Row],[Categoria]],Cadastros!A:C,3,0),"")</f>
        <v/>
      </c>
      <c r="Q1187" s="9" t="str">
        <f ca="1">IFERROR(Tabela3[[#This Row],[Vida útil]]-Tabela3[[#This Row],[Idade]],"")</f>
        <v/>
      </c>
      <c r="R1187" s="8" t="str">
        <f ca="1">IFERROR(Tabela3[[#This Row],[Valor]]-(Tabela3[[#This Row],[Valor]]*(Tabela3[[#This Row],[Idade]]*VLOOKUP(Tabela3[[#This Row],[Categoria]],Cadastros!A:B,2,0))),"")</f>
        <v/>
      </c>
    </row>
    <row r="1188" spans="4:18" x14ac:dyDescent="0.25">
      <c r="D1188" s="5"/>
      <c r="N1188" s="6" t="str">
        <f>IFERROR(Tabela3[[#This Row],[Última revisão do bem]]+(VLOOKUP(Tabela3[[#This Row],[Categoria]],Cadastros!A:D,4,0)+365),"")</f>
        <v/>
      </c>
      <c r="O1188" s="7" t="str">
        <f ca="1">IF(Tabela3[[#This Row],[Data da compra]]&gt;0,(TODAY()-Tabela3[[#This Row],[Data da compra]])/365,"")</f>
        <v/>
      </c>
      <c r="P1188" s="7" t="str">
        <f>IFERROR(VLOOKUP(Tabela3[[#This Row],[Categoria]],Cadastros!A:C,3,0),"")</f>
        <v/>
      </c>
      <c r="Q1188" s="9" t="str">
        <f ca="1">IFERROR(Tabela3[[#This Row],[Vida útil]]-Tabela3[[#This Row],[Idade]],"")</f>
        <v/>
      </c>
      <c r="R1188" s="8" t="str">
        <f ca="1">IFERROR(Tabela3[[#This Row],[Valor]]-(Tabela3[[#This Row],[Valor]]*(Tabela3[[#This Row],[Idade]]*VLOOKUP(Tabela3[[#This Row],[Categoria]],Cadastros!A:B,2,0))),"")</f>
        <v/>
      </c>
    </row>
    <row r="1189" spans="4:18" x14ac:dyDescent="0.25">
      <c r="D1189" s="5"/>
      <c r="N1189" s="6" t="str">
        <f>IFERROR(Tabela3[[#This Row],[Última revisão do bem]]+(VLOOKUP(Tabela3[[#This Row],[Categoria]],Cadastros!A:D,4,0)+365),"")</f>
        <v/>
      </c>
      <c r="O1189" s="7" t="str">
        <f ca="1">IF(Tabela3[[#This Row],[Data da compra]]&gt;0,(TODAY()-Tabela3[[#This Row],[Data da compra]])/365,"")</f>
        <v/>
      </c>
      <c r="P1189" s="7" t="str">
        <f>IFERROR(VLOOKUP(Tabela3[[#This Row],[Categoria]],Cadastros!A:C,3,0),"")</f>
        <v/>
      </c>
      <c r="Q1189" s="9" t="str">
        <f ca="1">IFERROR(Tabela3[[#This Row],[Vida útil]]-Tabela3[[#This Row],[Idade]],"")</f>
        <v/>
      </c>
      <c r="R1189" s="8" t="str">
        <f ca="1">IFERROR(Tabela3[[#This Row],[Valor]]-(Tabela3[[#This Row],[Valor]]*(Tabela3[[#This Row],[Idade]]*VLOOKUP(Tabela3[[#This Row],[Categoria]],Cadastros!A:B,2,0))),"")</f>
        <v/>
      </c>
    </row>
    <row r="1190" spans="4:18" x14ac:dyDescent="0.25">
      <c r="D1190" s="5"/>
      <c r="N1190" s="6" t="str">
        <f>IFERROR(Tabela3[[#This Row],[Última revisão do bem]]+(VLOOKUP(Tabela3[[#This Row],[Categoria]],Cadastros!A:D,4,0)+365),"")</f>
        <v/>
      </c>
      <c r="O1190" s="7" t="str">
        <f ca="1">IF(Tabela3[[#This Row],[Data da compra]]&gt;0,(TODAY()-Tabela3[[#This Row],[Data da compra]])/365,"")</f>
        <v/>
      </c>
      <c r="P1190" s="7" t="str">
        <f>IFERROR(VLOOKUP(Tabela3[[#This Row],[Categoria]],Cadastros!A:C,3,0),"")</f>
        <v/>
      </c>
      <c r="Q1190" s="9" t="str">
        <f ca="1">IFERROR(Tabela3[[#This Row],[Vida útil]]-Tabela3[[#This Row],[Idade]],"")</f>
        <v/>
      </c>
      <c r="R1190" s="8" t="str">
        <f ca="1">IFERROR(Tabela3[[#This Row],[Valor]]-(Tabela3[[#This Row],[Valor]]*(Tabela3[[#This Row],[Idade]]*VLOOKUP(Tabela3[[#This Row],[Categoria]],Cadastros!A:B,2,0))),"")</f>
        <v/>
      </c>
    </row>
    <row r="1191" spans="4:18" x14ac:dyDescent="0.25">
      <c r="D1191" s="5"/>
      <c r="N1191" s="6" t="str">
        <f>IFERROR(Tabela3[[#This Row],[Última revisão do bem]]+(VLOOKUP(Tabela3[[#This Row],[Categoria]],Cadastros!A:D,4,0)+365),"")</f>
        <v/>
      </c>
      <c r="O1191" s="7" t="str">
        <f ca="1">IF(Tabela3[[#This Row],[Data da compra]]&gt;0,(TODAY()-Tabela3[[#This Row],[Data da compra]])/365,"")</f>
        <v/>
      </c>
      <c r="P1191" s="7" t="str">
        <f>IFERROR(VLOOKUP(Tabela3[[#This Row],[Categoria]],Cadastros!A:C,3,0),"")</f>
        <v/>
      </c>
      <c r="Q1191" s="9" t="str">
        <f ca="1">IFERROR(Tabela3[[#This Row],[Vida útil]]-Tabela3[[#This Row],[Idade]],"")</f>
        <v/>
      </c>
      <c r="R1191" s="8" t="str">
        <f ca="1">IFERROR(Tabela3[[#This Row],[Valor]]-(Tabela3[[#This Row],[Valor]]*(Tabela3[[#This Row],[Idade]]*VLOOKUP(Tabela3[[#This Row],[Categoria]],Cadastros!A:B,2,0))),"")</f>
        <v/>
      </c>
    </row>
    <row r="1192" spans="4:18" x14ac:dyDescent="0.25">
      <c r="D1192" s="5"/>
      <c r="N1192" s="6" t="str">
        <f>IFERROR(Tabela3[[#This Row],[Última revisão do bem]]+(VLOOKUP(Tabela3[[#This Row],[Categoria]],Cadastros!A:D,4,0)+365),"")</f>
        <v/>
      </c>
      <c r="O1192" s="7" t="str">
        <f ca="1">IF(Tabela3[[#This Row],[Data da compra]]&gt;0,(TODAY()-Tabela3[[#This Row],[Data da compra]])/365,"")</f>
        <v/>
      </c>
      <c r="P1192" s="7" t="str">
        <f>IFERROR(VLOOKUP(Tabela3[[#This Row],[Categoria]],Cadastros!A:C,3,0),"")</f>
        <v/>
      </c>
      <c r="Q1192" s="9" t="str">
        <f ca="1">IFERROR(Tabela3[[#This Row],[Vida útil]]-Tabela3[[#This Row],[Idade]],"")</f>
        <v/>
      </c>
      <c r="R1192" s="8" t="str">
        <f ca="1">IFERROR(Tabela3[[#This Row],[Valor]]-(Tabela3[[#This Row],[Valor]]*(Tabela3[[#This Row],[Idade]]*VLOOKUP(Tabela3[[#This Row],[Categoria]],Cadastros!A:B,2,0))),"")</f>
        <v/>
      </c>
    </row>
    <row r="1193" spans="4:18" x14ac:dyDescent="0.25">
      <c r="D1193" s="5"/>
      <c r="N1193" s="6" t="str">
        <f>IFERROR(Tabela3[[#This Row],[Última revisão do bem]]+(VLOOKUP(Tabela3[[#This Row],[Categoria]],Cadastros!A:D,4,0)+365),"")</f>
        <v/>
      </c>
      <c r="O1193" s="7" t="str">
        <f ca="1">IF(Tabela3[[#This Row],[Data da compra]]&gt;0,(TODAY()-Tabela3[[#This Row],[Data da compra]])/365,"")</f>
        <v/>
      </c>
      <c r="P1193" s="7" t="str">
        <f>IFERROR(VLOOKUP(Tabela3[[#This Row],[Categoria]],Cadastros!A:C,3,0),"")</f>
        <v/>
      </c>
      <c r="Q1193" s="9" t="str">
        <f ca="1">IFERROR(Tabela3[[#This Row],[Vida útil]]-Tabela3[[#This Row],[Idade]],"")</f>
        <v/>
      </c>
      <c r="R1193" s="8" t="str">
        <f ca="1">IFERROR(Tabela3[[#This Row],[Valor]]-(Tabela3[[#This Row],[Valor]]*(Tabela3[[#This Row],[Idade]]*VLOOKUP(Tabela3[[#This Row],[Categoria]],Cadastros!A:B,2,0))),"")</f>
        <v/>
      </c>
    </row>
    <row r="1194" spans="4:18" x14ac:dyDescent="0.25">
      <c r="D1194" s="22"/>
      <c r="N1194" s="6" t="str">
        <f>IFERROR(Tabela3[[#This Row],[Última revisão do bem]]+(VLOOKUP(Tabela3[[#This Row],[Categoria]],Cadastros!A:D,4,0)+365),"")</f>
        <v/>
      </c>
      <c r="O1194" s="7" t="str">
        <f ca="1">IF(Tabela3[[#This Row],[Data da compra]]&gt;0,(TODAY()-Tabela3[[#This Row],[Data da compra]])/365,"")</f>
        <v/>
      </c>
      <c r="P1194" s="7" t="str">
        <f>IFERROR(VLOOKUP(Tabela3[[#This Row],[Categoria]],Cadastros!A:C,3,0),"")</f>
        <v/>
      </c>
      <c r="Q1194" s="9" t="str">
        <f ca="1">IFERROR(Tabela3[[#This Row],[Vida útil]]-Tabela3[[#This Row],[Idade]],"")</f>
        <v/>
      </c>
      <c r="R1194" s="23" t="str">
        <f ca="1">IFERROR(Tabela3[[#This Row],[Valor]]-(Tabela3[[#This Row],[Valor]]*(Tabela3[[#This Row],[Idade]]*VLOOKUP(Tabela3[[#This Row],[Categoria]],Cadastros!A:B,2,0))),"")</f>
        <v/>
      </c>
    </row>
    <row r="1195" spans="4:18" x14ac:dyDescent="0.25">
      <c r="D1195" s="5"/>
      <c r="N1195" s="6" t="str">
        <f>IFERROR(Tabela3[[#This Row],[Última revisão do bem]]+(VLOOKUP(Tabela3[[#This Row],[Categoria]],Cadastros!A:D,4,0)+365),"")</f>
        <v/>
      </c>
      <c r="O1195" s="7" t="str">
        <f ca="1">IF(Tabela3[[#This Row],[Data da compra]]&gt;0,(TODAY()-Tabela3[[#This Row],[Data da compra]])/365,"")</f>
        <v/>
      </c>
      <c r="P1195" s="7" t="str">
        <f>IFERROR(VLOOKUP(Tabela3[[#This Row],[Categoria]],Cadastros!A:C,3,0),"")</f>
        <v/>
      </c>
      <c r="Q1195" s="9" t="str">
        <f ca="1">IFERROR(Tabela3[[#This Row],[Vida útil]]-Tabela3[[#This Row],[Idade]],"")</f>
        <v/>
      </c>
      <c r="R1195" s="8" t="str">
        <f ca="1">IFERROR(Tabela3[[#This Row],[Valor]]-(Tabela3[[#This Row],[Valor]]*(Tabela3[[#This Row],[Idade]]*VLOOKUP(Tabela3[[#This Row],[Categoria]],Cadastros!A:B,2,0))),"")</f>
        <v/>
      </c>
    </row>
    <row r="1196" spans="4:18" x14ac:dyDescent="0.25">
      <c r="D1196" s="5"/>
      <c r="N1196" s="6" t="str">
        <f>IFERROR(Tabela3[[#This Row],[Última revisão do bem]]+(VLOOKUP(Tabela3[[#This Row],[Categoria]],Cadastros!A:D,4,0)+365),"")</f>
        <v/>
      </c>
      <c r="O1196" s="7" t="str">
        <f ca="1">IF(Tabela3[[#This Row],[Data da compra]]&gt;0,(TODAY()-Tabela3[[#This Row],[Data da compra]])/365,"")</f>
        <v/>
      </c>
      <c r="P1196" s="7" t="str">
        <f>IFERROR(VLOOKUP(Tabela3[[#This Row],[Categoria]],Cadastros!A:C,3,0),"")</f>
        <v/>
      </c>
      <c r="Q1196" s="9" t="str">
        <f ca="1">IFERROR(Tabela3[[#This Row],[Vida útil]]-Tabela3[[#This Row],[Idade]],"")</f>
        <v/>
      </c>
      <c r="R1196" s="8" t="str">
        <f ca="1">IFERROR(Tabela3[[#This Row],[Valor]]-(Tabela3[[#This Row],[Valor]]*(Tabela3[[#This Row],[Idade]]*VLOOKUP(Tabela3[[#This Row],[Categoria]],Cadastros!A:B,2,0))),"")</f>
        <v/>
      </c>
    </row>
    <row r="1197" spans="4:18" x14ac:dyDescent="0.25">
      <c r="D1197" s="5"/>
      <c r="N1197" s="6" t="str">
        <f>IFERROR(Tabela3[[#This Row],[Última revisão do bem]]+(VLOOKUP(Tabela3[[#This Row],[Categoria]],Cadastros!A:D,4,0)+365),"")</f>
        <v/>
      </c>
      <c r="O1197" s="7" t="str">
        <f ca="1">IF(Tabela3[[#This Row],[Data da compra]]&gt;0,(TODAY()-Tabela3[[#This Row],[Data da compra]])/365,"")</f>
        <v/>
      </c>
      <c r="P1197" s="7" t="str">
        <f>IFERROR(VLOOKUP(Tabela3[[#This Row],[Categoria]],Cadastros!A:C,3,0),"")</f>
        <v/>
      </c>
      <c r="Q1197" s="9" t="str">
        <f ca="1">IFERROR(Tabela3[[#This Row],[Vida útil]]-Tabela3[[#This Row],[Idade]],"")</f>
        <v/>
      </c>
      <c r="R1197" s="8" t="str">
        <f ca="1">IFERROR(Tabela3[[#This Row],[Valor]]-(Tabela3[[#This Row],[Valor]]*(Tabela3[[#This Row],[Idade]]*VLOOKUP(Tabela3[[#This Row],[Categoria]],Cadastros!A:B,2,0))),"")</f>
        <v/>
      </c>
    </row>
    <row r="1198" spans="4:18" x14ac:dyDescent="0.25">
      <c r="D1198" s="5"/>
      <c r="N1198" s="6" t="str">
        <f>IFERROR(Tabela3[[#This Row],[Última revisão do bem]]+(VLOOKUP(Tabela3[[#This Row],[Categoria]],Cadastros!A:D,4,0)+365),"")</f>
        <v/>
      </c>
      <c r="O1198" s="7" t="str">
        <f ca="1">IF(Tabela3[[#This Row],[Data da compra]]&gt;0,(TODAY()-Tabela3[[#This Row],[Data da compra]])/365,"")</f>
        <v/>
      </c>
      <c r="P1198" s="7" t="str">
        <f>IFERROR(VLOOKUP(Tabela3[[#This Row],[Categoria]],Cadastros!A:C,3,0),"")</f>
        <v/>
      </c>
      <c r="Q1198" s="9" t="str">
        <f ca="1">IFERROR(Tabela3[[#This Row],[Vida útil]]-Tabela3[[#This Row],[Idade]],"")</f>
        <v/>
      </c>
      <c r="R1198" s="8" t="str">
        <f ca="1">IFERROR(Tabela3[[#This Row],[Valor]]-(Tabela3[[#This Row],[Valor]]*(Tabela3[[#This Row],[Idade]]*VLOOKUP(Tabela3[[#This Row],[Categoria]],Cadastros!A:B,2,0))),"")</f>
        <v/>
      </c>
    </row>
    <row r="1199" spans="4:18" x14ac:dyDescent="0.25">
      <c r="D1199" s="5"/>
      <c r="N1199" s="6" t="str">
        <f>IFERROR(Tabela3[[#This Row],[Última revisão do bem]]+(VLOOKUP(Tabela3[[#This Row],[Categoria]],Cadastros!A:D,4,0)+365),"")</f>
        <v/>
      </c>
      <c r="O1199" s="7" t="str">
        <f ca="1">IF(Tabela3[[#This Row],[Data da compra]]&gt;0,(TODAY()-Tabela3[[#This Row],[Data da compra]])/365,"")</f>
        <v/>
      </c>
      <c r="P1199" s="7" t="str">
        <f>IFERROR(VLOOKUP(Tabela3[[#This Row],[Categoria]],Cadastros!A:C,3,0),"")</f>
        <v/>
      </c>
      <c r="Q1199" s="9" t="str">
        <f ca="1">IFERROR(Tabela3[[#This Row],[Vida útil]]-Tabela3[[#This Row],[Idade]],"")</f>
        <v/>
      </c>
      <c r="R1199" s="8" t="str">
        <f ca="1">IFERROR(Tabela3[[#This Row],[Valor]]-(Tabela3[[#This Row],[Valor]]*(Tabela3[[#This Row],[Idade]]*VLOOKUP(Tabela3[[#This Row],[Categoria]],Cadastros!A:B,2,0))),"")</f>
        <v/>
      </c>
    </row>
    <row r="1200" spans="4:18" x14ac:dyDescent="0.25">
      <c r="D1200" s="5"/>
      <c r="N1200" s="6" t="str">
        <f>IFERROR(Tabela3[[#This Row],[Última revisão do bem]]+(VLOOKUP(Tabela3[[#This Row],[Categoria]],Cadastros!A:D,4,0)+365),"")</f>
        <v/>
      </c>
      <c r="O1200" s="7" t="str">
        <f ca="1">IF(Tabela3[[#This Row],[Data da compra]]&gt;0,(TODAY()-Tabela3[[#This Row],[Data da compra]])/365,"")</f>
        <v/>
      </c>
      <c r="P1200" s="7" t="str">
        <f>IFERROR(VLOOKUP(Tabela3[[#This Row],[Categoria]],Cadastros!A:C,3,0),"")</f>
        <v/>
      </c>
      <c r="Q1200" s="9" t="str">
        <f ca="1">IFERROR(Tabela3[[#This Row],[Vida útil]]-Tabela3[[#This Row],[Idade]],"")</f>
        <v/>
      </c>
      <c r="R1200" s="8" t="str">
        <f ca="1">IFERROR(Tabela3[[#This Row],[Valor]]-(Tabela3[[#This Row],[Valor]]*(Tabela3[[#This Row],[Idade]]*VLOOKUP(Tabela3[[#This Row],[Categoria]],Cadastros!A:B,2,0))),"")</f>
        <v/>
      </c>
    </row>
    <row r="1201" spans="4:18" x14ac:dyDescent="0.25">
      <c r="D1201" s="5"/>
      <c r="N1201" s="6" t="str">
        <f>IFERROR(Tabela3[[#This Row],[Última revisão do bem]]+(VLOOKUP(Tabela3[[#This Row],[Categoria]],Cadastros!A:D,4,0)+365),"")</f>
        <v/>
      </c>
      <c r="O1201" s="7" t="str">
        <f ca="1">IF(Tabela3[[#This Row],[Data da compra]]&gt;0,(TODAY()-Tabela3[[#This Row],[Data da compra]])/365,"")</f>
        <v/>
      </c>
      <c r="P1201" s="7" t="str">
        <f>IFERROR(VLOOKUP(Tabela3[[#This Row],[Categoria]],Cadastros!A:C,3,0),"")</f>
        <v/>
      </c>
      <c r="Q1201" s="9" t="str">
        <f ca="1">IFERROR(Tabela3[[#This Row],[Vida útil]]-Tabela3[[#This Row],[Idade]],"")</f>
        <v/>
      </c>
      <c r="R1201" s="8" t="str">
        <f ca="1">IFERROR(Tabela3[[#This Row],[Valor]]-(Tabela3[[#This Row],[Valor]]*(Tabela3[[#This Row],[Idade]]*VLOOKUP(Tabela3[[#This Row],[Categoria]],Cadastros!A:B,2,0))),"")</f>
        <v/>
      </c>
    </row>
    <row r="1202" spans="4:18" x14ac:dyDescent="0.25">
      <c r="D1202" s="5"/>
      <c r="N1202" s="6" t="str">
        <f>IFERROR(Tabela3[[#This Row],[Última revisão do bem]]+(VLOOKUP(Tabela3[[#This Row],[Categoria]],Cadastros!A:D,4,0)+365),"")</f>
        <v/>
      </c>
      <c r="O1202" s="7" t="str">
        <f ca="1">IF(Tabela3[[#This Row],[Data da compra]]&gt;0,(TODAY()-Tabela3[[#This Row],[Data da compra]])/365,"")</f>
        <v/>
      </c>
      <c r="P1202" s="7" t="str">
        <f>IFERROR(VLOOKUP(Tabela3[[#This Row],[Categoria]],Cadastros!A:C,3,0),"")</f>
        <v/>
      </c>
      <c r="Q1202" s="9" t="str">
        <f ca="1">IFERROR(Tabela3[[#This Row],[Vida útil]]-Tabela3[[#This Row],[Idade]],"")</f>
        <v/>
      </c>
      <c r="R1202" s="8" t="str">
        <f ca="1">IFERROR(Tabela3[[#This Row],[Valor]]-(Tabela3[[#This Row],[Valor]]*(Tabela3[[#This Row],[Idade]]*VLOOKUP(Tabela3[[#This Row],[Categoria]],Cadastros!A:B,2,0))),"")</f>
        <v/>
      </c>
    </row>
    <row r="1203" spans="4:18" x14ac:dyDescent="0.25">
      <c r="D1203" s="5"/>
      <c r="N1203" s="6" t="str">
        <f>IFERROR(Tabela3[[#This Row],[Última revisão do bem]]+(VLOOKUP(Tabela3[[#This Row],[Categoria]],Cadastros!A:D,4,0)+365),"")</f>
        <v/>
      </c>
      <c r="O1203" s="7" t="str">
        <f ca="1">IF(Tabela3[[#This Row],[Data da compra]]&gt;0,(TODAY()-Tabela3[[#This Row],[Data da compra]])/365,"")</f>
        <v/>
      </c>
      <c r="P1203" s="7" t="str">
        <f>IFERROR(VLOOKUP(Tabela3[[#This Row],[Categoria]],Cadastros!A:C,3,0),"")</f>
        <v/>
      </c>
      <c r="Q1203" s="9" t="str">
        <f ca="1">IFERROR(Tabela3[[#This Row],[Vida útil]]-Tabela3[[#This Row],[Idade]],"")</f>
        <v/>
      </c>
      <c r="R1203" s="8" t="str">
        <f ca="1">IFERROR(Tabela3[[#This Row],[Valor]]-(Tabela3[[#This Row],[Valor]]*(Tabela3[[#This Row],[Idade]]*VLOOKUP(Tabela3[[#This Row],[Categoria]],Cadastros!A:B,2,0))),"")</f>
        <v/>
      </c>
    </row>
    <row r="1204" spans="4:18" x14ac:dyDescent="0.25">
      <c r="D1204" s="5"/>
      <c r="N1204" s="6" t="str">
        <f>IFERROR(Tabela3[[#This Row],[Última revisão do bem]]+(VLOOKUP(Tabela3[[#This Row],[Categoria]],Cadastros!A:D,4,0)+365),"")</f>
        <v/>
      </c>
      <c r="O1204" s="7" t="str">
        <f ca="1">IF(Tabela3[[#This Row],[Data da compra]]&gt;0,(TODAY()-Tabela3[[#This Row],[Data da compra]])/365,"")</f>
        <v/>
      </c>
      <c r="P1204" s="7" t="str">
        <f>IFERROR(VLOOKUP(Tabela3[[#This Row],[Categoria]],Cadastros!A:C,3,0),"")</f>
        <v/>
      </c>
      <c r="Q1204" s="9" t="str">
        <f ca="1">IFERROR(Tabela3[[#This Row],[Vida útil]]-Tabela3[[#This Row],[Idade]],"")</f>
        <v/>
      </c>
      <c r="R1204" s="8" t="str">
        <f ca="1">IFERROR(Tabela3[[#This Row],[Valor]]-(Tabela3[[#This Row],[Valor]]*(Tabela3[[#This Row],[Idade]]*VLOOKUP(Tabela3[[#This Row],[Categoria]],Cadastros!A:B,2,0))),"")</f>
        <v/>
      </c>
    </row>
    <row r="1205" spans="4:18" x14ac:dyDescent="0.25">
      <c r="D1205" s="5"/>
      <c r="N1205" s="6" t="str">
        <f>IFERROR(Tabela3[[#This Row],[Última revisão do bem]]+(VLOOKUP(Tabela3[[#This Row],[Categoria]],Cadastros!A:D,4,0)+365),"")</f>
        <v/>
      </c>
      <c r="O1205" s="7" t="str">
        <f ca="1">IF(Tabela3[[#This Row],[Data da compra]]&gt;0,(TODAY()-Tabela3[[#This Row],[Data da compra]])/365,"")</f>
        <v/>
      </c>
      <c r="P1205" s="7" t="str">
        <f>IFERROR(VLOOKUP(Tabela3[[#This Row],[Categoria]],Cadastros!A:C,3,0),"")</f>
        <v/>
      </c>
      <c r="Q1205" s="9" t="str">
        <f ca="1">IFERROR(Tabela3[[#This Row],[Vida útil]]-Tabela3[[#This Row],[Idade]],"")</f>
        <v/>
      </c>
      <c r="R1205" s="8" t="str">
        <f ca="1">IFERROR(Tabela3[[#This Row],[Valor]]-(Tabela3[[#This Row],[Valor]]*(Tabela3[[#This Row],[Idade]]*VLOOKUP(Tabela3[[#This Row],[Categoria]],Cadastros!A:B,2,0))),"")</f>
        <v/>
      </c>
    </row>
    <row r="1206" spans="4:18" x14ac:dyDescent="0.25">
      <c r="D1206" s="5"/>
      <c r="N1206" s="6" t="str">
        <f>IFERROR(Tabela3[[#This Row],[Última revisão do bem]]+(VLOOKUP(Tabela3[[#This Row],[Categoria]],Cadastros!A:D,4,0)+365),"")</f>
        <v/>
      </c>
      <c r="O1206" s="7" t="str">
        <f ca="1">IF(Tabela3[[#This Row],[Data da compra]]&gt;0,(TODAY()-Tabela3[[#This Row],[Data da compra]])/365,"")</f>
        <v/>
      </c>
      <c r="P1206" s="7" t="str">
        <f>IFERROR(VLOOKUP(Tabela3[[#This Row],[Categoria]],Cadastros!A:C,3,0),"")</f>
        <v/>
      </c>
      <c r="Q1206" s="9" t="str">
        <f ca="1">IFERROR(Tabela3[[#This Row],[Vida útil]]-Tabela3[[#This Row],[Idade]],"")</f>
        <v/>
      </c>
      <c r="R1206" s="8" t="str">
        <f ca="1">IFERROR(Tabela3[[#This Row],[Valor]]-(Tabela3[[#This Row],[Valor]]*(Tabela3[[#This Row],[Idade]]*VLOOKUP(Tabela3[[#This Row],[Categoria]],Cadastros!A:B,2,0))),"")</f>
        <v/>
      </c>
    </row>
    <row r="1207" spans="4:18" x14ac:dyDescent="0.25">
      <c r="D1207" s="5"/>
      <c r="N1207" s="6" t="str">
        <f>IFERROR(Tabela3[[#This Row],[Última revisão do bem]]+(VLOOKUP(Tabela3[[#This Row],[Categoria]],Cadastros!A:D,4,0)+365),"")</f>
        <v/>
      </c>
      <c r="O1207" s="7" t="str">
        <f ca="1">IF(Tabela3[[#This Row],[Data da compra]]&gt;0,(TODAY()-Tabela3[[#This Row],[Data da compra]])/365,"")</f>
        <v/>
      </c>
      <c r="P1207" s="7" t="str">
        <f>IFERROR(VLOOKUP(Tabela3[[#This Row],[Categoria]],Cadastros!A:C,3,0),"")</f>
        <v/>
      </c>
      <c r="Q1207" s="9" t="str">
        <f ca="1">IFERROR(Tabela3[[#This Row],[Vida útil]]-Tabela3[[#This Row],[Idade]],"")</f>
        <v/>
      </c>
      <c r="R1207" s="8" t="str">
        <f ca="1">IFERROR(Tabela3[[#This Row],[Valor]]-(Tabela3[[#This Row],[Valor]]*(Tabela3[[#This Row],[Idade]]*VLOOKUP(Tabela3[[#This Row],[Categoria]],Cadastros!A:B,2,0))),"")</f>
        <v/>
      </c>
    </row>
    <row r="1208" spans="4:18" x14ac:dyDescent="0.25">
      <c r="D1208" s="5"/>
      <c r="N1208" s="6" t="str">
        <f>IFERROR(Tabela3[[#This Row],[Última revisão do bem]]+(VLOOKUP(Tabela3[[#This Row],[Categoria]],Cadastros!A:D,4,0)+365),"")</f>
        <v/>
      </c>
      <c r="O1208" s="7" t="str">
        <f ca="1">IF(Tabela3[[#This Row],[Data da compra]]&gt;0,(TODAY()-Tabela3[[#This Row],[Data da compra]])/365,"")</f>
        <v/>
      </c>
      <c r="P1208" s="7" t="str">
        <f>IFERROR(VLOOKUP(Tabela3[[#This Row],[Categoria]],Cadastros!A:C,3,0),"")</f>
        <v/>
      </c>
      <c r="Q1208" s="9" t="str">
        <f ca="1">IFERROR(Tabela3[[#This Row],[Vida útil]]-Tabela3[[#This Row],[Idade]],"")</f>
        <v/>
      </c>
      <c r="R1208" s="8" t="str">
        <f ca="1">IFERROR(Tabela3[[#This Row],[Valor]]-(Tabela3[[#This Row],[Valor]]*(Tabela3[[#This Row],[Idade]]*VLOOKUP(Tabela3[[#This Row],[Categoria]],Cadastros!A:B,2,0))),"")</f>
        <v/>
      </c>
    </row>
    <row r="1209" spans="4:18" x14ac:dyDescent="0.25">
      <c r="D1209" s="5"/>
      <c r="N1209" s="6" t="str">
        <f>IFERROR(Tabela3[[#This Row],[Última revisão do bem]]+(VLOOKUP(Tabela3[[#This Row],[Categoria]],Cadastros!A:D,4,0)+365),"")</f>
        <v/>
      </c>
      <c r="O1209" s="7" t="str">
        <f ca="1">IF(Tabela3[[#This Row],[Data da compra]]&gt;0,(TODAY()-Tabela3[[#This Row],[Data da compra]])/365,"")</f>
        <v/>
      </c>
      <c r="P1209" s="7" t="str">
        <f>IFERROR(VLOOKUP(Tabela3[[#This Row],[Categoria]],Cadastros!A:C,3,0),"")</f>
        <v/>
      </c>
      <c r="Q1209" s="9" t="str">
        <f ca="1">IFERROR(Tabela3[[#This Row],[Vida útil]]-Tabela3[[#This Row],[Idade]],"")</f>
        <v/>
      </c>
      <c r="R1209" s="8" t="str">
        <f ca="1">IFERROR(Tabela3[[#This Row],[Valor]]-(Tabela3[[#This Row],[Valor]]*(Tabela3[[#This Row],[Idade]]*VLOOKUP(Tabela3[[#This Row],[Categoria]],Cadastros!A:B,2,0))),"")</f>
        <v/>
      </c>
    </row>
    <row r="1210" spans="4:18" x14ac:dyDescent="0.25">
      <c r="D1210" s="5"/>
      <c r="N1210" s="6" t="str">
        <f>IFERROR(Tabela3[[#This Row],[Última revisão do bem]]+(VLOOKUP(Tabela3[[#This Row],[Categoria]],Cadastros!A:D,4,0)+365),"")</f>
        <v/>
      </c>
      <c r="O1210" s="7" t="str">
        <f ca="1">IF(Tabela3[[#This Row],[Data da compra]]&gt;0,(TODAY()-Tabela3[[#This Row],[Data da compra]])/365,"")</f>
        <v/>
      </c>
      <c r="P1210" s="7" t="str">
        <f>IFERROR(VLOOKUP(Tabela3[[#This Row],[Categoria]],Cadastros!A:C,3,0),"")</f>
        <v/>
      </c>
      <c r="Q1210" s="9" t="str">
        <f ca="1">IFERROR(Tabela3[[#This Row],[Vida útil]]-Tabela3[[#This Row],[Idade]],"")</f>
        <v/>
      </c>
      <c r="R1210" s="8" t="str">
        <f ca="1">IFERROR(Tabela3[[#This Row],[Valor]]-(Tabela3[[#This Row],[Valor]]*(Tabela3[[#This Row],[Idade]]*VLOOKUP(Tabela3[[#This Row],[Categoria]],Cadastros!A:B,2,0))),"")</f>
        <v/>
      </c>
    </row>
    <row r="1211" spans="4:18" x14ac:dyDescent="0.25">
      <c r="D1211" s="5"/>
      <c r="N1211" s="6" t="str">
        <f>IFERROR(Tabela3[[#This Row],[Última revisão do bem]]+(VLOOKUP(Tabela3[[#This Row],[Categoria]],Cadastros!A:D,4,0)+365),"")</f>
        <v/>
      </c>
      <c r="O1211" s="7" t="str">
        <f ca="1">IF(Tabela3[[#This Row],[Data da compra]]&gt;0,(TODAY()-Tabela3[[#This Row],[Data da compra]])/365,"")</f>
        <v/>
      </c>
      <c r="P1211" s="7" t="str">
        <f>IFERROR(VLOOKUP(Tabela3[[#This Row],[Categoria]],Cadastros!A:C,3,0),"")</f>
        <v/>
      </c>
      <c r="Q1211" s="9" t="str">
        <f ca="1">IFERROR(Tabela3[[#This Row],[Vida útil]]-Tabela3[[#This Row],[Idade]],"")</f>
        <v/>
      </c>
      <c r="R1211" s="8" t="str">
        <f ca="1">IFERROR(Tabela3[[#This Row],[Valor]]-(Tabela3[[#This Row],[Valor]]*(Tabela3[[#This Row],[Idade]]*VLOOKUP(Tabela3[[#This Row],[Categoria]],Cadastros!A:B,2,0))),"")</f>
        <v/>
      </c>
    </row>
    <row r="1212" spans="4:18" x14ac:dyDescent="0.25">
      <c r="D1212" s="22"/>
      <c r="N1212" s="6" t="str">
        <f>IFERROR(Tabela3[[#This Row],[Última revisão do bem]]+(VLOOKUP(Tabela3[[#This Row],[Categoria]],Cadastros!A:D,4,0)+365),"")</f>
        <v/>
      </c>
      <c r="O1212" s="7" t="str">
        <f ca="1">IF(Tabela3[[#This Row],[Data da compra]]&gt;0,(TODAY()-Tabela3[[#This Row],[Data da compra]])/365,"")</f>
        <v/>
      </c>
      <c r="P1212" s="7" t="str">
        <f>IFERROR(VLOOKUP(Tabela3[[#This Row],[Categoria]],Cadastros!A:C,3,0),"")</f>
        <v/>
      </c>
      <c r="Q1212" s="9" t="str">
        <f ca="1">IFERROR(Tabela3[[#This Row],[Vida útil]]-Tabela3[[#This Row],[Idade]],"")</f>
        <v/>
      </c>
      <c r="R1212" s="23" t="str">
        <f ca="1">IFERROR(Tabela3[[#This Row],[Valor]]-(Tabela3[[#This Row],[Valor]]*(Tabela3[[#This Row],[Idade]]*VLOOKUP(Tabela3[[#This Row],[Categoria]],Cadastros!A:B,2,0))),"")</f>
        <v/>
      </c>
    </row>
    <row r="1213" spans="4:18" x14ac:dyDescent="0.25">
      <c r="D1213" s="5"/>
      <c r="N1213" s="6" t="str">
        <f>IFERROR(Tabela3[[#This Row],[Última revisão do bem]]+(VLOOKUP(Tabela3[[#This Row],[Categoria]],Cadastros!A:D,4,0)+365),"")</f>
        <v/>
      </c>
      <c r="O1213" s="7" t="str">
        <f ca="1">IF(Tabela3[[#This Row],[Data da compra]]&gt;0,(TODAY()-Tabela3[[#This Row],[Data da compra]])/365,"")</f>
        <v/>
      </c>
      <c r="P1213" s="7" t="str">
        <f>IFERROR(VLOOKUP(Tabela3[[#This Row],[Categoria]],Cadastros!A:C,3,0),"")</f>
        <v/>
      </c>
      <c r="Q1213" s="9" t="str">
        <f ca="1">IFERROR(Tabela3[[#This Row],[Vida útil]]-Tabela3[[#This Row],[Idade]],"")</f>
        <v/>
      </c>
      <c r="R1213" s="8" t="str">
        <f ca="1">IFERROR(Tabela3[[#This Row],[Valor]]-(Tabela3[[#This Row],[Valor]]*(Tabela3[[#This Row],[Idade]]*VLOOKUP(Tabela3[[#This Row],[Categoria]],Cadastros!A:B,2,0))),"")</f>
        <v/>
      </c>
    </row>
    <row r="1214" spans="4:18" x14ac:dyDescent="0.25">
      <c r="D1214" s="5"/>
      <c r="N1214" s="6" t="str">
        <f>IFERROR(Tabela3[[#This Row],[Última revisão do bem]]+(VLOOKUP(Tabela3[[#This Row],[Categoria]],Cadastros!A:D,4,0)+365),"")</f>
        <v/>
      </c>
      <c r="O1214" s="7" t="str">
        <f ca="1">IF(Tabela3[[#This Row],[Data da compra]]&gt;0,(TODAY()-Tabela3[[#This Row],[Data da compra]])/365,"")</f>
        <v/>
      </c>
      <c r="P1214" s="7" t="str">
        <f>IFERROR(VLOOKUP(Tabela3[[#This Row],[Categoria]],Cadastros!A:C,3,0),"")</f>
        <v/>
      </c>
      <c r="Q1214" s="9" t="str">
        <f ca="1">IFERROR(Tabela3[[#This Row],[Vida útil]]-Tabela3[[#This Row],[Idade]],"")</f>
        <v/>
      </c>
      <c r="R1214" s="8" t="str">
        <f ca="1">IFERROR(Tabela3[[#This Row],[Valor]]-(Tabela3[[#This Row],[Valor]]*(Tabela3[[#This Row],[Idade]]*VLOOKUP(Tabela3[[#This Row],[Categoria]],Cadastros!A:B,2,0))),"")</f>
        <v/>
      </c>
    </row>
    <row r="1215" spans="4:18" x14ac:dyDescent="0.25">
      <c r="D1215" s="5"/>
      <c r="N1215" s="6" t="str">
        <f>IFERROR(Tabela3[[#This Row],[Última revisão do bem]]+(VLOOKUP(Tabela3[[#This Row],[Categoria]],Cadastros!A:D,4,0)+365),"")</f>
        <v/>
      </c>
      <c r="O1215" s="7" t="str">
        <f ca="1">IF(Tabela3[[#This Row],[Data da compra]]&gt;0,(TODAY()-Tabela3[[#This Row],[Data da compra]])/365,"")</f>
        <v/>
      </c>
      <c r="P1215" s="7" t="str">
        <f>IFERROR(VLOOKUP(Tabela3[[#This Row],[Categoria]],Cadastros!A:C,3,0),"")</f>
        <v/>
      </c>
      <c r="Q1215" s="9" t="str">
        <f ca="1">IFERROR(Tabela3[[#This Row],[Vida útil]]-Tabela3[[#This Row],[Idade]],"")</f>
        <v/>
      </c>
      <c r="R1215" s="8" t="str">
        <f ca="1">IFERROR(Tabela3[[#This Row],[Valor]]-(Tabela3[[#This Row],[Valor]]*(Tabela3[[#This Row],[Idade]]*VLOOKUP(Tabela3[[#This Row],[Categoria]],Cadastros!A:B,2,0))),"")</f>
        <v/>
      </c>
    </row>
    <row r="1216" spans="4:18" x14ac:dyDescent="0.25">
      <c r="D1216" s="5"/>
      <c r="N1216" s="6" t="str">
        <f>IFERROR(Tabela3[[#This Row],[Última revisão do bem]]+(VLOOKUP(Tabela3[[#This Row],[Categoria]],Cadastros!A:D,4,0)+365),"")</f>
        <v/>
      </c>
      <c r="O1216" s="7" t="str">
        <f ca="1">IF(Tabela3[[#This Row],[Data da compra]]&gt;0,(TODAY()-Tabela3[[#This Row],[Data da compra]])/365,"")</f>
        <v/>
      </c>
      <c r="P1216" s="7" t="str">
        <f>IFERROR(VLOOKUP(Tabela3[[#This Row],[Categoria]],Cadastros!A:C,3,0),"")</f>
        <v/>
      </c>
      <c r="Q1216" s="9" t="str">
        <f ca="1">IFERROR(Tabela3[[#This Row],[Vida útil]]-Tabela3[[#This Row],[Idade]],"")</f>
        <v/>
      </c>
      <c r="R1216" s="8" t="str">
        <f ca="1">IFERROR(Tabela3[[#This Row],[Valor]]-(Tabela3[[#This Row],[Valor]]*(Tabela3[[#This Row],[Idade]]*VLOOKUP(Tabela3[[#This Row],[Categoria]],Cadastros!A:B,2,0))),"")</f>
        <v/>
      </c>
    </row>
    <row r="1217" spans="4:18" x14ac:dyDescent="0.25">
      <c r="D1217" s="5"/>
      <c r="N1217" s="6" t="str">
        <f>IFERROR(Tabela3[[#This Row],[Última revisão do bem]]+(VLOOKUP(Tabela3[[#This Row],[Categoria]],Cadastros!A:D,4,0)+365),"")</f>
        <v/>
      </c>
      <c r="O1217" s="7" t="str">
        <f ca="1">IF(Tabela3[[#This Row],[Data da compra]]&gt;0,(TODAY()-Tabela3[[#This Row],[Data da compra]])/365,"")</f>
        <v/>
      </c>
      <c r="P1217" s="7" t="str">
        <f>IFERROR(VLOOKUP(Tabela3[[#This Row],[Categoria]],Cadastros!A:C,3,0),"")</f>
        <v/>
      </c>
      <c r="Q1217" s="9" t="str">
        <f ca="1">IFERROR(Tabela3[[#This Row],[Vida útil]]-Tabela3[[#This Row],[Idade]],"")</f>
        <v/>
      </c>
      <c r="R1217" s="8" t="str">
        <f ca="1">IFERROR(Tabela3[[#This Row],[Valor]]-(Tabela3[[#This Row],[Valor]]*(Tabela3[[#This Row],[Idade]]*VLOOKUP(Tabela3[[#This Row],[Categoria]],Cadastros!A:B,2,0))),"")</f>
        <v/>
      </c>
    </row>
    <row r="1218" spans="4:18" x14ac:dyDescent="0.25">
      <c r="D1218" s="5"/>
      <c r="N1218" s="6" t="str">
        <f>IFERROR(Tabela3[[#This Row],[Última revisão do bem]]+(VLOOKUP(Tabela3[[#This Row],[Categoria]],Cadastros!A:D,4,0)+365),"")</f>
        <v/>
      </c>
      <c r="O1218" s="7" t="str">
        <f ca="1">IF(Tabela3[[#This Row],[Data da compra]]&gt;0,(TODAY()-Tabela3[[#This Row],[Data da compra]])/365,"")</f>
        <v/>
      </c>
      <c r="P1218" s="7" t="str">
        <f>IFERROR(VLOOKUP(Tabela3[[#This Row],[Categoria]],Cadastros!A:C,3,0),"")</f>
        <v/>
      </c>
      <c r="Q1218" s="9" t="str">
        <f ca="1">IFERROR(Tabela3[[#This Row],[Vida útil]]-Tabela3[[#This Row],[Idade]],"")</f>
        <v/>
      </c>
      <c r="R1218" s="8" t="str">
        <f ca="1">IFERROR(Tabela3[[#This Row],[Valor]]-(Tabela3[[#This Row],[Valor]]*(Tabela3[[#This Row],[Idade]]*VLOOKUP(Tabela3[[#This Row],[Categoria]],Cadastros!A:B,2,0))),"")</f>
        <v/>
      </c>
    </row>
    <row r="1219" spans="4:18" x14ac:dyDescent="0.25">
      <c r="D1219" s="5"/>
      <c r="N1219" s="6" t="str">
        <f>IFERROR(Tabela3[[#This Row],[Última revisão do bem]]+(VLOOKUP(Tabela3[[#This Row],[Categoria]],Cadastros!A:D,4,0)+365),"")</f>
        <v/>
      </c>
      <c r="O1219" s="7" t="str">
        <f ca="1">IF(Tabela3[[#This Row],[Data da compra]]&gt;0,(TODAY()-Tabela3[[#This Row],[Data da compra]])/365,"")</f>
        <v/>
      </c>
      <c r="P1219" s="7" t="str">
        <f>IFERROR(VLOOKUP(Tabela3[[#This Row],[Categoria]],Cadastros!A:C,3,0),"")</f>
        <v/>
      </c>
      <c r="Q1219" s="9" t="str">
        <f ca="1">IFERROR(Tabela3[[#This Row],[Vida útil]]-Tabela3[[#This Row],[Idade]],"")</f>
        <v/>
      </c>
      <c r="R1219" s="8" t="str">
        <f ca="1">IFERROR(Tabela3[[#This Row],[Valor]]-(Tabela3[[#This Row],[Valor]]*(Tabela3[[#This Row],[Idade]]*VLOOKUP(Tabela3[[#This Row],[Categoria]],Cadastros!A:B,2,0))),"")</f>
        <v/>
      </c>
    </row>
    <row r="1220" spans="4:18" x14ac:dyDescent="0.25">
      <c r="D1220" s="5"/>
      <c r="N1220" s="6" t="str">
        <f>IFERROR(Tabela3[[#This Row],[Última revisão do bem]]+(VLOOKUP(Tabela3[[#This Row],[Categoria]],Cadastros!A:D,4,0)+365),"")</f>
        <v/>
      </c>
      <c r="O1220" s="7" t="str">
        <f ca="1">IF(Tabela3[[#This Row],[Data da compra]]&gt;0,(TODAY()-Tabela3[[#This Row],[Data da compra]])/365,"")</f>
        <v/>
      </c>
      <c r="P1220" s="7" t="str">
        <f>IFERROR(VLOOKUP(Tabela3[[#This Row],[Categoria]],Cadastros!A:C,3,0),"")</f>
        <v/>
      </c>
      <c r="Q1220" s="9" t="str">
        <f ca="1">IFERROR(Tabela3[[#This Row],[Vida útil]]-Tabela3[[#This Row],[Idade]],"")</f>
        <v/>
      </c>
      <c r="R1220" s="8" t="str">
        <f ca="1">IFERROR(Tabela3[[#This Row],[Valor]]-(Tabela3[[#This Row],[Valor]]*(Tabela3[[#This Row],[Idade]]*VLOOKUP(Tabela3[[#This Row],[Categoria]],Cadastros!A:B,2,0))),"")</f>
        <v/>
      </c>
    </row>
    <row r="1221" spans="4:18" x14ac:dyDescent="0.25">
      <c r="D1221" s="5"/>
      <c r="N1221" s="6" t="str">
        <f>IFERROR(Tabela3[[#This Row],[Última revisão do bem]]+(VLOOKUP(Tabela3[[#This Row],[Categoria]],Cadastros!A:D,4,0)+365),"")</f>
        <v/>
      </c>
      <c r="O1221" s="7" t="str">
        <f ca="1">IF(Tabela3[[#This Row],[Data da compra]]&gt;0,(TODAY()-Tabela3[[#This Row],[Data da compra]])/365,"")</f>
        <v/>
      </c>
      <c r="P1221" s="7" t="str">
        <f>IFERROR(VLOOKUP(Tabela3[[#This Row],[Categoria]],Cadastros!A:C,3,0),"")</f>
        <v/>
      </c>
      <c r="Q1221" s="9" t="str">
        <f ca="1">IFERROR(Tabela3[[#This Row],[Vida útil]]-Tabela3[[#This Row],[Idade]],"")</f>
        <v/>
      </c>
      <c r="R1221" s="8" t="str">
        <f ca="1">IFERROR(Tabela3[[#This Row],[Valor]]-(Tabela3[[#This Row],[Valor]]*(Tabela3[[#This Row],[Idade]]*VLOOKUP(Tabela3[[#This Row],[Categoria]],Cadastros!A:B,2,0))),"")</f>
        <v/>
      </c>
    </row>
    <row r="1222" spans="4:18" x14ac:dyDescent="0.25">
      <c r="D1222" s="5"/>
      <c r="N1222" s="6" t="str">
        <f>IFERROR(Tabela3[[#This Row],[Última revisão do bem]]+(VLOOKUP(Tabela3[[#This Row],[Categoria]],Cadastros!A:D,4,0)+365),"")</f>
        <v/>
      </c>
      <c r="O1222" s="7" t="str">
        <f ca="1">IF(Tabela3[[#This Row],[Data da compra]]&gt;0,(TODAY()-Tabela3[[#This Row],[Data da compra]])/365,"")</f>
        <v/>
      </c>
      <c r="P1222" s="7" t="str">
        <f>IFERROR(VLOOKUP(Tabela3[[#This Row],[Categoria]],Cadastros!A:C,3,0),"")</f>
        <v/>
      </c>
      <c r="Q1222" s="9" t="str">
        <f ca="1">IFERROR(Tabela3[[#This Row],[Vida útil]]-Tabela3[[#This Row],[Idade]],"")</f>
        <v/>
      </c>
      <c r="R1222" s="8" t="str">
        <f ca="1">IFERROR(Tabela3[[#This Row],[Valor]]-(Tabela3[[#This Row],[Valor]]*(Tabela3[[#This Row],[Idade]]*VLOOKUP(Tabela3[[#This Row],[Categoria]],Cadastros!A:B,2,0))),"")</f>
        <v/>
      </c>
    </row>
    <row r="1223" spans="4:18" x14ac:dyDescent="0.25">
      <c r="D1223" s="5"/>
      <c r="N1223" s="6" t="str">
        <f>IFERROR(Tabela3[[#This Row],[Última revisão do bem]]+(VLOOKUP(Tabela3[[#This Row],[Categoria]],Cadastros!A:D,4,0)+365),"")</f>
        <v/>
      </c>
      <c r="O1223" s="7" t="str">
        <f ca="1">IF(Tabela3[[#This Row],[Data da compra]]&gt;0,(TODAY()-Tabela3[[#This Row],[Data da compra]])/365,"")</f>
        <v/>
      </c>
      <c r="P1223" s="7" t="str">
        <f>IFERROR(VLOOKUP(Tabela3[[#This Row],[Categoria]],Cadastros!A:C,3,0),"")</f>
        <v/>
      </c>
      <c r="Q1223" s="9" t="str">
        <f ca="1">IFERROR(Tabela3[[#This Row],[Vida útil]]-Tabela3[[#This Row],[Idade]],"")</f>
        <v/>
      </c>
      <c r="R1223" s="8" t="str">
        <f ca="1">IFERROR(Tabela3[[#This Row],[Valor]]-(Tabela3[[#This Row],[Valor]]*(Tabela3[[#This Row],[Idade]]*VLOOKUP(Tabela3[[#This Row],[Categoria]],Cadastros!A:B,2,0))),"")</f>
        <v/>
      </c>
    </row>
    <row r="1224" spans="4:18" x14ac:dyDescent="0.25">
      <c r="D1224" s="5"/>
      <c r="N1224" s="6" t="str">
        <f>IFERROR(Tabela3[[#This Row],[Última revisão do bem]]+(VLOOKUP(Tabela3[[#This Row],[Categoria]],Cadastros!A:D,4,0)+365),"")</f>
        <v/>
      </c>
      <c r="O1224" s="7" t="str">
        <f ca="1">IF(Tabela3[[#This Row],[Data da compra]]&gt;0,(TODAY()-Tabela3[[#This Row],[Data da compra]])/365,"")</f>
        <v/>
      </c>
      <c r="P1224" s="7" t="str">
        <f>IFERROR(VLOOKUP(Tabela3[[#This Row],[Categoria]],Cadastros!A:C,3,0),"")</f>
        <v/>
      </c>
      <c r="Q1224" s="9" t="str">
        <f ca="1">IFERROR(Tabela3[[#This Row],[Vida útil]]-Tabela3[[#This Row],[Idade]],"")</f>
        <v/>
      </c>
      <c r="R1224" s="8" t="str">
        <f ca="1">IFERROR(Tabela3[[#This Row],[Valor]]-(Tabela3[[#This Row],[Valor]]*(Tabela3[[#This Row],[Idade]]*VLOOKUP(Tabela3[[#This Row],[Categoria]],Cadastros!A:B,2,0))),"")</f>
        <v/>
      </c>
    </row>
    <row r="1225" spans="4:18" x14ac:dyDescent="0.25">
      <c r="D1225" s="5"/>
      <c r="N1225" s="6" t="str">
        <f>IFERROR(Tabela3[[#This Row],[Última revisão do bem]]+(VLOOKUP(Tabela3[[#This Row],[Categoria]],Cadastros!A:D,4,0)+365),"")</f>
        <v/>
      </c>
      <c r="O1225" s="7" t="str">
        <f ca="1">IF(Tabela3[[#This Row],[Data da compra]]&gt;0,(TODAY()-Tabela3[[#This Row],[Data da compra]])/365,"")</f>
        <v/>
      </c>
      <c r="P1225" s="7" t="str">
        <f>IFERROR(VLOOKUP(Tabela3[[#This Row],[Categoria]],Cadastros!A:C,3,0),"")</f>
        <v/>
      </c>
      <c r="Q1225" s="9" t="str">
        <f ca="1">IFERROR(Tabela3[[#This Row],[Vida útil]]-Tabela3[[#This Row],[Idade]],"")</f>
        <v/>
      </c>
      <c r="R1225" s="8" t="str">
        <f ca="1">IFERROR(Tabela3[[#This Row],[Valor]]-(Tabela3[[#This Row],[Valor]]*(Tabela3[[#This Row],[Idade]]*VLOOKUP(Tabela3[[#This Row],[Categoria]],Cadastros!A:B,2,0))),"")</f>
        <v/>
      </c>
    </row>
    <row r="1226" spans="4:18" x14ac:dyDescent="0.25">
      <c r="D1226" s="5"/>
      <c r="N1226" s="6" t="str">
        <f>IFERROR(Tabela3[[#This Row],[Última revisão do bem]]+(VLOOKUP(Tabela3[[#This Row],[Categoria]],Cadastros!A:D,4,0)+365),"")</f>
        <v/>
      </c>
      <c r="O1226" s="7" t="str">
        <f ca="1">IF(Tabela3[[#This Row],[Data da compra]]&gt;0,(TODAY()-Tabela3[[#This Row],[Data da compra]])/365,"")</f>
        <v/>
      </c>
      <c r="P1226" s="7" t="str">
        <f>IFERROR(VLOOKUP(Tabela3[[#This Row],[Categoria]],Cadastros!A:C,3,0),"")</f>
        <v/>
      </c>
      <c r="Q1226" s="9" t="str">
        <f ca="1">IFERROR(Tabela3[[#This Row],[Vida útil]]-Tabela3[[#This Row],[Idade]],"")</f>
        <v/>
      </c>
      <c r="R1226" s="8" t="str">
        <f ca="1">IFERROR(Tabela3[[#This Row],[Valor]]-(Tabela3[[#This Row],[Valor]]*(Tabela3[[#This Row],[Idade]]*VLOOKUP(Tabela3[[#This Row],[Categoria]],Cadastros!A:B,2,0))),"")</f>
        <v/>
      </c>
    </row>
    <row r="1227" spans="4:18" x14ac:dyDescent="0.25">
      <c r="D1227" s="5"/>
      <c r="N1227" s="6" t="str">
        <f>IFERROR(Tabela3[[#This Row],[Última revisão do bem]]+(VLOOKUP(Tabela3[[#This Row],[Categoria]],Cadastros!A:D,4,0)+365),"")</f>
        <v/>
      </c>
      <c r="O1227" s="7" t="str">
        <f ca="1">IF(Tabela3[[#This Row],[Data da compra]]&gt;0,(TODAY()-Tabela3[[#This Row],[Data da compra]])/365,"")</f>
        <v/>
      </c>
      <c r="P1227" s="7" t="str">
        <f>IFERROR(VLOOKUP(Tabela3[[#This Row],[Categoria]],Cadastros!A:C,3,0),"")</f>
        <v/>
      </c>
      <c r="Q1227" s="9" t="str">
        <f ca="1">IFERROR(Tabela3[[#This Row],[Vida útil]]-Tabela3[[#This Row],[Idade]],"")</f>
        <v/>
      </c>
      <c r="R1227" s="8" t="str">
        <f ca="1">IFERROR(Tabela3[[#This Row],[Valor]]-(Tabela3[[#This Row],[Valor]]*(Tabela3[[#This Row],[Idade]]*VLOOKUP(Tabela3[[#This Row],[Categoria]],Cadastros!A:B,2,0))),"")</f>
        <v/>
      </c>
    </row>
    <row r="1228" spans="4:18" x14ac:dyDescent="0.25">
      <c r="D1228" s="5"/>
      <c r="N1228" s="6" t="str">
        <f>IFERROR(Tabela3[[#This Row],[Última revisão do bem]]+(VLOOKUP(Tabela3[[#This Row],[Categoria]],Cadastros!A:D,4,0)+365),"")</f>
        <v/>
      </c>
      <c r="O1228" s="7" t="str">
        <f ca="1">IF(Tabela3[[#This Row],[Data da compra]]&gt;0,(TODAY()-Tabela3[[#This Row],[Data da compra]])/365,"")</f>
        <v/>
      </c>
      <c r="P1228" s="7" t="str">
        <f>IFERROR(VLOOKUP(Tabela3[[#This Row],[Categoria]],Cadastros!A:C,3,0),"")</f>
        <v/>
      </c>
      <c r="Q1228" s="9" t="str">
        <f ca="1">IFERROR(Tabela3[[#This Row],[Vida útil]]-Tabela3[[#This Row],[Idade]],"")</f>
        <v/>
      </c>
      <c r="R1228" s="8" t="str">
        <f ca="1">IFERROR(Tabela3[[#This Row],[Valor]]-(Tabela3[[#This Row],[Valor]]*(Tabela3[[#This Row],[Idade]]*VLOOKUP(Tabela3[[#This Row],[Categoria]],Cadastros!A:B,2,0))),"")</f>
        <v/>
      </c>
    </row>
    <row r="1229" spans="4:18" x14ac:dyDescent="0.25">
      <c r="D1229" s="5"/>
      <c r="N1229" s="6" t="str">
        <f>IFERROR(Tabela3[[#This Row],[Última revisão do bem]]+(VLOOKUP(Tabela3[[#This Row],[Categoria]],Cadastros!A:D,4,0)+365),"")</f>
        <v/>
      </c>
      <c r="O1229" s="7" t="str">
        <f ca="1">IF(Tabela3[[#This Row],[Data da compra]]&gt;0,(TODAY()-Tabela3[[#This Row],[Data da compra]])/365,"")</f>
        <v/>
      </c>
      <c r="P1229" s="7" t="str">
        <f>IFERROR(VLOOKUP(Tabela3[[#This Row],[Categoria]],Cadastros!A:C,3,0),"")</f>
        <v/>
      </c>
      <c r="Q1229" s="9" t="str">
        <f ca="1">IFERROR(Tabela3[[#This Row],[Vida útil]]-Tabela3[[#This Row],[Idade]],"")</f>
        <v/>
      </c>
      <c r="R1229" s="8" t="str">
        <f ca="1">IFERROR(Tabela3[[#This Row],[Valor]]-(Tabela3[[#This Row],[Valor]]*(Tabela3[[#This Row],[Idade]]*VLOOKUP(Tabela3[[#This Row],[Categoria]],Cadastros!A:B,2,0))),"")</f>
        <v/>
      </c>
    </row>
    <row r="1230" spans="4:18" x14ac:dyDescent="0.25">
      <c r="D1230" s="22"/>
      <c r="N1230" s="6" t="str">
        <f>IFERROR(Tabela3[[#This Row],[Última revisão do bem]]+(VLOOKUP(Tabela3[[#This Row],[Categoria]],Cadastros!A:D,4,0)+365),"")</f>
        <v/>
      </c>
      <c r="O1230" s="7" t="str">
        <f ca="1">IF(Tabela3[[#This Row],[Data da compra]]&gt;0,(TODAY()-Tabela3[[#This Row],[Data da compra]])/365,"")</f>
        <v/>
      </c>
      <c r="P1230" s="7" t="str">
        <f>IFERROR(VLOOKUP(Tabela3[[#This Row],[Categoria]],Cadastros!A:C,3,0),"")</f>
        <v/>
      </c>
      <c r="Q1230" s="9" t="str">
        <f ca="1">IFERROR(Tabela3[[#This Row],[Vida útil]]-Tabela3[[#This Row],[Idade]],"")</f>
        <v/>
      </c>
      <c r="R1230" s="23" t="str">
        <f ca="1">IFERROR(Tabela3[[#This Row],[Valor]]-(Tabela3[[#This Row],[Valor]]*(Tabela3[[#This Row],[Idade]]*VLOOKUP(Tabela3[[#This Row],[Categoria]],Cadastros!A:B,2,0))),"")</f>
        <v/>
      </c>
    </row>
    <row r="1231" spans="4:18" x14ac:dyDescent="0.25">
      <c r="D1231" s="5"/>
      <c r="N1231" s="6" t="str">
        <f>IFERROR(Tabela3[[#This Row],[Última revisão do bem]]+(VLOOKUP(Tabela3[[#This Row],[Categoria]],Cadastros!A:D,4,0)+365),"")</f>
        <v/>
      </c>
      <c r="O1231" s="7" t="str">
        <f ca="1">IF(Tabela3[[#This Row],[Data da compra]]&gt;0,(TODAY()-Tabela3[[#This Row],[Data da compra]])/365,"")</f>
        <v/>
      </c>
      <c r="P1231" s="7" t="str">
        <f>IFERROR(VLOOKUP(Tabela3[[#This Row],[Categoria]],Cadastros!A:C,3,0),"")</f>
        <v/>
      </c>
      <c r="Q1231" s="9" t="str">
        <f ca="1">IFERROR(Tabela3[[#This Row],[Vida útil]]-Tabela3[[#This Row],[Idade]],"")</f>
        <v/>
      </c>
      <c r="R1231" s="8" t="str">
        <f ca="1">IFERROR(Tabela3[[#This Row],[Valor]]-(Tabela3[[#This Row],[Valor]]*(Tabela3[[#This Row],[Idade]]*VLOOKUP(Tabela3[[#This Row],[Categoria]],Cadastros!A:B,2,0))),"")</f>
        <v/>
      </c>
    </row>
    <row r="1232" spans="4:18" x14ac:dyDescent="0.25">
      <c r="D1232" s="5"/>
      <c r="N1232" s="6" t="str">
        <f>IFERROR(Tabela3[[#This Row],[Última revisão do bem]]+(VLOOKUP(Tabela3[[#This Row],[Categoria]],Cadastros!A:D,4,0)+365),"")</f>
        <v/>
      </c>
      <c r="O1232" s="7" t="str">
        <f ca="1">IF(Tabela3[[#This Row],[Data da compra]]&gt;0,(TODAY()-Tabela3[[#This Row],[Data da compra]])/365,"")</f>
        <v/>
      </c>
      <c r="P1232" s="7" t="str">
        <f>IFERROR(VLOOKUP(Tabela3[[#This Row],[Categoria]],Cadastros!A:C,3,0),"")</f>
        <v/>
      </c>
      <c r="Q1232" s="9" t="str">
        <f ca="1">IFERROR(Tabela3[[#This Row],[Vida útil]]-Tabela3[[#This Row],[Idade]],"")</f>
        <v/>
      </c>
      <c r="R1232" s="8" t="str">
        <f ca="1">IFERROR(Tabela3[[#This Row],[Valor]]-(Tabela3[[#This Row],[Valor]]*(Tabela3[[#This Row],[Idade]]*VLOOKUP(Tabela3[[#This Row],[Categoria]],Cadastros!A:B,2,0))),"")</f>
        <v/>
      </c>
    </row>
    <row r="1233" spans="4:18" x14ac:dyDescent="0.25">
      <c r="D1233" s="5"/>
      <c r="N1233" s="6" t="str">
        <f>IFERROR(Tabela3[[#This Row],[Última revisão do bem]]+(VLOOKUP(Tabela3[[#This Row],[Categoria]],Cadastros!A:D,4,0)+365),"")</f>
        <v/>
      </c>
      <c r="O1233" s="7" t="str">
        <f ca="1">IF(Tabela3[[#This Row],[Data da compra]]&gt;0,(TODAY()-Tabela3[[#This Row],[Data da compra]])/365,"")</f>
        <v/>
      </c>
      <c r="P1233" s="7" t="str">
        <f>IFERROR(VLOOKUP(Tabela3[[#This Row],[Categoria]],Cadastros!A:C,3,0),"")</f>
        <v/>
      </c>
      <c r="Q1233" s="9" t="str">
        <f ca="1">IFERROR(Tabela3[[#This Row],[Vida útil]]-Tabela3[[#This Row],[Idade]],"")</f>
        <v/>
      </c>
      <c r="R1233" s="8" t="str">
        <f ca="1">IFERROR(Tabela3[[#This Row],[Valor]]-(Tabela3[[#This Row],[Valor]]*(Tabela3[[#This Row],[Idade]]*VLOOKUP(Tabela3[[#This Row],[Categoria]],Cadastros!A:B,2,0))),"")</f>
        <v/>
      </c>
    </row>
    <row r="1234" spans="4:18" x14ac:dyDescent="0.25">
      <c r="D1234" s="5"/>
      <c r="N1234" s="6" t="str">
        <f>IFERROR(Tabela3[[#This Row],[Última revisão do bem]]+(VLOOKUP(Tabela3[[#This Row],[Categoria]],Cadastros!A:D,4,0)+365),"")</f>
        <v/>
      </c>
      <c r="O1234" s="7" t="str">
        <f ca="1">IF(Tabela3[[#This Row],[Data da compra]]&gt;0,(TODAY()-Tabela3[[#This Row],[Data da compra]])/365,"")</f>
        <v/>
      </c>
      <c r="P1234" s="7" t="str">
        <f>IFERROR(VLOOKUP(Tabela3[[#This Row],[Categoria]],Cadastros!A:C,3,0),"")</f>
        <v/>
      </c>
      <c r="Q1234" s="9" t="str">
        <f ca="1">IFERROR(Tabela3[[#This Row],[Vida útil]]-Tabela3[[#This Row],[Idade]],"")</f>
        <v/>
      </c>
      <c r="R1234" s="8" t="str">
        <f ca="1">IFERROR(Tabela3[[#This Row],[Valor]]-(Tabela3[[#This Row],[Valor]]*(Tabela3[[#This Row],[Idade]]*VLOOKUP(Tabela3[[#This Row],[Categoria]],Cadastros!A:B,2,0))),"")</f>
        <v/>
      </c>
    </row>
    <row r="1235" spans="4:18" x14ac:dyDescent="0.25">
      <c r="D1235" s="5"/>
      <c r="N1235" s="6" t="str">
        <f>IFERROR(Tabela3[[#This Row],[Última revisão do bem]]+(VLOOKUP(Tabela3[[#This Row],[Categoria]],Cadastros!A:D,4,0)+365),"")</f>
        <v/>
      </c>
      <c r="O1235" s="7" t="str">
        <f ca="1">IF(Tabela3[[#This Row],[Data da compra]]&gt;0,(TODAY()-Tabela3[[#This Row],[Data da compra]])/365,"")</f>
        <v/>
      </c>
      <c r="P1235" s="7" t="str">
        <f>IFERROR(VLOOKUP(Tabela3[[#This Row],[Categoria]],Cadastros!A:C,3,0),"")</f>
        <v/>
      </c>
      <c r="Q1235" s="9" t="str">
        <f ca="1">IFERROR(Tabela3[[#This Row],[Vida útil]]-Tabela3[[#This Row],[Idade]],"")</f>
        <v/>
      </c>
      <c r="R1235" s="8" t="str">
        <f ca="1">IFERROR(Tabela3[[#This Row],[Valor]]-(Tabela3[[#This Row],[Valor]]*(Tabela3[[#This Row],[Idade]]*VLOOKUP(Tabela3[[#This Row],[Categoria]],Cadastros!A:B,2,0))),"")</f>
        <v/>
      </c>
    </row>
    <row r="1236" spans="4:18" x14ac:dyDescent="0.25">
      <c r="D1236" s="5"/>
      <c r="N1236" s="6" t="str">
        <f>IFERROR(Tabela3[[#This Row],[Última revisão do bem]]+(VLOOKUP(Tabela3[[#This Row],[Categoria]],Cadastros!A:D,4,0)+365),"")</f>
        <v/>
      </c>
      <c r="O1236" s="7" t="str">
        <f ca="1">IF(Tabela3[[#This Row],[Data da compra]]&gt;0,(TODAY()-Tabela3[[#This Row],[Data da compra]])/365,"")</f>
        <v/>
      </c>
      <c r="P1236" s="7" t="str">
        <f>IFERROR(VLOOKUP(Tabela3[[#This Row],[Categoria]],Cadastros!A:C,3,0),"")</f>
        <v/>
      </c>
      <c r="Q1236" s="9" t="str">
        <f ca="1">IFERROR(Tabela3[[#This Row],[Vida útil]]-Tabela3[[#This Row],[Idade]],"")</f>
        <v/>
      </c>
      <c r="R1236" s="8" t="str">
        <f ca="1">IFERROR(Tabela3[[#This Row],[Valor]]-(Tabela3[[#This Row],[Valor]]*(Tabela3[[#This Row],[Idade]]*VLOOKUP(Tabela3[[#This Row],[Categoria]],Cadastros!A:B,2,0))),"")</f>
        <v/>
      </c>
    </row>
    <row r="1237" spans="4:18" x14ac:dyDescent="0.25">
      <c r="D1237" s="5"/>
      <c r="N1237" s="6" t="str">
        <f>IFERROR(Tabela3[[#This Row],[Última revisão do bem]]+(VLOOKUP(Tabela3[[#This Row],[Categoria]],Cadastros!A:D,4,0)+365),"")</f>
        <v/>
      </c>
      <c r="O1237" s="7" t="str">
        <f ca="1">IF(Tabela3[[#This Row],[Data da compra]]&gt;0,(TODAY()-Tabela3[[#This Row],[Data da compra]])/365,"")</f>
        <v/>
      </c>
      <c r="P1237" s="7" t="str">
        <f>IFERROR(VLOOKUP(Tabela3[[#This Row],[Categoria]],Cadastros!A:C,3,0),"")</f>
        <v/>
      </c>
      <c r="Q1237" s="9" t="str">
        <f ca="1">IFERROR(Tabela3[[#This Row],[Vida útil]]-Tabela3[[#This Row],[Idade]],"")</f>
        <v/>
      </c>
      <c r="R1237" s="8" t="str">
        <f ca="1">IFERROR(Tabela3[[#This Row],[Valor]]-(Tabela3[[#This Row],[Valor]]*(Tabela3[[#This Row],[Idade]]*VLOOKUP(Tabela3[[#This Row],[Categoria]],Cadastros!A:B,2,0))),"")</f>
        <v/>
      </c>
    </row>
    <row r="1238" spans="4:18" x14ac:dyDescent="0.25">
      <c r="D1238" s="5"/>
      <c r="N1238" s="6" t="str">
        <f>IFERROR(Tabela3[[#This Row],[Última revisão do bem]]+(VLOOKUP(Tabela3[[#This Row],[Categoria]],Cadastros!A:D,4,0)+365),"")</f>
        <v/>
      </c>
      <c r="O1238" s="7" t="str">
        <f ca="1">IF(Tabela3[[#This Row],[Data da compra]]&gt;0,(TODAY()-Tabela3[[#This Row],[Data da compra]])/365,"")</f>
        <v/>
      </c>
      <c r="P1238" s="7" t="str">
        <f>IFERROR(VLOOKUP(Tabela3[[#This Row],[Categoria]],Cadastros!A:C,3,0),"")</f>
        <v/>
      </c>
      <c r="Q1238" s="9" t="str">
        <f ca="1">IFERROR(Tabela3[[#This Row],[Vida útil]]-Tabela3[[#This Row],[Idade]],"")</f>
        <v/>
      </c>
      <c r="R1238" s="8" t="str">
        <f ca="1">IFERROR(Tabela3[[#This Row],[Valor]]-(Tabela3[[#This Row],[Valor]]*(Tabela3[[#This Row],[Idade]]*VLOOKUP(Tabela3[[#This Row],[Categoria]],Cadastros!A:B,2,0))),"")</f>
        <v/>
      </c>
    </row>
    <row r="1239" spans="4:18" x14ac:dyDescent="0.25">
      <c r="D1239" s="5"/>
      <c r="N1239" s="6" t="str">
        <f>IFERROR(Tabela3[[#This Row],[Última revisão do bem]]+(VLOOKUP(Tabela3[[#This Row],[Categoria]],Cadastros!A:D,4,0)+365),"")</f>
        <v/>
      </c>
      <c r="O1239" s="7" t="str">
        <f ca="1">IF(Tabela3[[#This Row],[Data da compra]]&gt;0,(TODAY()-Tabela3[[#This Row],[Data da compra]])/365,"")</f>
        <v/>
      </c>
      <c r="P1239" s="7" t="str">
        <f>IFERROR(VLOOKUP(Tabela3[[#This Row],[Categoria]],Cadastros!A:C,3,0),"")</f>
        <v/>
      </c>
      <c r="Q1239" s="9" t="str">
        <f ca="1">IFERROR(Tabela3[[#This Row],[Vida útil]]-Tabela3[[#This Row],[Idade]],"")</f>
        <v/>
      </c>
      <c r="R1239" s="8" t="str">
        <f ca="1">IFERROR(Tabela3[[#This Row],[Valor]]-(Tabela3[[#This Row],[Valor]]*(Tabela3[[#This Row],[Idade]]*VLOOKUP(Tabela3[[#This Row],[Categoria]],Cadastros!A:B,2,0))),"")</f>
        <v/>
      </c>
    </row>
    <row r="1240" spans="4:18" x14ac:dyDescent="0.25">
      <c r="D1240" s="5"/>
      <c r="N1240" s="6" t="str">
        <f>IFERROR(Tabela3[[#This Row],[Última revisão do bem]]+(VLOOKUP(Tabela3[[#This Row],[Categoria]],Cadastros!A:D,4,0)+365),"")</f>
        <v/>
      </c>
      <c r="O1240" s="7" t="str">
        <f ca="1">IF(Tabela3[[#This Row],[Data da compra]]&gt;0,(TODAY()-Tabela3[[#This Row],[Data da compra]])/365,"")</f>
        <v/>
      </c>
      <c r="P1240" s="7" t="str">
        <f>IFERROR(VLOOKUP(Tabela3[[#This Row],[Categoria]],Cadastros!A:C,3,0),"")</f>
        <v/>
      </c>
      <c r="Q1240" s="9" t="str">
        <f ca="1">IFERROR(Tabela3[[#This Row],[Vida útil]]-Tabela3[[#This Row],[Idade]],"")</f>
        <v/>
      </c>
      <c r="R1240" s="8" t="str">
        <f ca="1">IFERROR(Tabela3[[#This Row],[Valor]]-(Tabela3[[#This Row],[Valor]]*(Tabela3[[#This Row],[Idade]]*VLOOKUP(Tabela3[[#This Row],[Categoria]],Cadastros!A:B,2,0))),"")</f>
        <v/>
      </c>
    </row>
    <row r="1241" spans="4:18" x14ac:dyDescent="0.25">
      <c r="D1241" s="5"/>
      <c r="N1241" s="6" t="str">
        <f>IFERROR(Tabela3[[#This Row],[Última revisão do bem]]+(VLOOKUP(Tabela3[[#This Row],[Categoria]],Cadastros!A:D,4,0)+365),"")</f>
        <v/>
      </c>
      <c r="O1241" s="7" t="str">
        <f ca="1">IF(Tabela3[[#This Row],[Data da compra]]&gt;0,(TODAY()-Tabela3[[#This Row],[Data da compra]])/365,"")</f>
        <v/>
      </c>
      <c r="P1241" s="7" t="str">
        <f>IFERROR(VLOOKUP(Tabela3[[#This Row],[Categoria]],Cadastros!A:C,3,0),"")</f>
        <v/>
      </c>
      <c r="Q1241" s="9" t="str">
        <f ca="1">IFERROR(Tabela3[[#This Row],[Vida útil]]-Tabela3[[#This Row],[Idade]],"")</f>
        <v/>
      </c>
      <c r="R1241" s="8" t="str">
        <f ca="1">IFERROR(Tabela3[[#This Row],[Valor]]-(Tabela3[[#This Row],[Valor]]*(Tabela3[[#This Row],[Idade]]*VLOOKUP(Tabela3[[#This Row],[Categoria]],Cadastros!A:B,2,0))),"")</f>
        <v/>
      </c>
    </row>
    <row r="1242" spans="4:18" x14ac:dyDescent="0.25">
      <c r="D1242" s="5"/>
      <c r="N1242" s="6" t="str">
        <f>IFERROR(Tabela3[[#This Row],[Última revisão do bem]]+(VLOOKUP(Tabela3[[#This Row],[Categoria]],Cadastros!A:D,4,0)+365),"")</f>
        <v/>
      </c>
      <c r="O1242" s="7" t="str">
        <f ca="1">IF(Tabela3[[#This Row],[Data da compra]]&gt;0,(TODAY()-Tabela3[[#This Row],[Data da compra]])/365,"")</f>
        <v/>
      </c>
      <c r="P1242" s="7" t="str">
        <f>IFERROR(VLOOKUP(Tabela3[[#This Row],[Categoria]],Cadastros!A:C,3,0),"")</f>
        <v/>
      </c>
      <c r="Q1242" s="9" t="str">
        <f ca="1">IFERROR(Tabela3[[#This Row],[Vida útil]]-Tabela3[[#This Row],[Idade]],"")</f>
        <v/>
      </c>
      <c r="R1242" s="8" t="str">
        <f ca="1">IFERROR(Tabela3[[#This Row],[Valor]]-(Tabela3[[#This Row],[Valor]]*(Tabela3[[#This Row],[Idade]]*VLOOKUP(Tabela3[[#This Row],[Categoria]],Cadastros!A:B,2,0))),"")</f>
        <v/>
      </c>
    </row>
    <row r="1243" spans="4:18" x14ac:dyDescent="0.25">
      <c r="D1243" s="5"/>
      <c r="N1243" s="6" t="str">
        <f>IFERROR(Tabela3[[#This Row],[Última revisão do bem]]+(VLOOKUP(Tabela3[[#This Row],[Categoria]],Cadastros!A:D,4,0)+365),"")</f>
        <v/>
      </c>
      <c r="O1243" s="7" t="str">
        <f ca="1">IF(Tabela3[[#This Row],[Data da compra]]&gt;0,(TODAY()-Tabela3[[#This Row],[Data da compra]])/365,"")</f>
        <v/>
      </c>
      <c r="P1243" s="7" t="str">
        <f>IFERROR(VLOOKUP(Tabela3[[#This Row],[Categoria]],Cadastros!A:C,3,0),"")</f>
        <v/>
      </c>
      <c r="Q1243" s="9" t="str">
        <f ca="1">IFERROR(Tabela3[[#This Row],[Vida útil]]-Tabela3[[#This Row],[Idade]],"")</f>
        <v/>
      </c>
      <c r="R1243" s="8" t="str">
        <f ca="1">IFERROR(Tabela3[[#This Row],[Valor]]-(Tabela3[[#This Row],[Valor]]*(Tabela3[[#This Row],[Idade]]*VLOOKUP(Tabela3[[#This Row],[Categoria]],Cadastros!A:B,2,0))),"")</f>
        <v/>
      </c>
    </row>
    <row r="1244" spans="4:18" x14ac:dyDescent="0.25">
      <c r="D1244" s="5"/>
      <c r="N1244" s="6" t="str">
        <f>IFERROR(Tabela3[[#This Row],[Última revisão do bem]]+(VLOOKUP(Tabela3[[#This Row],[Categoria]],Cadastros!A:D,4,0)+365),"")</f>
        <v/>
      </c>
      <c r="O1244" s="7" t="str">
        <f ca="1">IF(Tabela3[[#This Row],[Data da compra]]&gt;0,(TODAY()-Tabela3[[#This Row],[Data da compra]])/365,"")</f>
        <v/>
      </c>
      <c r="P1244" s="7" t="str">
        <f>IFERROR(VLOOKUP(Tabela3[[#This Row],[Categoria]],Cadastros!A:C,3,0),"")</f>
        <v/>
      </c>
      <c r="Q1244" s="9" t="str">
        <f ca="1">IFERROR(Tabela3[[#This Row],[Vida útil]]-Tabela3[[#This Row],[Idade]],"")</f>
        <v/>
      </c>
      <c r="R1244" s="8" t="str">
        <f ca="1">IFERROR(Tabela3[[#This Row],[Valor]]-(Tabela3[[#This Row],[Valor]]*(Tabela3[[#This Row],[Idade]]*VLOOKUP(Tabela3[[#This Row],[Categoria]],Cadastros!A:B,2,0))),"")</f>
        <v/>
      </c>
    </row>
    <row r="1245" spans="4:18" x14ac:dyDescent="0.25">
      <c r="D1245" s="5"/>
      <c r="N1245" s="6" t="str">
        <f>IFERROR(Tabela3[[#This Row],[Última revisão do bem]]+(VLOOKUP(Tabela3[[#This Row],[Categoria]],Cadastros!A:D,4,0)+365),"")</f>
        <v/>
      </c>
      <c r="O1245" s="7" t="str">
        <f ca="1">IF(Tabela3[[#This Row],[Data da compra]]&gt;0,(TODAY()-Tabela3[[#This Row],[Data da compra]])/365,"")</f>
        <v/>
      </c>
      <c r="P1245" s="7" t="str">
        <f>IFERROR(VLOOKUP(Tabela3[[#This Row],[Categoria]],Cadastros!A:C,3,0),"")</f>
        <v/>
      </c>
      <c r="Q1245" s="9" t="str">
        <f ca="1">IFERROR(Tabela3[[#This Row],[Vida útil]]-Tabela3[[#This Row],[Idade]],"")</f>
        <v/>
      </c>
      <c r="R1245" s="8" t="str">
        <f ca="1">IFERROR(Tabela3[[#This Row],[Valor]]-(Tabela3[[#This Row],[Valor]]*(Tabela3[[#This Row],[Idade]]*VLOOKUP(Tabela3[[#This Row],[Categoria]],Cadastros!A:B,2,0))),"")</f>
        <v/>
      </c>
    </row>
    <row r="1246" spans="4:18" x14ac:dyDescent="0.25">
      <c r="D1246" s="5"/>
      <c r="N1246" s="6" t="str">
        <f>IFERROR(Tabela3[[#This Row],[Última revisão do bem]]+(VLOOKUP(Tabela3[[#This Row],[Categoria]],Cadastros!A:D,4,0)+365),"")</f>
        <v/>
      </c>
      <c r="O1246" s="7" t="str">
        <f ca="1">IF(Tabela3[[#This Row],[Data da compra]]&gt;0,(TODAY()-Tabela3[[#This Row],[Data da compra]])/365,"")</f>
        <v/>
      </c>
      <c r="P1246" s="7" t="str">
        <f>IFERROR(VLOOKUP(Tabela3[[#This Row],[Categoria]],Cadastros!A:C,3,0),"")</f>
        <v/>
      </c>
      <c r="Q1246" s="9" t="str">
        <f ca="1">IFERROR(Tabela3[[#This Row],[Vida útil]]-Tabela3[[#This Row],[Idade]],"")</f>
        <v/>
      </c>
      <c r="R1246" s="8" t="str">
        <f ca="1">IFERROR(Tabela3[[#This Row],[Valor]]-(Tabela3[[#This Row],[Valor]]*(Tabela3[[#This Row],[Idade]]*VLOOKUP(Tabela3[[#This Row],[Categoria]],Cadastros!A:B,2,0))),"")</f>
        <v/>
      </c>
    </row>
    <row r="1247" spans="4:18" x14ac:dyDescent="0.25">
      <c r="D1247" s="5"/>
      <c r="N1247" s="6" t="str">
        <f>IFERROR(Tabela3[[#This Row],[Última revisão do bem]]+(VLOOKUP(Tabela3[[#This Row],[Categoria]],Cadastros!A:D,4,0)+365),"")</f>
        <v/>
      </c>
      <c r="O1247" s="7" t="str">
        <f ca="1">IF(Tabela3[[#This Row],[Data da compra]]&gt;0,(TODAY()-Tabela3[[#This Row],[Data da compra]])/365,"")</f>
        <v/>
      </c>
      <c r="P1247" s="7" t="str">
        <f>IFERROR(VLOOKUP(Tabela3[[#This Row],[Categoria]],Cadastros!A:C,3,0),"")</f>
        <v/>
      </c>
      <c r="Q1247" s="9" t="str">
        <f ca="1">IFERROR(Tabela3[[#This Row],[Vida útil]]-Tabela3[[#This Row],[Idade]],"")</f>
        <v/>
      </c>
      <c r="R1247" s="8" t="str">
        <f ca="1">IFERROR(Tabela3[[#This Row],[Valor]]-(Tabela3[[#This Row],[Valor]]*(Tabela3[[#This Row],[Idade]]*VLOOKUP(Tabela3[[#This Row],[Categoria]],Cadastros!A:B,2,0))),"")</f>
        <v/>
      </c>
    </row>
    <row r="1248" spans="4:18" x14ac:dyDescent="0.25">
      <c r="D1248" s="22"/>
      <c r="N1248" s="6" t="str">
        <f>IFERROR(Tabela3[[#This Row],[Última revisão do bem]]+(VLOOKUP(Tabela3[[#This Row],[Categoria]],Cadastros!A:D,4,0)+365),"")</f>
        <v/>
      </c>
      <c r="O1248" s="7" t="str">
        <f ca="1">IF(Tabela3[[#This Row],[Data da compra]]&gt;0,(TODAY()-Tabela3[[#This Row],[Data da compra]])/365,"")</f>
        <v/>
      </c>
      <c r="P1248" s="7" t="str">
        <f>IFERROR(VLOOKUP(Tabela3[[#This Row],[Categoria]],Cadastros!A:C,3,0),"")</f>
        <v/>
      </c>
      <c r="Q1248" s="9" t="str">
        <f ca="1">IFERROR(Tabela3[[#This Row],[Vida útil]]-Tabela3[[#This Row],[Idade]],"")</f>
        <v/>
      </c>
      <c r="R1248" s="23" t="str">
        <f ca="1">IFERROR(Tabela3[[#This Row],[Valor]]-(Tabela3[[#This Row],[Valor]]*(Tabela3[[#This Row],[Idade]]*VLOOKUP(Tabela3[[#This Row],[Categoria]],Cadastros!A:B,2,0))),"")</f>
        <v/>
      </c>
    </row>
    <row r="1249" spans="4:18" x14ac:dyDescent="0.25">
      <c r="D1249" s="5"/>
      <c r="N1249" s="6" t="str">
        <f>IFERROR(Tabela3[[#This Row],[Última revisão do bem]]+(VLOOKUP(Tabela3[[#This Row],[Categoria]],Cadastros!A:D,4,0)+365),"")</f>
        <v/>
      </c>
      <c r="O1249" s="7" t="str">
        <f ca="1">IF(Tabela3[[#This Row],[Data da compra]]&gt;0,(TODAY()-Tabela3[[#This Row],[Data da compra]])/365,"")</f>
        <v/>
      </c>
      <c r="P1249" s="7" t="str">
        <f>IFERROR(VLOOKUP(Tabela3[[#This Row],[Categoria]],Cadastros!A:C,3,0),"")</f>
        <v/>
      </c>
      <c r="Q1249" s="9" t="str">
        <f ca="1">IFERROR(Tabela3[[#This Row],[Vida útil]]-Tabela3[[#This Row],[Idade]],"")</f>
        <v/>
      </c>
      <c r="R1249" s="8" t="str">
        <f ca="1">IFERROR(Tabela3[[#This Row],[Valor]]-(Tabela3[[#This Row],[Valor]]*(Tabela3[[#This Row],[Idade]]*VLOOKUP(Tabela3[[#This Row],[Categoria]],Cadastros!A:B,2,0))),"")</f>
        <v/>
      </c>
    </row>
    <row r="1250" spans="4:18" x14ac:dyDescent="0.25">
      <c r="D1250" s="5"/>
      <c r="N1250" s="6" t="str">
        <f>IFERROR(Tabela3[[#This Row],[Última revisão do bem]]+(VLOOKUP(Tabela3[[#This Row],[Categoria]],Cadastros!A:D,4,0)+365),"")</f>
        <v/>
      </c>
      <c r="O1250" s="7" t="str">
        <f ca="1">IF(Tabela3[[#This Row],[Data da compra]]&gt;0,(TODAY()-Tabela3[[#This Row],[Data da compra]])/365,"")</f>
        <v/>
      </c>
      <c r="P1250" s="7" t="str">
        <f>IFERROR(VLOOKUP(Tabela3[[#This Row],[Categoria]],Cadastros!A:C,3,0),"")</f>
        <v/>
      </c>
      <c r="Q1250" s="9" t="str">
        <f ca="1">IFERROR(Tabela3[[#This Row],[Vida útil]]-Tabela3[[#This Row],[Idade]],"")</f>
        <v/>
      </c>
      <c r="R1250" s="8" t="str">
        <f ca="1">IFERROR(Tabela3[[#This Row],[Valor]]-(Tabela3[[#This Row],[Valor]]*(Tabela3[[#This Row],[Idade]]*VLOOKUP(Tabela3[[#This Row],[Categoria]],Cadastros!A:B,2,0))),"")</f>
        <v/>
      </c>
    </row>
    <row r="1251" spans="4:18" x14ac:dyDescent="0.25">
      <c r="D1251" s="5"/>
      <c r="N1251" s="6" t="str">
        <f>IFERROR(Tabela3[[#This Row],[Última revisão do bem]]+(VLOOKUP(Tabela3[[#This Row],[Categoria]],Cadastros!A:D,4,0)+365),"")</f>
        <v/>
      </c>
      <c r="O1251" s="7" t="str">
        <f ca="1">IF(Tabela3[[#This Row],[Data da compra]]&gt;0,(TODAY()-Tabela3[[#This Row],[Data da compra]])/365,"")</f>
        <v/>
      </c>
      <c r="P1251" s="7" t="str">
        <f>IFERROR(VLOOKUP(Tabela3[[#This Row],[Categoria]],Cadastros!A:C,3,0),"")</f>
        <v/>
      </c>
      <c r="Q1251" s="9" t="str">
        <f ca="1">IFERROR(Tabela3[[#This Row],[Vida útil]]-Tabela3[[#This Row],[Idade]],"")</f>
        <v/>
      </c>
      <c r="R1251" s="8" t="str">
        <f ca="1">IFERROR(Tabela3[[#This Row],[Valor]]-(Tabela3[[#This Row],[Valor]]*(Tabela3[[#This Row],[Idade]]*VLOOKUP(Tabela3[[#This Row],[Categoria]],Cadastros!A:B,2,0))),"")</f>
        <v/>
      </c>
    </row>
    <row r="1252" spans="4:18" x14ac:dyDescent="0.25">
      <c r="D1252" s="5"/>
      <c r="N1252" s="6" t="str">
        <f>IFERROR(Tabela3[[#This Row],[Última revisão do bem]]+(VLOOKUP(Tabela3[[#This Row],[Categoria]],Cadastros!A:D,4,0)+365),"")</f>
        <v/>
      </c>
      <c r="O1252" s="7" t="str">
        <f ca="1">IF(Tabela3[[#This Row],[Data da compra]]&gt;0,(TODAY()-Tabela3[[#This Row],[Data da compra]])/365,"")</f>
        <v/>
      </c>
      <c r="P1252" s="7" t="str">
        <f>IFERROR(VLOOKUP(Tabela3[[#This Row],[Categoria]],Cadastros!A:C,3,0),"")</f>
        <v/>
      </c>
      <c r="Q1252" s="9" t="str">
        <f ca="1">IFERROR(Tabela3[[#This Row],[Vida útil]]-Tabela3[[#This Row],[Idade]],"")</f>
        <v/>
      </c>
      <c r="R1252" s="8" t="str">
        <f ca="1">IFERROR(Tabela3[[#This Row],[Valor]]-(Tabela3[[#This Row],[Valor]]*(Tabela3[[#This Row],[Idade]]*VLOOKUP(Tabela3[[#This Row],[Categoria]],Cadastros!A:B,2,0))),"")</f>
        <v/>
      </c>
    </row>
    <row r="1253" spans="4:18" x14ac:dyDescent="0.25">
      <c r="D1253" s="5"/>
      <c r="N1253" s="6" t="str">
        <f>IFERROR(Tabela3[[#This Row],[Última revisão do bem]]+(VLOOKUP(Tabela3[[#This Row],[Categoria]],Cadastros!A:D,4,0)+365),"")</f>
        <v/>
      </c>
      <c r="O1253" s="7" t="str">
        <f ca="1">IF(Tabela3[[#This Row],[Data da compra]]&gt;0,(TODAY()-Tabela3[[#This Row],[Data da compra]])/365,"")</f>
        <v/>
      </c>
      <c r="P1253" s="7" t="str">
        <f>IFERROR(VLOOKUP(Tabela3[[#This Row],[Categoria]],Cadastros!A:C,3,0),"")</f>
        <v/>
      </c>
      <c r="Q1253" s="9" t="str">
        <f ca="1">IFERROR(Tabela3[[#This Row],[Vida útil]]-Tabela3[[#This Row],[Idade]],"")</f>
        <v/>
      </c>
      <c r="R1253" s="8" t="str">
        <f ca="1">IFERROR(Tabela3[[#This Row],[Valor]]-(Tabela3[[#This Row],[Valor]]*(Tabela3[[#This Row],[Idade]]*VLOOKUP(Tabela3[[#This Row],[Categoria]],Cadastros!A:B,2,0))),"")</f>
        <v/>
      </c>
    </row>
    <row r="1254" spans="4:18" x14ac:dyDescent="0.25">
      <c r="D1254" s="5"/>
      <c r="N1254" s="6" t="str">
        <f>IFERROR(Tabela3[[#This Row],[Última revisão do bem]]+(VLOOKUP(Tabela3[[#This Row],[Categoria]],Cadastros!A:D,4,0)+365),"")</f>
        <v/>
      </c>
      <c r="O1254" s="7" t="str">
        <f ca="1">IF(Tabela3[[#This Row],[Data da compra]]&gt;0,(TODAY()-Tabela3[[#This Row],[Data da compra]])/365,"")</f>
        <v/>
      </c>
      <c r="P1254" s="7" t="str">
        <f>IFERROR(VLOOKUP(Tabela3[[#This Row],[Categoria]],Cadastros!A:C,3,0),"")</f>
        <v/>
      </c>
      <c r="Q1254" s="9" t="str">
        <f ca="1">IFERROR(Tabela3[[#This Row],[Vida útil]]-Tabela3[[#This Row],[Idade]],"")</f>
        <v/>
      </c>
      <c r="R1254" s="8" t="str">
        <f ca="1">IFERROR(Tabela3[[#This Row],[Valor]]-(Tabela3[[#This Row],[Valor]]*(Tabela3[[#This Row],[Idade]]*VLOOKUP(Tabela3[[#This Row],[Categoria]],Cadastros!A:B,2,0))),"")</f>
        <v/>
      </c>
    </row>
    <row r="1255" spans="4:18" x14ac:dyDescent="0.25">
      <c r="D1255" s="5"/>
      <c r="N1255" s="6" t="str">
        <f>IFERROR(Tabela3[[#This Row],[Última revisão do bem]]+(VLOOKUP(Tabela3[[#This Row],[Categoria]],Cadastros!A:D,4,0)+365),"")</f>
        <v/>
      </c>
      <c r="O1255" s="7" t="str">
        <f ca="1">IF(Tabela3[[#This Row],[Data da compra]]&gt;0,(TODAY()-Tabela3[[#This Row],[Data da compra]])/365,"")</f>
        <v/>
      </c>
      <c r="P1255" s="7" t="str">
        <f>IFERROR(VLOOKUP(Tabela3[[#This Row],[Categoria]],Cadastros!A:C,3,0),"")</f>
        <v/>
      </c>
      <c r="Q1255" s="9" t="str">
        <f ca="1">IFERROR(Tabela3[[#This Row],[Vida útil]]-Tabela3[[#This Row],[Idade]],"")</f>
        <v/>
      </c>
      <c r="R1255" s="8" t="str">
        <f ca="1">IFERROR(Tabela3[[#This Row],[Valor]]-(Tabela3[[#This Row],[Valor]]*(Tabela3[[#This Row],[Idade]]*VLOOKUP(Tabela3[[#This Row],[Categoria]],Cadastros!A:B,2,0))),"")</f>
        <v/>
      </c>
    </row>
    <row r="1256" spans="4:18" x14ac:dyDescent="0.25">
      <c r="D1256" s="5"/>
      <c r="N1256" s="6" t="str">
        <f>IFERROR(Tabela3[[#This Row],[Última revisão do bem]]+(VLOOKUP(Tabela3[[#This Row],[Categoria]],Cadastros!A:D,4,0)+365),"")</f>
        <v/>
      </c>
      <c r="O1256" s="7" t="str">
        <f ca="1">IF(Tabela3[[#This Row],[Data da compra]]&gt;0,(TODAY()-Tabela3[[#This Row],[Data da compra]])/365,"")</f>
        <v/>
      </c>
      <c r="P1256" s="7" t="str">
        <f>IFERROR(VLOOKUP(Tabela3[[#This Row],[Categoria]],Cadastros!A:C,3,0),"")</f>
        <v/>
      </c>
      <c r="Q1256" s="9" t="str">
        <f ca="1">IFERROR(Tabela3[[#This Row],[Vida útil]]-Tabela3[[#This Row],[Idade]],"")</f>
        <v/>
      </c>
      <c r="R1256" s="8" t="str">
        <f ca="1">IFERROR(Tabela3[[#This Row],[Valor]]-(Tabela3[[#This Row],[Valor]]*(Tabela3[[#This Row],[Idade]]*VLOOKUP(Tabela3[[#This Row],[Categoria]],Cadastros!A:B,2,0))),"")</f>
        <v/>
      </c>
    </row>
    <row r="1257" spans="4:18" x14ac:dyDescent="0.25">
      <c r="D1257" s="5"/>
      <c r="N1257" s="6" t="str">
        <f>IFERROR(Tabela3[[#This Row],[Última revisão do bem]]+(VLOOKUP(Tabela3[[#This Row],[Categoria]],Cadastros!A:D,4,0)+365),"")</f>
        <v/>
      </c>
      <c r="O1257" s="7" t="str">
        <f ca="1">IF(Tabela3[[#This Row],[Data da compra]]&gt;0,(TODAY()-Tabela3[[#This Row],[Data da compra]])/365,"")</f>
        <v/>
      </c>
      <c r="P1257" s="7" t="str">
        <f>IFERROR(VLOOKUP(Tabela3[[#This Row],[Categoria]],Cadastros!A:C,3,0),"")</f>
        <v/>
      </c>
      <c r="Q1257" s="9" t="str">
        <f ca="1">IFERROR(Tabela3[[#This Row],[Vida útil]]-Tabela3[[#This Row],[Idade]],"")</f>
        <v/>
      </c>
      <c r="R1257" s="8" t="str">
        <f ca="1">IFERROR(Tabela3[[#This Row],[Valor]]-(Tabela3[[#This Row],[Valor]]*(Tabela3[[#This Row],[Idade]]*VLOOKUP(Tabela3[[#This Row],[Categoria]],Cadastros!A:B,2,0))),"")</f>
        <v/>
      </c>
    </row>
    <row r="1258" spans="4:18" x14ac:dyDescent="0.25">
      <c r="D1258" s="5"/>
      <c r="N1258" s="6" t="str">
        <f>IFERROR(Tabela3[[#This Row],[Última revisão do bem]]+(VLOOKUP(Tabela3[[#This Row],[Categoria]],Cadastros!A:D,4,0)+365),"")</f>
        <v/>
      </c>
      <c r="O1258" s="7" t="str">
        <f ca="1">IF(Tabela3[[#This Row],[Data da compra]]&gt;0,(TODAY()-Tabela3[[#This Row],[Data da compra]])/365,"")</f>
        <v/>
      </c>
      <c r="P1258" s="7" t="str">
        <f>IFERROR(VLOOKUP(Tabela3[[#This Row],[Categoria]],Cadastros!A:C,3,0),"")</f>
        <v/>
      </c>
      <c r="Q1258" s="9" t="str">
        <f ca="1">IFERROR(Tabela3[[#This Row],[Vida útil]]-Tabela3[[#This Row],[Idade]],"")</f>
        <v/>
      </c>
      <c r="R1258" s="8" t="str">
        <f ca="1">IFERROR(Tabela3[[#This Row],[Valor]]-(Tabela3[[#This Row],[Valor]]*(Tabela3[[#This Row],[Idade]]*VLOOKUP(Tabela3[[#This Row],[Categoria]],Cadastros!A:B,2,0))),"")</f>
        <v/>
      </c>
    </row>
    <row r="1259" spans="4:18" x14ac:dyDescent="0.25">
      <c r="D1259" s="5"/>
      <c r="N1259" s="6" t="str">
        <f>IFERROR(Tabela3[[#This Row],[Última revisão do bem]]+(VLOOKUP(Tabela3[[#This Row],[Categoria]],Cadastros!A:D,4,0)+365),"")</f>
        <v/>
      </c>
      <c r="O1259" s="7" t="str">
        <f ca="1">IF(Tabela3[[#This Row],[Data da compra]]&gt;0,(TODAY()-Tabela3[[#This Row],[Data da compra]])/365,"")</f>
        <v/>
      </c>
      <c r="P1259" s="7" t="str">
        <f>IFERROR(VLOOKUP(Tabela3[[#This Row],[Categoria]],Cadastros!A:C,3,0),"")</f>
        <v/>
      </c>
      <c r="Q1259" s="9" t="str">
        <f ca="1">IFERROR(Tabela3[[#This Row],[Vida útil]]-Tabela3[[#This Row],[Idade]],"")</f>
        <v/>
      </c>
      <c r="R1259" s="8" t="str">
        <f ca="1">IFERROR(Tabela3[[#This Row],[Valor]]-(Tabela3[[#This Row],[Valor]]*(Tabela3[[#This Row],[Idade]]*VLOOKUP(Tabela3[[#This Row],[Categoria]],Cadastros!A:B,2,0))),"")</f>
        <v/>
      </c>
    </row>
    <row r="1260" spans="4:18" x14ac:dyDescent="0.25">
      <c r="D1260" s="5"/>
      <c r="N1260" s="6" t="str">
        <f>IFERROR(Tabela3[[#This Row],[Última revisão do bem]]+(VLOOKUP(Tabela3[[#This Row],[Categoria]],Cadastros!A:D,4,0)+365),"")</f>
        <v/>
      </c>
      <c r="O1260" s="7" t="str">
        <f ca="1">IF(Tabela3[[#This Row],[Data da compra]]&gt;0,(TODAY()-Tabela3[[#This Row],[Data da compra]])/365,"")</f>
        <v/>
      </c>
      <c r="P1260" s="7" t="str">
        <f>IFERROR(VLOOKUP(Tabela3[[#This Row],[Categoria]],Cadastros!A:C,3,0),"")</f>
        <v/>
      </c>
      <c r="Q1260" s="9" t="str">
        <f ca="1">IFERROR(Tabela3[[#This Row],[Vida útil]]-Tabela3[[#This Row],[Idade]],"")</f>
        <v/>
      </c>
      <c r="R1260" s="8" t="str">
        <f ca="1">IFERROR(Tabela3[[#This Row],[Valor]]-(Tabela3[[#This Row],[Valor]]*(Tabela3[[#This Row],[Idade]]*VLOOKUP(Tabela3[[#This Row],[Categoria]],Cadastros!A:B,2,0))),"")</f>
        <v/>
      </c>
    </row>
    <row r="1261" spans="4:18" x14ac:dyDescent="0.25">
      <c r="D1261" s="5"/>
      <c r="N1261" s="6" t="str">
        <f>IFERROR(Tabela3[[#This Row],[Última revisão do bem]]+(VLOOKUP(Tabela3[[#This Row],[Categoria]],Cadastros!A:D,4,0)+365),"")</f>
        <v/>
      </c>
      <c r="O1261" s="7" t="str">
        <f ca="1">IF(Tabela3[[#This Row],[Data da compra]]&gt;0,(TODAY()-Tabela3[[#This Row],[Data da compra]])/365,"")</f>
        <v/>
      </c>
      <c r="P1261" s="7" t="str">
        <f>IFERROR(VLOOKUP(Tabela3[[#This Row],[Categoria]],Cadastros!A:C,3,0),"")</f>
        <v/>
      </c>
      <c r="Q1261" s="9" t="str">
        <f ca="1">IFERROR(Tabela3[[#This Row],[Vida útil]]-Tabela3[[#This Row],[Idade]],"")</f>
        <v/>
      </c>
      <c r="R1261" s="8" t="str">
        <f ca="1">IFERROR(Tabela3[[#This Row],[Valor]]-(Tabela3[[#This Row],[Valor]]*(Tabela3[[#This Row],[Idade]]*VLOOKUP(Tabela3[[#This Row],[Categoria]],Cadastros!A:B,2,0))),"")</f>
        <v/>
      </c>
    </row>
    <row r="1262" spans="4:18" x14ac:dyDescent="0.25">
      <c r="D1262" s="5"/>
      <c r="N1262" s="6" t="str">
        <f>IFERROR(Tabela3[[#This Row],[Última revisão do bem]]+(VLOOKUP(Tabela3[[#This Row],[Categoria]],Cadastros!A:D,4,0)+365),"")</f>
        <v/>
      </c>
      <c r="O1262" s="7" t="str">
        <f ca="1">IF(Tabela3[[#This Row],[Data da compra]]&gt;0,(TODAY()-Tabela3[[#This Row],[Data da compra]])/365,"")</f>
        <v/>
      </c>
      <c r="P1262" s="7" t="str">
        <f>IFERROR(VLOOKUP(Tabela3[[#This Row],[Categoria]],Cadastros!A:C,3,0),"")</f>
        <v/>
      </c>
      <c r="Q1262" s="9" t="str">
        <f ca="1">IFERROR(Tabela3[[#This Row],[Vida útil]]-Tabela3[[#This Row],[Idade]],"")</f>
        <v/>
      </c>
      <c r="R1262" s="8" t="str">
        <f ca="1">IFERROR(Tabela3[[#This Row],[Valor]]-(Tabela3[[#This Row],[Valor]]*(Tabela3[[#This Row],[Idade]]*VLOOKUP(Tabela3[[#This Row],[Categoria]],Cadastros!A:B,2,0))),"")</f>
        <v/>
      </c>
    </row>
    <row r="1263" spans="4:18" x14ac:dyDescent="0.25">
      <c r="D1263" s="5"/>
      <c r="N1263" s="6" t="str">
        <f>IFERROR(Tabela3[[#This Row],[Última revisão do bem]]+(VLOOKUP(Tabela3[[#This Row],[Categoria]],Cadastros!A:D,4,0)+365),"")</f>
        <v/>
      </c>
      <c r="O1263" s="7" t="str">
        <f ca="1">IF(Tabela3[[#This Row],[Data da compra]]&gt;0,(TODAY()-Tabela3[[#This Row],[Data da compra]])/365,"")</f>
        <v/>
      </c>
      <c r="P1263" s="7" t="str">
        <f>IFERROR(VLOOKUP(Tabela3[[#This Row],[Categoria]],Cadastros!A:C,3,0),"")</f>
        <v/>
      </c>
      <c r="Q1263" s="9" t="str">
        <f ca="1">IFERROR(Tabela3[[#This Row],[Vida útil]]-Tabela3[[#This Row],[Idade]],"")</f>
        <v/>
      </c>
      <c r="R1263" s="8" t="str">
        <f ca="1">IFERROR(Tabela3[[#This Row],[Valor]]-(Tabela3[[#This Row],[Valor]]*(Tabela3[[#This Row],[Idade]]*VLOOKUP(Tabela3[[#This Row],[Categoria]],Cadastros!A:B,2,0))),"")</f>
        <v/>
      </c>
    </row>
    <row r="1264" spans="4:18" x14ac:dyDescent="0.25">
      <c r="D1264" s="5"/>
      <c r="N1264" s="6" t="str">
        <f>IFERROR(Tabela3[[#This Row],[Última revisão do bem]]+(VLOOKUP(Tabela3[[#This Row],[Categoria]],Cadastros!A:D,4,0)+365),"")</f>
        <v/>
      </c>
      <c r="O1264" s="7" t="str">
        <f ca="1">IF(Tabela3[[#This Row],[Data da compra]]&gt;0,(TODAY()-Tabela3[[#This Row],[Data da compra]])/365,"")</f>
        <v/>
      </c>
      <c r="P1264" s="7" t="str">
        <f>IFERROR(VLOOKUP(Tabela3[[#This Row],[Categoria]],Cadastros!A:C,3,0),"")</f>
        <v/>
      </c>
      <c r="Q1264" s="9" t="str">
        <f ca="1">IFERROR(Tabela3[[#This Row],[Vida útil]]-Tabela3[[#This Row],[Idade]],"")</f>
        <v/>
      </c>
      <c r="R1264" s="8" t="str">
        <f ca="1">IFERROR(Tabela3[[#This Row],[Valor]]-(Tabela3[[#This Row],[Valor]]*(Tabela3[[#This Row],[Idade]]*VLOOKUP(Tabela3[[#This Row],[Categoria]],Cadastros!A:B,2,0))),"")</f>
        <v/>
      </c>
    </row>
    <row r="1265" spans="4:18" x14ac:dyDescent="0.25">
      <c r="D1265" s="5"/>
      <c r="N1265" s="6" t="str">
        <f>IFERROR(Tabela3[[#This Row],[Última revisão do bem]]+(VLOOKUP(Tabela3[[#This Row],[Categoria]],Cadastros!A:D,4,0)+365),"")</f>
        <v/>
      </c>
      <c r="O1265" s="7" t="str">
        <f ca="1">IF(Tabela3[[#This Row],[Data da compra]]&gt;0,(TODAY()-Tabela3[[#This Row],[Data da compra]])/365,"")</f>
        <v/>
      </c>
      <c r="P1265" s="7" t="str">
        <f>IFERROR(VLOOKUP(Tabela3[[#This Row],[Categoria]],Cadastros!A:C,3,0),"")</f>
        <v/>
      </c>
      <c r="Q1265" s="9" t="str">
        <f ca="1">IFERROR(Tabela3[[#This Row],[Vida útil]]-Tabela3[[#This Row],[Idade]],"")</f>
        <v/>
      </c>
      <c r="R1265" s="8" t="str">
        <f ca="1">IFERROR(Tabela3[[#This Row],[Valor]]-(Tabela3[[#This Row],[Valor]]*(Tabela3[[#This Row],[Idade]]*VLOOKUP(Tabela3[[#This Row],[Categoria]],Cadastros!A:B,2,0))),"")</f>
        <v/>
      </c>
    </row>
    <row r="1266" spans="4:18" x14ac:dyDescent="0.25">
      <c r="D1266" s="22"/>
      <c r="N1266" s="6" t="str">
        <f>IFERROR(Tabela3[[#This Row],[Última revisão do bem]]+(VLOOKUP(Tabela3[[#This Row],[Categoria]],Cadastros!A:D,4,0)+365),"")</f>
        <v/>
      </c>
      <c r="O1266" s="7" t="str">
        <f ca="1">IF(Tabela3[[#This Row],[Data da compra]]&gt;0,(TODAY()-Tabela3[[#This Row],[Data da compra]])/365,"")</f>
        <v/>
      </c>
      <c r="P1266" s="7" t="str">
        <f>IFERROR(VLOOKUP(Tabela3[[#This Row],[Categoria]],Cadastros!A:C,3,0),"")</f>
        <v/>
      </c>
      <c r="Q1266" s="9" t="str">
        <f ca="1">IFERROR(Tabela3[[#This Row],[Vida útil]]-Tabela3[[#This Row],[Idade]],"")</f>
        <v/>
      </c>
      <c r="R1266" s="23" t="str">
        <f ca="1">IFERROR(Tabela3[[#This Row],[Valor]]-(Tabela3[[#This Row],[Valor]]*(Tabela3[[#This Row],[Idade]]*VLOOKUP(Tabela3[[#This Row],[Categoria]],Cadastros!A:B,2,0))),"")</f>
        <v/>
      </c>
    </row>
    <row r="1267" spans="4:18" x14ac:dyDescent="0.25">
      <c r="D1267" s="5"/>
      <c r="N1267" s="6" t="str">
        <f>IFERROR(Tabela3[[#This Row],[Última revisão do bem]]+(VLOOKUP(Tabela3[[#This Row],[Categoria]],Cadastros!A:D,4,0)+365),"")</f>
        <v/>
      </c>
      <c r="O1267" s="7" t="str">
        <f ca="1">IF(Tabela3[[#This Row],[Data da compra]]&gt;0,(TODAY()-Tabela3[[#This Row],[Data da compra]])/365,"")</f>
        <v/>
      </c>
      <c r="P1267" s="7" t="str">
        <f>IFERROR(VLOOKUP(Tabela3[[#This Row],[Categoria]],Cadastros!A:C,3,0),"")</f>
        <v/>
      </c>
      <c r="Q1267" s="9" t="str">
        <f ca="1">IFERROR(Tabela3[[#This Row],[Vida útil]]-Tabela3[[#This Row],[Idade]],"")</f>
        <v/>
      </c>
      <c r="R1267" s="8" t="str">
        <f ca="1">IFERROR(Tabela3[[#This Row],[Valor]]-(Tabela3[[#This Row],[Valor]]*(Tabela3[[#This Row],[Idade]]*VLOOKUP(Tabela3[[#This Row],[Categoria]],Cadastros!A:B,2,0))),"")</f>
        <v/>
      </c>
    </row>
    <row r="1268" spans="4:18" x14ac:dyDescent="0.25">
      <c r="D1268" s="5"/>
      <c r="N1268" s="6" t="str">
        <f>IFERROR(Tabela3[[#This Row],[Última revisão do bem]]+(VLOOKUP(Tabela3[[#This Row],[Categoria]],Cadastros!A:D,4,0)+365),"")</f>
        <v/>
      </c>
      <c r="O1268" s="7" t="str">
        <f ca="1">IF(Tabela3[[#This Row],[Data da compra]]&gt;0,(TODAY()-Tabela3[[#This Row],[Data da compra]])/365,"")</f>
        <v/>
      </c>
      <c r="P1268" s="7" t="str">
        <f>IFERROR(VLOOKUP(Tabela3[[#This Row],[Categoria]],Cadastros!A:C,3,0),"")</f>
        <v/>
      </c>
      <c r="Q1268" s="9" t="str">
        <f ca="1">IFERROR(Tabela3[[#This Row],[Vida útil]]-Tabela3[[#This Row],[Idade]],"")</f>
        <v/>
      </c>
      <c r="R1268" s="8" t="str">
        <f ca="1">IFERROR(Tabela3[[#This Row],[Valor]]-(Tabela3[[#This Row],[Valor]]*(Tabela3[[#This Row],[Idade]]*VLOOKUP(Tabela3[[#This Row],[Categoria]],Cadastros!A:B,2,0))),"")</f>
        <v/>
      </c>
    </row>
    <row r="1269" spans="4:18" x14ac:dyDescent="0.25">
      <c r="D1269" s="5"/>
      <c r="N1269" s="6" t="str">
        <f>IFERROR(Tabela3[[#This Row],[Última revisão do bem]]+(VLOOKUP(Tabela3[[#This Row],[Categoria]],Cadastros!A:D,4,0)+365),"")</f>
        <v/>
      </c>
      <c r="O1269" s="7" t="str">
        <f ca="1">IF(Tabela3[[#This Row],[Data da compra]]&gt;0,(TODAY()-Tabela3[[#This Row],[Data da compra]])/365,"")</f>
        <v/>
      </c>
      <c r="P1269" s="7" t="str">
        <f>IFERROR(VLOOKUP(Tabela3[[#This Row],[Categoria]],Cadastros!A:C,3,0),"")</f>
        <v/>
      </c>
      <c r="Q1269" s="9" t="str">
        <f ca="1">IFERROR(Tabela3[[#This Row],[Vida útil]]-Tabela3[[#This Row],[Idade]],"")</f>
        <v/>
      </c>
      <c r="R1269" s="8" t="str">
        <f ca="1">IFERROR(Tabela3[[#This Row],[Valor]]-(Tabela3[[#This Row],[Valor]]*(Tabela3[[#This Row],[Idade]]*VLOOKUP(Tabela3[[#This Row],[Categoria]],Cadastros!A:B,2,0))),"")</f>
        <v/>
      </c>
    </row>
    <row r="1270" spans="4:18" x14ac:dyDescent="0.25">
      <c r="D1270" s="5"/>
      <c r="N1270" s="6" t="str">
        <f>IFERROR(Tabela3[[#This Row],[Última revisão do bem]]+(VLOOKUP(Tabela3[[#This Row],[Categoria]],Cadastros!A:D,4,0)+365),"")</f>
        <v/>
      </c>
      <c r="O1270" s="7" t="str">
        <f ca="1">IF(Tabela3[[#This Row],[Data da compra]]&gt;0,(TODAY()-Tabela3[[#This Row],[Data da compra]])/365,"")</f>
        <v/>
      </c>
      <c r="P1270" s="7" t="str">
        <f>IFERROR(VLOOKUP(Tabela3[[#This Row],[Categoria]],Cadastros!A:C,3,0),"")</f>
        <v/>
      </c>
      <c r="Q1270" s="9" t="str">
        <f ca="1">IFERROR(Tabela3[[#This Row],[Vida útil]]-Tabela3[[#This Row],[Idade]],"")</f>
        <v/>
      </c>
      <c r="R1270" s="8" t="str">
        <f ca="1">IFERROR(Tabela3[[#This Row],[Valor]]-(Tabela3[[#This Row],[Valor]]*(Tabela3[[#This Row],[Idade]]*VLOOKUP(Tabela3[[#This Row],[Categoria]],Cadastros!A:B,2,0))),"")</f>
        <v/>
      </c>
    </row>
    <row r="1271" spans="4:18" x14ac:dyDescent="0.25">
      <c r="D1271" s="5"/>
      <c r="N1271" s="6" t="str">
        <f>IFERROR(Tabela3[[#This Row],[Última revisão do bem]]+(VLOOKUP(Tabela3[[#This Row],[Categoria]],Cadastros!A:D,4,0)+365),"")</f>
        <v/>
      </c>
      <c r="O1271" s="7" t="str">
        <f ca="1">IF(Tabela3[[#This Row],[Data da compra]]&gt;0,(TODAY()-Tabela3[[#This Row],[Data da compra]])/365,"")</f>
        <v/>
      </c>
      <c r="P1271" s="7" t="str">
        <f>IFERROR(VLOOKUP(Tabela3[[#This Row],[Categoria]],Cadastros!A:C,3,0),"")</f>
        <v/>
      </c>
      <c r="Q1271" s="9" t="str">
        <f ca="1">IFERROR(Tabela3[[#This Row],[Vida útil]]-Tabela3[[#This Row],[Idade]],"")</f>
        <v/>
      </c>
      <c r="R1271" s="8" t="str">
        <f ca="1">IFERROR(Tabela3[[#This Row],[Valor]]-(Tabela3[[#This Row],[Valor]]*(Tabela3[[#This Row],[Idade]]*VLOOKUP(Tabela3[[#This Row],[Categoria]],Cadastros!A:B,2,0))),"")</f>
        <v/>
      </c>
    </row>
    <row r="1272" spans="4:18" x14ac:dyDescent="0.25">
      <c r="D1272" s="5"/>
      <c r="N1272" s="6" t="str">
        <f>IFERROR(Tabela3[[#This Row],[Última revisão do bem]]+(VLOOKUP(Tabela3[[#This Row],[Categoria]],Cadastros!A:D,4,0)+365),"")</f>
        <v/>
      </c>
      <c r="O1272" s="7" t="str">
        <f ca="1">IF(Tabela3[[#This Row],[Data da compra]]&gt;0,(TODAY()-Tabela3[[#This Row],[Data da compra]])/365,"")</f>
        <v/>
      </c>
      <c r="P1272" s="7" t="str">
        <f>IFERROR(VLOOKUP(Tabela3[[#This Row],[Categoria]],Cadastros!A:C,3,0),"")</f>
        <v/>
      </c>
      <c r="Q1272" s="9" t="str">
        <f ca="1">IFERROR(Tabela3[[#This Row],[Vida útil]]-Tabela3[[#This Row],[Idade]],"")</f>
        <v/>
      </c>
      <c r="R1272" s="8" t="str">
        <f ca="1">IFERROR(Tabela3[[#This Row],[Valor]]-(Tabela3[[#This Row],[Valor]]*(Tabela3[[#This Row],[Idade]]*VLOOKUP(Tabela3[[#This Row],[Categoria]],Cadastros!A:B,2,0))),"")</f>
        <v/>
      </c>
    </row>
    <row r="1273" spans="4:18" x14ac:dyDescent="0.25">
      <c r="D1273" s="5"/>
      <c r="N1273" s="6" t="str">
        <f>IFERROR(Tabela3[[#This Row],[Última revisão do bem]]+(VLOOKUP(Tabela3[[#This Row],[Categoria]],Cadastros!A:D,4,0)+365),"")</f>
        <v/>
      </c>
      <c r="O1273" s="7" t="str">
        <f ca="1">IF(Tabela3[[#This Row],[Data da compra]]&gt;0,(TODAY()-Tabela3[[#This Row],[Data da compra]])/365,"")</f>
        <v/>
      </c>
      <c r="P1273" s="7" t="str">
        <f>IFERROR(VLOOKUP(Tabela3[[#This Row],[Categoria]],Cadastros!A:C,3,0),"")</f>
        <v/>
      </c>
      <c r="Q1273" s="9" t="str">
        <f ca="1">IFERROR(Tabela3[[#This Row],[Vida útil]]-Tabela3[[#This Row],[Idade]],"")</f>
        <v/>
      </c>
      <c r="R1273" s="8" t="str">
        <f ca="1">IFERROR(Tabela3[[#This Row],[Valor]]-(Tabela3[[#This Row],[Valor]]*(Tabela3[[#This Row],[Idade]]*VLOOKUP(Tabela3[[#This Row],[Categoria]],Cadastros!A:B,2,0))),"")</f>
        <v/>
      </c>
    </row>
    <row r="1274" spans="4:18" x14ac:dyDescent="0.25">
      <c r="D1274" s="5"/>
      <c r="N1274" s="6" t="str">
        <f>IFERROR(Tabela3[[#This Row],[Última revisão do bem]]+(VLOOKUP(Tabela3[[#This Row],[Categoria]],Cadastros!A:D,4,0)+365),"")</f>
        <v/>
      </c>
      <c r="O1274" s="7" t="str">
        <f ca="1">IF(Tabela3[[#This Row],[Data da compra]]&gt;0,(TODAY()-Tabela3[[#This Row],[Data da compra]])/365,"")</f>
        <v/>
      </c>
      <c r="P1274" s="7" t="str">
        <f>IFERROR(VLOOKUP(Tabela3[[#This Row],[Categoria]],Cadastros!A:C,3,0),"")</f>
        <v/>
      </c>
      <c r="Q1274" s="9" t="str">
        <f ca="1">IFERROR(Tabela3[[#This Row],[Vida útil]]-Tabela3[[#This Row],[Idade]],"")</f>
        <v/>
      </c>
      <c r="R1274" s="8" t="str">
        <f ca="1">IFERROR(Tabela3[[#This Row],[Valor]]-(Tabela3[[#This Row],[Valor]]*(Tabela3[[#This Row],[Idade]]*VLOOKUP(Tabela3[[#This Row],[Categoria]],Cadastros!A:B,2,0))),"")</f>
        <v/>
      </c>
    </row>
    <row r="1275" spans="4:18" x14ac:dyDescent="0.25">
      <c r="D1275" s="5"/>
      <c r="N1275" s="6" t="str">
        <f>IFERROR(Tabela3[[#This Row],[Última revisão do bem]]+(VLOOKUP(Tabela3[[#This Row],[Categoria]],Cadastros!A:D,4,0)+365),"")</f>
        <v/>
      </c>
      <c r="O1275" s="7" t="str">
        <f ca="1">IF(Tabela3[[#This Row],[Data da compra]]&gt;0,(TODAY()-Tabela3[[#This Row],[Data da compra]])/365,"")</f>
        <v/>
      </c>
      <c r="P1275" s="7" t="str">
        <f>IFERROR(VLOOKUP(Tabela3[[#This Row],[Categoria]],Cadastros!A:C,3,0),"")</f>
        <v/>
      </c>
      <c r="Q1275" s="9" t="str">
        <f ca="1">IFERROR(Tabela3[[#This Row],[Vida útil]]-Tabela3[[#This Row],[Idade]],"")</f>
        <v/>
      </c>
      <c r="R1275" s="8" t="str">
        <f ca="1">IFERROR(Tabela3[[#This Row],[Valor]]-(Tabela3[[#This Row],[Valor]]*(Tabela3[[#This Row],[Idade]]*VLOOKUP(Tabela3[[#This Row],[Categoria]],Cadastros!A:B,2,0))),"")</f>
        <v/>
      </c>
    </row>
    <row r="1276" spans="4:18" x14ac:dyDescent="0.25">
      <c r="D1276" s="5"/>
      <c r="N1276" s="6" t="str">
        <f>IFERROR(Tabela3[[#This Row],[Última revisão do bem]]+(VLOOKUP(Tabela3[[#This Row],[Categoria]],Cadastros!A:D,4,0)+365),"")</f>
        <v/>
      </c>
      <c r="O1276" s="7" t="str">
        <f ca="1">IF(Tabela3[[#This Row],[Data da compra]]&gt;0,(TODAY()-Tabela3[[#This Row],[Data da compra]])/365,"")</f>
        <v/>
      </c>
      <c r="P1276" s="7" t="str">
        <f>IFERROR(VLOOKUP(Tabela3[[#This Row],[Categoria]],Cadastros!A:C,3,0),"")</f>
        <v/>
      </c>
      <c r="Q1276" s="9" t="str">
        <f ca="1">IFERROR(Tabela3[[#This Row],[Vida útil]]-Tabela3[[#This Row],[Idade]],"")</f>
        <v/>
      </c>
      <c r="R1276" s="8" t="str">
        <f ca="1">IFERROR(Tabela3[[#This Row],[Valor]]-(Tabela3[[#This Row],[Valor]]*(Tabela3[[#This Row],[Idade]]*VLOOKUP(Tabela3[[#This Row],[Categoria]],Cadastros!A:B,2,0))),"")</f>
        <v/>
      </c>
    </row>
    <row r="1277" spans="4:18" x14ac:dyDescent="0.25">
      <c r="D1277" s="5"/>
      <c r="N1277" s="6" t="str">
        <f>IFERROR(Tabela3[[#This Row],[Última revisão do bem]]+(VLOOKUP(Tabela3[[#This Row],[Categoria]],Cadastros!A:D,4,0)+365),"")</f>
        <v/>
      </c>
      <c r="O1277" s="7" t="str">
        <f ca="1">IF(Tabela3[[#This Row],[Data da compra]]&gt;0,(TODAY()-Tabela3[[#This Row],[Data da compra]])/365,"")</f>
        <v/>
      </c>
      <c r="P1277" s="7" t="str">
        <f>IFERROR(VLOOKUP(Tabela3[[#This Row],[Categoria]],Cadastros!A:C,3,0),"")</f>
        <v/>
      </c>
      <c r="Q1277" s="9" t="str">
        <f ca="1">IFERROR(Tabela3[[#This Row],[Vida útil]]-Tabela3[[#This Row],[Idade]],"")</f>
        <v/>
      </c>
      <c r="R1277" s="8" t="str">
        <f ca="1">IFERROR(Tabela3[[#This Row],[Valor]]-(Tabela3[[#This Row],[Valor]]*(Tabela3[[#This Row],[Idade]]*VLOOKUP(Tabela3[[#This Row],[Categoria]],Cadastros!A:B,2,0))),"")</f>
        <v/>
      </c>
    </row>
    <row r="1278" spans="4:18" x14ac:dyDescent="0.25">
      <c r="D1278" s="5"/>
      <c r="N1278" s="6" t="str">
        <f>IFERROR(Tabela3[[#This Row],[Última revisão do bem]]+(VLOOKUP(Tabela3[[#This Row],[Categoria]],Cadastros!A:D,4,0)+365),"")</f>
        <v/>
      </c>
      <c r="O1278" s="7" t="str">
        <f ca="1">IF(Tabela3[[#This Row],[Data da compra]]&gt;0,(TODAY()-Tabela3[[#This Row],[Data da compra]])/365,"")</f>
        <v/>
      </c>
      <c r="P1278" s="7" t="str">
        <f>IFERROR(VLOOKUP(Tabela3[[#This Row],[Categoria]],Cadastros!A:C,3,0),"")</f>
        <v/>
      </c>
      <c r="Q1278" s="9" t="str">
        <f ca="1">IFERROR(Tabela3[[#This Row],[Vida útil]]-Tabela3[[#This Row],[Idade]],"")</f>
        <v/>
      </c>
      <c r="R1278" s="8" t="str">
        <f ca="1">IFERROR(Tabela3[[#This Row],[Valor]]-(Tabela3[[#This Row],[Valor]]*(Tabela3[[#This Row],[Idade]]*VLOOKUP(Tabela3[[#This Row],[Categoria]],Cadastros!A:B,2,0))),"")</f>
        <v/>
      </c>
    </row>
    <row r="1279" spans="4:18" x14ac:dyDescent="0.25">
      <c r="D1279" s="5"/>
      <c r="N1279" s="6" t="str">
        <f>IFERROR(Tabela3[[#This Row],[Última revisão do bem]]+(VLOOKUP(Tabela3[[#This Row],[Categoria]],Cadastros!A:D,4,0)+365),"")</f>
        <v/>
      </c>
      <c r="O1279" s="7" t="str">
        <f ca="1">IF(Tabela3[[#This Row],[Data da compra]]&gt;0,(TODAY()-Tabela3[[#This Row],[Data da compra]])/365,"")</f>
        <v/>
      </c>
      <c r="P1279" s="7" t="str">
        <f>IFERROR(VLOOKUP(Tabela3[[#This Row],[Categoria]],Cadastros!A:C,3,0),"")</f>
        <v/>
      </c>
      <c r="Q1279" s="9" t="str">
        <f ca="1">IFERROR(Tabela3[[#This Row],[Vida útil]]-Tabela3[[#This Row],[Idade]],"")</f>
        <v/>
      </c>
      <c r="R1279" s="8" t="str">
        <f ca="1">IFERROR(Tabela3[[#This Row],[Valor]]-(Tabela3[[#This Row],[Valor]]*(Tabela3[[#This Row],[Idade]]*VLOOKUP(Tabela3[[#This Row],[Categoria]],Cadastros!A:B,2,0))),"")</f>
        <v/>
      </c>
    </row>
    <row r="1280" spans="4:18" x14ac:dyDescent="0.25">
      <c r="D1280" s="5"/>
      <c r="N1280" s="6" t="str">
        <f>IFERROR(Tabela3[[#This Row],[Última revisão do bem]]+(VLOOKUP(Tabela3[[#This Row],[Categoria]],Cadastros!A:D,4,0)+365),"")</f>
        <v/>
      </c>
      <c r="O1280" s="7" t="str">
        <f ca="1">IF(Tabela3[[#This Row],[Data da compra]]&gt;0,(TODAY()-Tabela3[[#This Row],[Data da compra]])/365,"")</f>
        <v/>
      </c>
      <c r="P1280" s="7" t="str">
        <f>IFERROR(VLOOKUP(Tabela3[[#This Row],[Categoria]],Cadastros!A:C,3,0),"")</f>
        <v/>
      </c>
      <c r="Q1280" s="9" t="str">
        <f ca="1">IFERROR(Tabela3[[#This Row],[Vida útil]]-Tabela3[[#This Row],[Idade]],"")</f>
        <v/>
      </c>
      <c r="R1280" s="8" t="str">
        <f ca="1">IFERROR(Tabela3[[#This Row],[Valor]]-(Tabela3[[#This Row],[Valor]]*(Tabela3[[#This Row],[Idade]]*VLOOKUP(Tabela3[[#This Row],[Categoria]],Cadastros!A:B,2,0))),"")</f>
        <v/>
      </c>
    </row>
    <row r="1281" spans="4:18" x14ac:dyDescent="0.25">
      <c r="D1281" s="5"/>
      <c r="N1281" s="6" t="str">
        <f>IFERROR(Tabela3[[#This Row],[Última revisão do bem]]+(VLOOKUP(Tabela3[[#This Row],[Categoria]],Cadastros!A:D,4,0)+365),"")</f>
        <v/>
      </c>
      <c r="O1281" s="7" t="str">
        <f ca="1">IF(Tabela3[[#This Row],[Data da compra]]&gt;0,(TODAY()-Tabela3[[#This Row],[Data da compra]])/365,"")</f>
        <v/>
      </c>
      <c r="P1281" s="7" t="str">
        <f>IFERROR(VLOOKUP(Tabela3[[#This Row],[Categoria]],Cadastros!A:C,3,0),"")</f>
        <v/>
      </c>
      <c r="Q1281" s="9" t="str">
        <f ca="1">IFERROR(Tabela3[[#This Row],[Vida útil]]-Tabela3[[#This Row],[Idade]],"")</f>
        <v/>
      </c>
      <c r="R1281" s="8" t="str">
        <f ca="1">IFERROR(Tabela3[[#This Row],[Valor]]-(Tabela3[[#This Row],[Valor]]*(Tabela3[[#This Row],[Idade]]*VLOOKUP(Tabela3[[#This Row],[Categoria]],Cadastros!A:B,2,0))),"")</f>
        <v/>
      </c>
    </row>
    <row r="1282" spans="4:18" x14ac:dyDescent="0.25">
      <c r="D1282" s="5"/>
      <c r="N1282" s="6" t="str">
        <f>IFERROR(Tabela3[[#This Row],[Última revisão do bem]]+(VLOOKUP(Tabela3[[#This Row],[Categoria]],Cadastros!A:D,4,0)+365),"")</f>
        <v/>
      </c>
      <c r="O1282" s="7" t="str">
        <f ca="1">IF(Tabela3[[#This Row],[Data da compra]]&gt;0,(TODAY()-Tabela3[[#This Row],[Data da compra]])/365,"")</f>
        <v/>
      </c>
      <c r="P1282" s="7" t="str">
        <f>IFERROR(VLOOKUP(Tabela3[[#This Row],[Categoria]],Cadastros!A:C,3,0),"")</f>
        <v/>
      </c>
      <c r="Q1282" s="9" t="str">
        <f ca="1">IFERROR(Tabela3[[#This Row],[Vida útil]]-Tabela3[[#This Row],[Idade]],"")</f>
        <v/>
      </c>
      <c r="R1282" s="8" t="str">
        <f ca="1">IFERROR(Tabela3[[#This Row],[Valor]]-(Tabela3[[#This Row],[Valor]]*(Tabela3[[#This Row],[Idade]]*VLOOKUP(Tabela3[[#This Row],[Categoria]],Cadastros!A:B,2,0))),"")</f>
        <v/>
      </c>
    </row>
    <row r="1283" spans="4:18" x14ac:dyDescent="0.25">
      <c r="D1283" s="5"/>
      <c r="N1283" s="6" t="str">
        <f>IFERROR(Tabela3[[#This Row],[Última revisão do bem]]+(VLOOKUP(Tabela3[[#This Row],[Categoria]],Cadastros!A:D,4,0)+365),"")</f>
        <v/>
      </c>
      <c r="O1283" s="7" t="str">
        <f ca="1">IF(Tabela3[[#This Row],[Data da compra]]&gt;0,(TODAY()-Tabela3[[#This Row],[Data da compra]])/365,"")</f>
        <v/>
      </c>
      <c r="P1283" s="7" t="str">
        <f>IFERROR(VLOOKUP(Tabela3[[#This Row],[Categoria]],Cadastros!A:C,3,0),"")</f>
        <v/>
      </c>
      <c r="Q1283" s="9" t="str">
        <f ca="1">IFERROR(Tabela3[[#This Row],[Vida útil]]-Tabela3[[#This Row],[Idade]],"")</f>
        <v/>
      </c>
      <c r="R1283" s="8" t="str">
        <f ca="1">IFERROR(Tabela3[[#This Row],[Valor]]-(Tabela3[[#This Row],[Valor]]*(Tabela3[[#This Row],[Idade]]*VLOOKUP(Tabela3[[#This Row],[Categoria]],Cadastros!A:B,2,0))),"")</f>
        <v/>
      </c>
    </row>
    <row r="1284" spans="4:18" x14ac:dyDescent="0.25">
      <c r="D1284" s="22"/>
      <c r="N1284" s="6" t="str">
        <f>IFERROR(Tabela3[[#This Row],[Última revisão do bem]]+(VLOOKUP(Tabela3[[#This Row],[Categoria]],Cadastros!A:D,4,0)+365),"")</f>
        <v/>
      </c>
      <c r="O1284" s="7" t="str">
        <f ca="1">IF(Tabela3[[#This Row],[Data da compra]]&gt;0,(TODAY()-Tabela3[[#This Row],[Data da compra]])/365,"")</f>
        <v/>
      </c>
      <c r="P1284" s="7" t="str">
        <f>IFERROR(VLOOKUP(Tabela3[[#This Row],[Categoria]],Cadastros!A:C,3,0),"")</f>
        <v/>
      </c>
      <c r="Q1284" s="9" t="str">
        <f ca="1">IFERROR(Tabela3[[#This Row],[Vida útil]]-Tabela3[[#This Row],[Idade]],"")</f>
        <v/>
      </c>
      <c r="R1284" s="23" t="str">
        <f ca="1">IFERROR(Tabela3[[#This Row],[Valor]]-(Tabela3[[#This Row],[Valor]]*(Tabela3[[#This Row],[Idade]]*VLOOKUP(Tabela3[[#This Row],[Categoria]],Cadastros!A:B,2,0))),"")</f>
        <v/>
      </c>
    </row>
    <row r="1285" spans="4:18" x14ac:dyDescent="0.25">
      <c r="D1285" s="5"/>
      <c r="N1285" s="6" t="str">
        <f>IFERROR(Tabela3[[#This Row],[Última revisão do bem]]+(VLOOKUP(Tabela3[[#This Row],[Categoria]],Cadastros!A:D,4,0)+365),"")</f>
        <v/>
      </c>
      <c r="O1285" s="7" t="str">
        <f ca="1">IF(Tabela3[[#This Row],[Data da compra]]&gt;0,(TODAY()-Tabela3[[#This Row],[Data da compra]])/365,"")</f>
        <v/>
      </c>
      <c r="P1285" s="7" t="str">
        <f>IFERROR(VLOOKUP(Tabela3[[#This Row],[Categoria]],Cadastros!A:C,3,0),"")</f>
        <v/>
      </c>
      <c r="Q1285" s="9" t="str">
        <f ca="1">IFERROR(Tabela3[[#This Row],[Vida útil]]-Tabela3[[#This Row],[Idade]],"")</f>
        <v/>
      </c>
      <c r="R1285" s="8" t="str">
        <f ca="1">IFERROR(Tabela3[[#This Row],[Valor]]-(Tabela3[[#This Row],[Valor]]*(Tabela3[[#This Row],[Idade]]*VLOOKUP(Tabela3[[#This Row],[Categoria]],Cadastros!A:B,2,0))),"")</f>
        <v/>
      </c>
    </row>
    <row r="1286" spans="4:18" x14ac:dyDescent="0.25">
      <c r="D1286" s="5"/>
      <c r="N1286" s="6" t="str">
        <f>IFERROR(Tabela3[[#This Row],[Última revisão do bem]]+(VLOOKUP(Tabela3[[#This Row],[Categoria]],Cadastros!A:D,4,0)+365),"")</f>
        <v/>
      </c>
      <c r="O1286" s="7" t="str">
        <f ca="1">IF(Tabela3[[#This Row],[Data da compra]]&gt;0,(TODAY()-Tabela3[[#This Row],[Data da compra]])/365,"")</f>
        <v/>
      </c>
      <c r="P1286" s="7" t="str">
        <f>IFERROR(VLOOKUP(Tabela3[[#This Row],[Categoria]],Cadastros!A:C,3,0),"")</f>
        <v/>
      </c>
      <c r="Q1286" s="9" t="str">
        <f ca="1">IFERROR(Tabela3[[#This Row],[Vida útil]]-Tabela3[[#This Row],[Idade]],"")</f>
        <v/>
      </c>
      <c r="R1286" s="8" t="str">
        <f ca="1">IFERROR(Tabela3[[#This Row],[Valor]]-(Tabela3[[#This Row],[Valor]]*(Tabela3[[#This Row],[Idade]]*VLOOKUP(Tabela3[[#This Row],[Categoria]],Cadastros!A:B,2,0))),"")</f>
        <v/>
      </c>
    </row>
    <row r="1287" spans="4:18" x14ac:dyDescent="0.25">
      <c r="D1287" s="5"/>
      <c r="N1287" s="6" t="str">
        <f>IFERROR(Tabela3[[#This Row],[Última revisão do bem]]+(VLOOKUP(Tabela3[[#This Row],[Categoria]],Cadastros!A:D,4,0)+365),"")</f>
        <v/>
      </c>
      <c r="O1287" s="7" t="str">
        <f ca="1">IF(Tabela3[[#This Row],[Data da compra]]&gt;0,(TODAY()-Tabela3[[#This Row],[Data da compra]])/365,"")</f>
        <v/>
      </c>
      <c r="P1287" s="7" t="str">
        <f>IFERROR(VLOOKUP(Tabela3[[#This Row],[Categoria]],Cadastros!A:C,3,0),"")</f>
        <v/>
      </c>
      <c r="Q1287" s="9" t="str">
        <f ca="1">IFERROR(Tabela3[[#This Row],[Vida útil]]-Tabela3[[#This Row],[Idade]],"")</f>
        <v/>
      </c>
      <c r="R1287" s="8" t="str">
        <f ca="1">IFERROR(Tabela3[[#This Row],[Valor]]-(Tabela3[[#This Row],[Valor]]*(Tabela3[[#This Row],[Idade]]*VLOOKUP(Tabela3[[#This Row],[Categoria]],Cadastros!A:B,2,0))),"")</f>
        <v/>
      </c>
    </row>
    <row r="1288" spans="4:18" x14ac:dyDescent="0.25">
      <c r="D1288" s="5"/>
      <c r="N1288" s="6" t="str">
        <f>IFERROR(Tabela3[[#This Row],[Última revisão do bem]]+(VLOOKUP(Tabela3[[#This Row],[Categoria]],Cadastros!A:D,4,0)+365),"")</f>
        <v/>
      </c>
      <c r="O1288" s="7" t="str">
        <f ca="1">IF(Tabela3[[#This Row],[Data da compra]]&gt;0,(TODAY()-Tabela3[[#This Row],[Data da compra]])/365,"")</f>
        <v/>
      </c>
      <c r="P1288" s="7" t="str">
        <f>IFERROR(VLOOKUP(Tabela3[[#This Row],[Categoria]],Cadastros!A:C,3,0),"")</f>
        <v/>
      </c>
      <c r="Q1288" s="9" t="str">
        <f ca="1">IFERROR(Tabela3[[#This Row],[Vida útil]]-Tabela3[[#This Row],[Idade]],"")</f>
        <v/>
      </c>
      <c r="R1288" s="8" t="str">
        <f ca="1">IFERROR(Tabela3[[#This Row],[Valor]]-(Tabela3[[#This Row],[Valor]]*(Tabela3[[#This Row],[Idade]]*VLOOKUP(Tabela3[[#This Row],[Categoria]],Cadastros!A:B,2,0))),"")</f>
        <v/>
      </c>
    </row>
    <row r="1289" spans="4:18" x14ac:dyDescent="0.25">
      <c r="D1289" s="5"/>
      <c r="N1289" s="6" t="str">
        <f>IFERROR(Tabela3[[#This Row],[Última revisão do bem]]+(VLOOKUP(Tabela3[[#This Row],[Categoria]],Cadastros!A:D,4,0)+365),"")</f>
        <v/>
      </c>
      <c r="O1289" s="7" t="str">
        <f ca="1">IF(Tabela3[[#This Row],[Data da compra]]&gt;0,(TODAY()-Tabela3[[#This Row],[Data da compra]])/365,"")</f>
        <v/>
      </c>
      <c r="P1289" s="7" t="str">
        <f>IFERROR(VLOOKUP(Tabela3[[#This Row],[Categoria]],Cadastros!A:C,3,0),"")</f>
        <v/>
      </c>
      <c r="Q1289" s="9" t="str">
        <f ca="1">IFERROR(Tabela3[[#This Row],[Vida útil]]-Tabela3[[#This Row],[Idade]],"")</f>
        <v/>
      </c>
      <c r="R1289" s="8" t="str">
        <f ca="1">IFERROR(Tabela3[[#This Row],[Valor]]-(Tabela3[[#This Row],[Valor]]*(Tabela3[[#This Row],[Idade]]*VLOOKUP(Tabela3[[#This Row],[Categoria]],Cadastros!A:B,2,0))),"")</f>
        <v/>
      </c>
    </row>
    <row r="1290" spans="4:18" x14ac:dyDescent="0.25">
      <c r="D1290" s="5"/>
      <c r="N1290" s="6" t="str">
        <f>IFERROR(Tabela3[[#This Row],[Última revisão do bem]]+(VLOOKUP(Tabela3[[#This Row],[Categoria]],Cadastros!A:D,4,0)+365),"")</f>
        <v/>
      </c>
      <c r="O1290" s="7" t="str">
        <f ca="1">IF(Tabela3[[#This Row],[Data da compra]]&gt;0,(TODAY()-Tabela3[[#This Row],[Data da compra]])/365,"")</f>
        <v/>
      </c>
      <c r="P1290" s="7" t="str">
        <f>IFERROR(VLOOKUP(Tabela3[[#This Row],[Categoria]],Cadastros!A:C,3,0),"")</f>
        <v/>
      </c>
      <c r="Q1290" s="9" t="str">
        <f ca="1">IFERROR(Tabela3[[#This Row],[Vida útil]]-Tabela3[[#This Row],[Idade]],"")</f>
        <v/>
      </c>
      <c r="R1290" s="8" t="str">
        <f ca="1">IFERROR(Tabela3[[#This Row],[Valor]]-(Tabela3[[#This Row],[Valor]]*(Tabela3[[#This Row],[Idade]]*VLOOKUP(Tabela3[[#This Row],[Categoria]],Cadastros!A:B,2,0))),"")</f>
        <v/>
      </c>
    </row>
    <row r="1291" spans="4:18" x14ac:dyDescent="0.25">
      <c r="D1291" s="5"/>
      <c r="N1291" s="6" t="str">
        <f>IFERROR(Tabela3[[#This Row],[Última revisão do bem]]+(VLOOKUP(Tabela3[[#This Row],[Categoria]],Cadastros!A:D,4,0)+365),"")</f>
        <v/>
      </c>
      <c r="O1291" s="7" t="str">
        <f ca="1">IF(Tabela3[[#This Row],[Data da compra]]&gt;0,(TODAY()-Tabela3[[#This Row],[Data da compra]])/365,"")</f>
        <v/>
      </c>
      <c r="P1291" s="7" t="str">
        <f>IFERROR(VLOOKUP(Tabela3[[#This Row],[Categoria]],Cadastros!A:C,3,0),"")</f>
        <v/>
      </c>
      <c r="Q1291" s="9" t="str">
        <f ca="1">IFERROR(Tabela3[[#This Row],[Vida útil]]-Tabela3[[#This Row],[Idade]],"")</f>
        <v/>
      </c>
      <c r="R1291" s="8" t="str">
        <f ca="1">IFERROR(Tabela3[[#This Row],[Valor]]-(Tabela3[[#This Row],[Valor]]*(Tabela3[[#This Row],[Idade]]*VLOOKUP(Tabela3[[#This Row],[Categoria]],Cadastros!A:B,2,0))),"")</f>
        <v/>
      </c>
    </row>
    <row r="1292" spans="4:18" x14ac:dyDescent="0.25">
      <c r="D1292" s="5"/>
      <c r="N1292" s="6" t="str">
        <f>IFERROR(Tabela3[[#This Row],[Última revisão do bem]]+(VLOOKUP(Tabela3[[#This Row],[Categoria]],Cadastros!A:D,4,0)+365),"")</f>
        <v/>
      </c>
      <c r="O1292" s="7" t="str">
        <f ca="1">IF(Tabela3[[#This Row],[Data da compra]]&gt;0,(TODAY()-Tabela3[[#This Row],[Data da compra]])/365,"")</f>
        <v/>
      </c>
      <c r="P1292" s="7" t="str">
        <f>IFERROR(VLOOKUP(Tabela3[[#This Row],[Categoria]],Cadastros!A:C,3,0),"")</f>
        <v/>
      </c>
      <c r="Q1292" s="9" t="str">
        <f ca="1">IFERROR(Tabela3[[#This Row],[Vida útil]]-Tabela3[[#This Row],[Idade]],"")</f>
        <v/>
      </c>
      <c r="R1292" s="8" t="str">
        <f ca="1">IFERROR(Tabela3[[#This Row],[Valor]]-(Tabela3[[#This Row],[Valor]]*(Tabela3[[#This Row],[Idade]]*VLOOKUP(Tabela3[[#This Row],[Categoria]],Cadastros!A:B,2,0))),"")</f>
        <v/>
      </c>
    </row>
    <row r="1293" spans="4:18" x14ac:dyDescent="0.25">
      <c r="D1293" s="5"/>
      <c r="N1293" s="6" t="str">
        <f>IFERROR(Tabela3[[#This Row],[Última revisão do bem]]+(VLOOKUP(Tabela3[[#This Row],[Categoria]],Cadastros!A:D,4,0)+365),"")</f>
        <v/>
      </c>
      <c r="O1293" s="7" t="str">
        <f ca="1">IF(Tabela3[[#This Row],[Data da compra]]&gt;0,(TODAY()-Tabela3[[#This Row],[Data da compra]])/365,"")</f>
        <v/>
      </c>
      <c r="P1293" s="7" t="str">
        <f>IFERROR(VLOOKUP(Tabela3[[#This Row],[Categoria]],Cadastros!A:C,3,0),"")</f>
        <v/>
      </c>
      <c r="Q1293" s="9" t="str">
        <f ca="1">IFERROR(Tabela3[[#This Row],[Vida útil]]-Tabela3[[#This Row],[Idade]],"")</f>
        <v/>
      </c>
      <c r="R1293" s="8" t="str">
        <f ca="1">IFERROR(Tabela3[[#This Row],[Valor]]-(Tabela3[[#This Row],[Valor]]*(Tabela3[[#This Row],[Idade]]*VLOOKUP(Tabela3[[#This Row],[Categoria]],Cadastros!A:B,2,0))),"")</f>
        <v/>
      </c>
    </row>
    <row r="1294" spans="4:18" x14ac:dyDescent="0.25">
      <c r="D1294" s="5"/>
      <c r="N1294" s="6" t="str">
        <f>IFERROR(Tabela3[[#This Row],[Última revisão do bem]]+(VLOOKUP(Tabela3[[#This Row],[Categoria]],Cadastros!A:D,4,0)+365),"")</f>
        <v/>
      </c>
      <c r="O1294" s="7" t="str">
        <f ca="1">IF(Tabela3[[#This Row],[Data da compra]]&gt;0,(TODAY()-Tabela3[[#This Row],[Data da compra]])/365,"")</f>
        <v/>
      </c>
      <c r="P1294" s="7" t="str">
        <f>IFERROR(VLOOKUP(Tabela3[[#This Row],[Categoria]],Cadastros!A:C,3,0),"")</f>
        <v/>
      </c>
      <c r="Q1294" s="9" t="str">
        <f ca="1">IFERROR(Tabela3[[#This Row],[Vida útil]]-Tabela3[[#This Row],[Idade]],"")</f>
        <v/>
      </c>
      <c r="R1294" s="8" t="str">
        <f ca="1">IFERROR(Tabela3[[#This Row],[Valor]]-(Tabela3[[#This Row],[Valor]]*(Tabela3[[#This Row],[Idade]]*VLOOKUP(Tabela3[[#This Row],[Categoria]],Cadastros!A:B,2,0))),"")</f>
        <v/>
      </c>
    </row>
    <row r="1295" spans="4:18" x14ac:dyDescent="0.25">
      <c r="D1295" s="5"/>
      <c r="N1295" s="6" t="str">
        <f>IFERROR(Tabela3[[#This Row],[Última revisão do bem]]+(VLOOKUP(Tabela3[[#This Row],[Categoria]],Cadastros!A:D,4,0)+365),"")</f>
        <v/>
      </c>
      <c r="O1295" s="7" t="str">
        <f ca="1">IF(Tabela3[[#This Row],[Data da compra]]&gt;0,(TODAY()-Tabela3[[#This Row],[Data da compra]])/365,"")</f>
        <v/>
      </c>
      <c r="P1295" s="7" t="str">
        <f>IFERROR(VLOOKUP(Tabela3[[#This Row],[Categoria]],Cadastros!A:C,3,0),"")</f>
        <v/>
      </c>
      <c r="Q1295" s="9" t="str">
        <f ca="1">IFERROR(Tabela3[[#This Row],[Vida útil]]-Tabela3[[#This Row],[Idade]],"")</f>
        <v/>
      </c>
      <c r="R1295" s="8" t="str">
        <f ca="1">IFERROR(Tabela3[[#This Row],[Valor]]-(Tabela3[[#This Row],[Valor]]*(Tabela3[[#This Row],[Idade]]*VLOOKUP(Tabela3[[#This Row],[Categoria]],Cadastros!A:B,2,0))),"")</f>
        <v/>
      </c>
    </row>
    <row r="1296" spans="4:18" x14ac:dyDescent="0.25">
      <c r="D1296" s="5"/>
      <c r="N1296" s="6" t="str">
        <f>IFERROR(Tabela3[[#This Row],[Última revisão do bem]]+(VLOOKUP(Tabela3[[#This Row],[Categoria]],Cadastros!A:D,4,0)+365),"")</f>
        <v/>
      </c>
      <c r="O1296" s="7" t="str">
        <f ca="1">IF(Tabela3[[#This Row],[Data da compra]]&gt;0,(TODAY()-Tabela3[[#This Row],[Data da compra]])/365,"")</f>
        <v/>
      </c>
      <c r="P1296" s="7" t="str">
        <f>IFERROR(VLOOKUP(Tabela3[[#This Row],[Categoria]],Cadastros!A:C,3,0),"")</f>
        <v/>
      </c>
      <c r="Q1296" s="9" t="str">
        <f ca="1">IFERROR(Tabela3[[#This Row],[Vida útil]]-Tabela3[[#This Row],[Idade]],"")</f>
        <v/>
      </c>
      <c r="R1296" s="8" t="str">
        <f ca="1">IFERROR(Tabela3[[#This Row],[Valor]]-(Tabela3[[#This Row],[Valor]]*(Tabela3[[#This Row],[Idade]]*VLOOKUP(Tabela3[[#This Row],[Categoria]],Cadastros!A:B,2,0))),"")</f>
        <v/>
      </c>
    </row>
    <row r="1297" spans="4:18" x14ac:dyDescent="0.25">
      <c r="D1297" s="5"/>
      <c r="N1297" s="6" t="str">
        <f>IFERROR(Tabela3[[#This Row],[Última revisão do bem]]+(VLOOKUP(Tabela3[[#This Row],[Categoria]],Cadastros!A:D,4,0)+365),"")</f>
        <v/>
      </c>
      <c r="O1297" s="7" t="str">
        <f ca="1">IF(Tabela3[[#This Row],[Data da compra]]&gt;0,(TODAY()-Tabela3[[#This Row],[Data da compra]])/365,"")</f>
        <v/>
      </c>
      <c r="P1297" s="7" t="str">
        <f>IFERROR(VLOOKUP(Tabela3[[#This Row],[Categoria]],Cadastros!A:C,3,0),"")</f>
        <v/>
      </c>
      <c r="Q1297" s="9" t="str">
        <f ca="1">IFERROR(Tabela3[[#This Row],[Vida útil]]-Tabela3[[#This Row],[Idade]],"")</f>
        <v/>
      </c>
      <c r="R1297" s="8" t="str">
        <f ca="1">IFERROR(Tabela3[[#This Row],[Valor]]-(Tabela3[[#This Row],[Valor]]*(Tabela3[[#This Row],[Idade]]*VLOOKUP(Tabela3[[#This Row],[Categoria]],Cadastros!A:B,2,0))),"")</f>
        <v/>
      </c>
    </row>
    <row r="1298" spans="4:18" x14ac:dyDescent="0.25">
      <c r="D1298" s="5"/>
      <c r="N1298" s="6" t="str">
        <f>IFERROR(Tabela3[[#This Row],[Última revisão do bem]]+(VLOOKUP(Tabela3[[#This Row],[Categoria]],Cadastros!A:D,4,0)+365),"")</f>
        <v/>
      </c>
      <c r="O1298" s="7" t="str">
        <f ca="1">IF(Tabela3[[#This Row],[Data da compra]]&gt;0,(TODAY()-Tabela3[[#This Row],[Data da compra]])/365,"")</f>
        <v/>
      </c>
      <c r="P1298" s="7" t="str">
        <f>IFERROR(VLOOKUP(Tabela3[[#This Row],[Categoria]],Cadastros!A:C,3,0),"")</f>
        <v/>
      </c>
      <c r="Q1298" s="9" t="str">
        <f ca="1">IFERROR(Tabela3[[#This Row],[Vida útil]]-Tabela3[[#This Row],[Idade]],"")</f>
        <v/>
      </c>
      <c r="R1298" s="8" t="str">
        <f ca="1">IFERROR(Tabela3[[#This Row],[Valor]]-(Tabela3[[#This Row],[Valor]]*(Tabela3[[#This Row],[Idade]]*VLOOKUP(Tabela3[[#This Row],[Categoria]],Cadastros!A:B,2,0))),"")</f>
        <v/>
      </c>
    </row>
    <row r="1299" spans="4:18" x14ac:dyDescent="0.25">
      <c r="D1299" s="5"/>
      <c r="N1299" s="6" t="str">
        <f>IFERROR(Tabela3[[#This Row],[Última revisão do bem]]+(VLOOKUP(Tabela3[[#This Row],[Categoria]],Cadastros!A:D,4,0)+365),"")</f>
        <v/>
      </c>
      <c r="O1299" s="7" t="str">
        <f ca="1">IF(Tabela3[[#This Row],[Data da compra]]&gt;0,(TODAY()-Tabela3[[#This Row],[Data da compra]])/365,"")</f>
        <v/>
      </c>
      <c r="P1299" s="7" t="str">
        <f>IFERROR(VLOOKUP(Tabela3[[#This Row],[Categoria]],Cadastros!A:C,3,0),"")</f>
        <v/>
      </c>
      <c r="Q1299" s="9" t="str">
        <f ca="1">IFERROR(Tabela3[[#This Row],[Vida útil]]-Tabela3[[#This Row],[Idade]],"")</f>
        <v/>
      </c>
      <c r="R1299" s="8" t="str">
        <f ca="1">IFERROR(Tabela3[[#This Row],[Valor]]-(Tabela3[[#This Row],[Valor]]*(Tabela3[[#This Row],[Idade]]*VLOOKUP(Tabela3[[#This Row],[Categoria]],Cadastros!A:B,2,0))),"")</f>
        <v/>
      </c>
    </row>
    <row r="1300" spans="4:18" x14ac:dyDescent="0.25">
      <c r="D1300" s="5"/>
      <c r="N1300" s="6" t="str">
        <f>IFERROR(Tabela3[[#This Row],[Última revisão do bem]]+(VLOOKUP(Tabela3[[#This Row],[Categoria]],Cadastros!A:D,4,0)+365),"")</f>
        <v/>
      </c>
      <c r="O1300" s="7" t="str">
        <f ca="1">IF(Tabela3[[#This Row],[Data da compra]]&gt;0,(TODAY()-Tabela3[[#This Row],[Data da compra]])/365,"")</f>
        <v/>
      </c>
      <c r="P1300" s="7" t="str">
        <f>IFERROR(VLOOKUP(Tabela3[[#This Row],[Categoria]],Cadastros!A:C,3,0),"")</f>
        <v/>
      </c>
      <c r="Q1300" s="9" t="str">
        <f ca="1">IFERROR(Tabela3[[#This Row],[Vida útil]]-Tabela3[[#This Row],[Idade]],"")</f>
        <v/>
      </c>
      <c r="R1300" s="8" t="str">
        <f ca="1">IFERROR(Tabela3[[#This Row],[Valor]]-(Tabela3[[#This Row],[Valor]]*(Tabela3[[#This Row],[Idade]]*VLOOKUP(Tabela3[[#This Row],[Categoria]],Cadastros!A:B,2,0))),"")</f>
        <v/>
      </c>
    </row>
    <row r="1301" spans="4:18" x14ac:dyDescent="0.25">
      <c r="D1301" s="5"/>
      <c r="N1301" s="6" t="str">
        <f>IFERROR(Tabela3[[#This Row],[Última revisão do bem]]+(VLOOKUP(Tabela3[[#This Row],[Categoria]],Cadastros!A:D,4,0)+365),"")</f>
        <v/>
      </c>
      <c r="O1301" s="7" t="str">
        <f ca="1">IF(Tabela3[[#This Row],[Data da compra]]&gt;0,(TODAY()-Tabela3[[#This Row],[Data da compra]])/365,"")</f>
        <v/>
      </c>
      <c r="P1301" s="7" t="str">
        <f>IFERROR(VLOOKUP(Tabela3[[#This Row],[Categoria]],Cadastros!A:C,3,0),"")</f>
        <v/>
      </c>
      <c r="Q1301" s="9" t="str">
        <f ca="1">IFERROR(Tabela3[[#This Row],[Vida útil]]-Tabela3[[#This Row],[Idade]],"")</f>
        <v/>
      </c>
      <c r="R1301" s="8" t="str">
        <f ca="1">IFERROR(Tabela3[[#This Row],[Valor]]-(Tabela3[[#This Row],[Valor]]*(Tabela3[[#This Row],[Idade]]*VLOOKUP(Tabela3[[#This Row],[Categoria]],Cadastros!A:B,2,0))),"")</f>
        <v/>
      </c>
    </row>
    <row r="1302" spans="4:18" x14ac:dyDescent="0.25">
      <c r="D1302" s="5"/>
      <c r="N1302" s="6" t="str">
        <f>IFERROR(Tabela3[[#This Row],[Última revisão do bem]]+(VLOOKUP(Tabela3[[#This Row],[Categoria]],Cadastros!A:D,4,0)+365),"")</f>
        <v/>
      </c>
      <c r="O1302" s="7" t="str">
        <f ca="1">IF(Tabela3[[#This Row],[Data da compra]]&gt;0,(TODAY()-Tabela3[[#This Row],[Data da compra]])/365,"")</f>
        <v/>
      </c>
      <c r="P1302" s="7" t="str">
        <f>IFERROR(VLOOKUP(Tabela3[[#This Row],[Categoria]],Cadastros!A:C,3,0),"")</f>
        <v/>
      </c>
      <c r="Q1302" s="9" t="str">
        <f ca="1">IFERROR(Tabela3[[#This Row],[Vida útil]]-Tabela3[[#This Row],[Idade]],"")</f>
        <v/>
      </c>
      <c r="R1302" s="8" t="str">
        <f ca="1">IFERROR(Tabela3[[#This Row],[Valor]]-(Tabela3[[#This Row],[Valor]]*(Tabela3[[#This Row],[Idade]]*VLOOKUP(Tabela3[[#This Row],[Categoria]],Cadastros!A:B,2,0))),"")</f>
        <v/>
      </c>
    </row>
    <row r="1303" spans="4:18" x14ac:dyDescent="0.25">
      <c r="D1303" s="5"/>
      <c r="N1303" s="6" t="str">
        <f>IFERROR(Tabela3[[#This Row],[Última revisão do bem]]+(VLOOKUP(Tabela3[[#This Row],[Categoria]],Cadastros!A:D,4,0)+365),"")</f>
        <v/>
      </c>
      <c r="O1303" s="7" t="str">
        <f ca="1">IF(Tabela3[[#This Row],[Data da compra]]&gt;0,(TODAY()-Tabela3[[#This Row],[Data da compra]])/365,"")</f>
        <v/>
      </c>
      <c r="P1303" s="7" t="str">
        <f>IFERROR(VLOOKUP(Tabela3[[#This Row],[Categoria]],Cadastros!A:C,3,0),"")</f>
        <v/>
      </c>
      <c r="Q1303" s="9" t="str">
        <f ca="1">IFERROR(Tabela3[[#This Row],[Vida útil]]-Tabela3[[#This Row],[Idade]],"")</f>
        <v/>
      </c>
      <c r="R1303" s="8" t="str">
        <f ca="1">IFERROR(Tabela3[[#This Row],[Valor]]-(Tabela3[[#This Row],[Valor]]*(Tabela3[[#This Row],[Idade]]*VLOOKUP(Tabela3[[#This Row],[Categoria]],Cadastros!A:B,2,0))),"")</f>
        <v/>
      </c>
    </row>
    <row r="1304" spans="4:18" x14ac:dyDescent="0.25">
      <c r="D1304" s="5"/>
      <c r="N1304" s="6" t="str">
        <f>IFERROR(Tabela3[[#This Row],[Última revisão do bem]]+(VLOOKUP(Tabela3[[#This Row],[Categoria]],Cadastros!A:D,4,0)+365),"")</f>
        <v/>
      </c>
      <c r="O1304" s="7" t="str">
        <f ca="1">IF(Tabela3[[#This Row],[Data da compra]]&gt;0,(TODAY()-Tabela3[[#This Row],[Data da compra]])/365,"")</f>
        <v/>
      </c>
      <c r="P1304" s="7" t="str">
        <f>IFERROR(VLOOKUP(Tabela3[[#This Row],[Categoria]],Cadastros!A:C,3,0),"")</f>
        <v/>
      </c>
      <c r="Q1304" s="9" t="str">
        <f ca="1">IFERROR(Tabela3[[#This Row],[Vida útil]]-Tabela3[[#This Row],[Idade]],"")</f>
        <v/>
      </c>
      <c r="R1304" s="8" t="str">
        <f ca="1">IFERROR(Tabela3[[#This Row],[Valor]]-(Tabela3[[#This Row],[Valor]]*(Tabela3[[#This Row],[Idade]]*VLOOKUP(Tabela3[[#This Row],[Categoria]],Cadastros!A:B,2,0))),"")</f>
        <v/>
      </c>
    </row>
    <row r="1305" spans="4:18" x14ac:dyDescent="0.25">
      <c r="D1305" s="5"/>
      <c r="N1305" s="6" t="str">
        <f>IFERROR(Tabela3[[#This Row],[Última revisão do bem]]+(VLOOKUP(Tabela3[[#This Row],[Categoria]],Cadastros!A:D,4,0)+365),"")</f>
        <v/>
      </c>
      <c r="O1305" s="7" t="str">
        <f ca="1">IF(Tabela3[[#This Row],[Data da compra]]&gt;0,(TODAY()-Tabela3[[#This Row],[Data da compra]])/365,"")</f>
        <v/>
      </c>
      <c r="P1305" s="7" t="str">
        <f>IFERROR(VLOOKUP(Tabela3[[#This Row],[Categoria]],Cadastros!A:C,3,0),"")</f>
        <v/>
      </c>
      <c r="Q1305" s="9" t="str">
        <f ca="1">IFERROR(Tabela3[[#This Row],[Vida útil]]-Tabela3[[#This Row],[Idade]],"")</f>
        <v/>
      </c>
      <c r="R1305" s="8" t="str">
        <f ca="1">IFERROR(Tabela3[[#This Row],[Valor]]-(Tabela3[[#This Row],[Valor]]*(Tabela3[[#This Row],[Idade]]*VLOOKUP(Tabela3[[#This Row],[Categoria]],Cadastros!A:B,2,0))),"")</f>
        <v/>
      </c>
    </row>
    <row r="1306" spans="4:18" x14ac:dyDescent="0.25">
      <c r="D1306" s="5"/>
      <c r="N1306" s="6" t="str">
        <f>IFERROR(Tabela3[[#This Row],[Última revisão do bem]]+(VLOOKUP(Tabela3[[#This Row],[Categoria]],Cadastros!A:D,4,0)+365),"")</f>
        <v/>
      </c>
      <c r="O1306" s="7" t="str">
        <f ca="1">IF(Tabela3[[#This Row],[Data da compra]]&gt;0,(TODAY()-Tabela3[[#This Row],[Data da compra]])/365,"")</f>
        <v/>
      </c>
      <c r="P1306" s="7" t="str">
        <f>IFERROR(VLOOKUP(Tabela3[[#This Row],[Categoria]],Cadastros!A:C,3,0),"")</f>
        <v/>
      </c>
      <c r="Q1306" s="9" t="str">
        <f ca="1">IFERROR(Tabela3[[#This Row],[Vida útil]]-Tabela3[[#This Row],[Idade]],"")</f>
        <v/>
      </c>
      <c r="R1306" s="8" t="str">
        <f ca="1">IFERROR(Tabela3[[#This Row],[Valor]]-(Tabela3[[#This Row],[Valor]]*(Tabela3[[#This Row],[Idade]]*VLOOKUP(Tabela3[[#This Row],[Categoria]],Cadastros!A:B,2,0))),"")</f>
        <v/>
      </c>
    </row>
    <row r="1307" spans="4:18" x14ac:dyDescent="0.25">
      <c r="D1307" s="5"/>
      <c r="N1307" s="6" t="str">
        <f>IFERROR(Tabela3[[#This Row],[Última revisão do bem]]+(VLOOKUP(Tabela3[[#This Row],[Categoria]],Cadastros!A:D,4,0)+365),"")</f>
        <v/>
      </c>
      <c r="O1307" s="7" t="str">
        <f ca="1">IF(Tabela3[[#This Row],[Data da compra]]&gt;0,(TODAY()-Tabela3[[#This Row],[Data da compra]])/365,"")</f>
        <v/>
      </c>
      <c r="P1307" s="7" t="str">
        <f>IFERROR(VLOOKUP(Tabela3[[#This Row],[Categoria]],Cadastros!A:C,3,0),"")</f>
        <v/>
      </c>
      <c r="Q1307" s="9" t="str">
        <f ca="1">IFERROR(Tabela3[[#This Row],[Vida útil]]-Tabela3[[#This Row],[Idade]],"")</f>
        <v/>
      </c>
      <c r="R1307" s="8" t="str">
        <f ca="1">IFERROR(Tabela3[[#This Row],[Valor]]-(Tabela3[[#This Row],[Valor]]*(Tabela3[[#This Row],[Idade]]*VLOOKUP(Tabela3[[#This Row],[Categoria]],Cadastros!A:B,2,0))),"")</f>
        <v/>
      </c>
    </row>
    <row r="1308" spans="4:18" x14ac:dyDescent="0.25">
      <c r="D1308" s="5"/>
      <c r="N1308" s="6" t="str">
        <f>IFERROR(Tabela3[[#This Row],[Última revisão do bem]]+(VLOOKUP(Tabela3[[#This Row],[Categoria]],Cadastros!A:D,4,0)+365),"")</f>
        <v/>
      </c>
      <c r="O1308" s="7" t="str">
        <f ca="1">IF(Tabela3[[#This Row],[Data da compra]]&gt;0,(TODAY()-Tabela3[[#This Row],[Data da compra]])/365,"")</f>
        <v/>
      </c>
      <c r="P1308" s="7" t="str">
        <f>IFERROR(VLOOKUP(Tabela3[[#This Row],[Categoria]],Cadastros!A:C,3,0),"")</f>
        <v/>
      </c>
      <c r="Q1308" s="9" t="str">
        <f ca="1">IFERROR(Tabela3[[#This Row],[Vida útil]]-Tabela3[[#This Row],[Idade]],"")</f>
        <v/>
      </c>
      <c r="R1308" s="8" t="str">
        <f ca="1">IFERROR(Tabela3[[#This Row],[Valor]]-(Tabela3[[#This Row],[Valor]]*(Tabela3[[#This Row],[Idade]]*VLOOKUP(Tabela3[[#This Row],[Categoria]],Cadastros!A:B,2,0))),"")</f>
        <v/>
      </c>
    </row>
    <row r="1309" spans="4:18" x14ac:dyDescent="0.25">
      <c r="D1309" s="5"/>
      <c r="N1309" s="6" t="str">
        <f>IFERROR(Tabela3[[#This Row],[Última revisão do bem]]+(VLOOKUP(Tabela3[[#This Row],[Categoria]],Cadastros!A:D,4,0)+365),"")</f>
        <v/>
      </c>
      <c r="O1309" s="7" t="str">
        <f ca="1">IF(Tabela3[[#This Row],[Data da compra]]&gt;0,(TODAY()-Tabela3[[#This Row],[Data da compra]])/365,"")</f>
        <v/>
      </c>
      <c r="P1309" s="7" t="str">
        <f>IFERROR(VLOOKUP(Tabela3[[#This Row],[Categoria]],Cadastros!A:C,3,0),"")</f>
        <v/>
      </c>
      <c r="Q1309" s="9" t="str">
        <f ca="1">IFERROR(Tabela3[[#This Row],[Vida útil]]-Tabela3[[#This Row],[Idade]],"")</f>
        <v/>
      </c>
      <c r="R1309" s="8" t="str">
        <f ca="1">IFERROR(Tabela3[[#This Row],[Valor]]-(Tabela3[[#This Row],[Valor]]*(Tabela3[[#This Row],[Idade]]*VLOOKUP(Tabela3[[#This Row],[Categoria]],Cadastros!A:B,2,0))),"")</f>
        <v/>
      </c>
    </row>
    <row r="1310" spans="4:18" x14ac:dyDescent="0.25">
      <c r="D1310" s="5"/>
      <c r="N1310" s="6" t="str">
        <f>IFERROR(Tabela3[[#This Row],[Última revisão do bem]]+(VLOOKUP(Tabela3[[#This Row],[Categoria]],Cadastros!A:D,4,0)+365),"")</f>
        <v/>
      </c>
      <c r="O1310" s="7" t="str">
        <f ca="1">IF(Tabela3[[#This Row],[Data da compra]]&gt;0,(TODAY()-Tabela3[[#This Row],[Data da compra]])/365,"")</f>
        <v/>
      </c>
      <c r="P1310" s="7" t="str">
        <f>IFERROR(VLOOKUP(Tabela3[[#This Row],[Categoria]],Cadastros!A:C,3,0),"")</f>
        <v/>
      </c>
      <c r="Q1310" s="9" t="str">
        <f ca="1">IFERROR(Tabela3[[#This Row],[Vida útil]]-Tabela3[[#This Row],[Idade]],"")</f>
        <v/>
      </c>
      <c r="R1310" s="8" t="str">
        <f ca="1">IFERROR(Tabela3[[#This Row],[Valor]]-(Tabela3[[#This Row],[Valor]]*(Tabela3[[#This Row],[Idade]]*VLOOKUP(Tabela3[[#This Row],[Categoria]],Cadastros!A:B,2,0))),"")</f>
        <v/>
      </c>
    </row>
    <row r="1311" spans="4:18" x14ac:dyDescent="0.25">
      <c r="D1311" s="5"/>
      <c r="N1311" s="6" t="str">
        <f>IFERROR(Tabela3[[#This Row],[Última revisão do bem]]+(VLOOKUP(Tabela3[[#This Row],[Categoria]],Cadastros!A:D,4,0)+365),"")</f>
        <v/>
      </c>
      <c r="O1311" s="7" t="str">
        <f ca="1">IF(Tabela3[[#This Row],[Data da compra]]&gt;0,(TODAY()-Tabela3[[#This Row],[Data da compra]])/365,"")</f>
        <v/>
      </c>
      <c r="P1311" s="7" t="str">
        <f>IFERROR(VLOOKUP(Tabela3[[#This Row],[Categoria]],Cadastros!A:C,3,0),"")</f>
        <v/>
      </c>
      <c r="Q1311" s="9" t="str">
        <f ca="1">IFERROR(Tabela3[[#This Row],[Vida útil]]-Tabela3[[#This Row],[Idade]],"")</f>
        <v/>
      </c>
      <c r="R1311" s="8" t="str">
        <f ca="1">IFERROR(Tabela3[[#This Row],[Valor]]-(Tabela3[[#This Row],[Valor]]*(Tabela3[[#This Row],[Idade]]*VLOOKUP(Tabela3[[#This Row],[Categoria]],Cadastros!A:B,2,0))),"")</f>
        <v/>
      </c>
    </row>
    <row r="1312" spans="4:18" x14ac:dyDescent="0.25">
      <c r="D1312" s="5"/>
      <c r="N1312" s="6" t="str">
        <f>IFERROR(Tabela3[[#This Row],[Última revisão do bem]]+(VLOOKUP(Tabela3[[#This Row],[Categoria]],Cadastros!A:D,4,0)+365),"")</f>
        <v/>
      </c>
      <c r="O1312" s="7" t="str">
        <f ca="1">IF(Tabela3[[#This Row],[Data da compra]]&gt;0,(TODAY()-Tabela3[[#This Row],[Data da compra]])/365,"")</f>
        <v/>
      </c>
      <c r="P1312" s="7" t="str">
        <f>IFERROR(VLOOKUP(Tabela3[[#This Row],[Categoria]],Cadastros!A:C,3,0),"")</f>
        <v/>
      </c>
      <c r="Q1312" s="9" t="str">
        <f ca="1">IFERROR(Tabela3[[#This Row],[Vida útil]]-Tabela3[[#This Row],[Idade]],"")</f>
        <v/>
      </c>
      <c r="R1312" s="8" t="str">
        <f ca="1">IFERROR(Tabela3[[#This Row],[Valor]]-(Tabela3[[#This Row],[Valor]]*(Tabela3[[#This Row],[Idade]]*VLOOKUP(Tabela3[[#This Row],[Categoria]],Cadastros!A:B,2,0))),"")</f>
        <v/>
      </c>
    </row>
    <row r="1313" spans="4:18" x14ac:dyDescent="0.25">
      <c r="D1313" s="5"/>
      <c r="N1313" s="6" t="str">
        <f>IFERROR(Tabela3[[#This Row],[Última revisão do bem]]+(VLOOKUP(Tabela3[[#This Row],[Categoria]],Cadastros!A:D,4,0)+365),"")</f>
        <v/>
      </c>
      <c r="O1313" s="7" t="str">
        <f ca="1">IF(Tabela3[[#This Row],[Data da compra]]&gt;0,(TODAY()-Tabela3[[#This Row],[Data da compra]])/365,"")</f>
        <v/>
      </c>
      <c r="P1313" s="7" t="str">
        <f>IFERROR(VLOOKUP(Tabela3[[#This Row],[Categoria]],Cadastros!A:C,3,0),"")</f>
        <v/>
      </c>
      <c r="Q1313" s="9" t="str">
        <f ca="1">IFERROR(Tabela3[[#This Row],[Vida útil]]-Tabela3[[#This Row],[Idade]],"")</f>
        <v/>
      </c>
      <c r="R1313" s="8" t="str">
        <f ca="1">IFERROR(Tabela3[[#This Row],[Valor]]-(Tabela3[[#This Row],[Valor]]*(Tabela3[[#This Row],[Idade]]*VLOOKUP(Tabela3[[#This Row],[Categoria]],Cadastros!A:B,2,0))),"")</f>
        <v/>
      </c>
    </row>
    <row r="1314" spans="4:18" x14ac:dyDescent="0.25">
      <c r="D1314" s="5"/>
      <c r="N1314" s="6" t="str">
        <f>IFERROR(Tabela3[[#This Row],[Última revisão do bem]]+(VLOOKUP(Tabela3[[#This Row],[Categoria]],Cadastros!A:D,4,0)+365),"")</f>
        <v/>
      </c>
      <c r="O1314" s="7" t="str">
        <f ca="1">IF(Tabela3[[#This Row],[Data da compra]]&gt;0,(TODAY()-Tabela3[[#This Row],[Data da compra]])/365,"")</f>
        <v/>
      </c>
      <c r="P1314" s="7" t="str">
        <f>IFERROR(VLOOKUP(Tabela3[[#This Row],[Categoria]],Cadastros!A:C,3,0),"")</f>
        <v/>
      </c>
      <c r="Q1314" s="9" t="str">
        <f ca="1">IFERROR(Tabela3[[#This Row],[Vida útil]]-Tabela3[[#This Row],[Idade]],"")</f>
        <v/>
      </c>
      <c r="R1314" s="8" t="str">
        <f ca="1">IFERROR(Tabela3[[#This Row],[Valor]]-(Tabela3[[#This Row],[Valor]]*(Tabela3[[#This Row],[Idade]]*VLOOKUP(Tabela3[[#This Row],[Categoria]],Cadastros!A:B,2,0))),"")</f>
        <v/>
      </c>
    </row>
    <row r="1315" spans="4:18" x14ac:dyDescent="0.25">
      <c r="D1315" s="5"/>
      <c r="N1315" s="6" t="str">
        <f>IFERROR(Tabela3[[#This Row],[Última revisão do bem]]+(VLOOKUP(Tabela3[[#This Row],[Categoria]],Cadastros!A:D,4,0)+365),"")</f>
        <v/>
      </c>
      <c r="O1315" s="7" t="str">
        <f ca="1">IF(Tabela3[[#This Row],[Data da compra]]&gt;0,(TODAY()-Tabela3[[#This Row],[Data da compra]])/365,"")</f>
        <v/>
      </c>
      <c r="P1315" s="7" t="str">
        <f>IFERROR(VLOOKUP(Tabela3[[#This Row],[Categoria]],Cadastros!A:C,3,0),"")</f>
        <v/>
      </c>
      <c r="Q1315" s="9" t="str">
        <f ca="1">IFERROR(Tabela3[[#This Row],[Vida útil]]-Tabela3[[#This Row],[Idade]],"")</f>
        <v/>
      </c>
      <c r="R1315" s="8" t="str">
        <f ca="1">IFERROR(Tabela3[[#This Row],[Valor]]-(Tabela3[[#This Row],[Valor]]*(Tabela3[[#This Row],[Idade]]*VLOOKUP(Tabela3[[#This Row],[Categoria]],Cadastros!A:B,2,0))),"")</f>
        <v/>
      </c>
    </row>
    <row r="1316" spans="4:18" x14ac:dyDescent="0.25">
      <c r="D1316" s="5"/>
      <c r="N1316" s="6" t="str">
        <f>IFERROR(Tabela3[[#This Row],[Última revisão do bem]]+(VLOOKUP(Tabela3[[#This Row],[Categoria]],Cadastros!A:D,4,0)+365),"")</f>
        <v/>
      </c>
      <c r="O1316" s="7" t="str">
        <f ca="1">IF(Tabela3[[#This Row],[Data da compra]]&gt;0,(TODAY()-Tabela3[[#This Row],[Data da compra]])/365,"")</f>
        <v/>
      </c>
      <c r="P1316" s="7" t="str">
        <f>IFERROR(VLOOKUP(Tabela3[[#This Row],[Categoria]],Cadastros!A:C,3,0),"")</f>
        <v/>
      </c>
      <c r="Q1316" s="9" t="str">
        <f ca="1">IFERROR(Tabela3[[#This Row],[Vida útil]]-Tabela3[[#This Row],[Idade]],"")</f>
        <v/>
      </c>
      <c r="R1316" s="8" t="str">
        <f ca="1">IFERROR(Tabela3[[#This Row],[Valor]]-(Tabela3[[#This Row],[Valor]]*(Tabela3[[#This Row],[Idade]]*VLOOKUP(Tabela3[[#This Row],[Categoria]],Cadastros!A:B,2,0))),"")</f>
        <v/>
      </c>
    </row>
    <row r="1317" spans="4:18" x14ac:dyDescent="0.25">
      <c r="D1317" s="5"/>
      <c r="N1317" s="6" t="str">
        <f>IFERROR(Tabela3[[#This Row],[Última revisão do bem]]+(VLOOKUP(Tabela3[[#This Row],[Categoria]],Cadastros!A:D,4,0)+365),"")</f>
        <v/>
      </c>
      <c r="O1317" s="7" t="str">
        <f ca="1">IF(Tabela3[[#This Row],[Data da compra]]&gt;0,(TODAY()-Tabela3[[#This Row],[Data da compra]])/365,"")</f>
        <v/>
      </c>
      <c r="P1317" s="7" t="str">
        <f>IFERROR(VLOOKUP(Tabela3[[#This Row],[Categoria]],Cadastros!A:C,3,0),"")</f>
        <v/>
      </c>
      <c r="Q1317" s="9" t="str">
        <f ca="1">IFERROR(Tabela3[[#This Row],[Vida útil]]-Tabela3[[#This Row],[Idade]],"")</f>
        <v/>
      </c>
      <c r="R1317" s="8" t="str">
        <f ca="1">IFERROR(Tabela3[[#This Row],[Valor]]-(Tabela3[[#This Row],[Valor]]*(Tabela3[[#This Row],[Idade]]*VLOOKUP(Tabela3[[#This Row],[Categoria]],Cadastros!A:B,2,0))),"")</f>
        <v/>
      </c>
    </row>
    <row r="1318" spans="4:18" x14ac:dyDescent="0.25">
      <c r="D1318" s="5"/>
      <c r="N1318" s="6" t="str">
        <f>IFERROR(Tabela3[[#This Row],[Última revisão do bem]]+(VLOOKUP(Tabela3[[#This Row],[Categoria]],Cadastros!A:D,4,0)+365),"")</f>
        <v/>
      </c>
      <c r="O1318" s="7" t="str">
        <f ca="1">IF(Tabela3[[#This Row],[Data da compra]]&gt;0,(TODAY()-Tabela3[[#This Row],[Data da compra]])/365,"")</f>
        <v/>
      </c>
      <c r="P1318" s="7" t="str">
        <f>IFERROR(VLOOKUP(Tabela3[[#This Row],[Categoria]],Cadastros!A:C,3,0),"")</f>
        <v/>
      </c>
      <c r="Q1318" s="9" t="str">
        <f ca="1">IFERROR(Tabela3[[#This Row],[Vida útil]]-Tabela3[[#This Row],[Idade]],"")</f>
        <v/>
      </c>
      <c r="R1318" s="8" t="str">
        <f ca="1">IFERROR(Tabela3[[#This Row],[Valor]]-(Tabela3[[#This Row],[Valor]]*(Tabela3[[#This Row],[Idade]]*VLOOKUP(Tabela3[[#This Row],[Categoria]],Cadastros!A:B,2,0))),"")</f>
        <v/>
      </c>
    </row>
    <row r="1319" spans="4:18" x14ac:dyDescent="0.25">
      <c r="D1319" s="5"/>
      <c r="N1319" s="6" t="str">
        <f>IFERROR(Tabela3[[#This Row],[Última revisão do bem]]+(VLOOKUP(Tabela3[[#This Row],[Categoria]],Cadastros!A:D,4,0)+365),"")</f>
        <v/>
      </c>
      <c r="O1319" s="7" t="str">
        <f ca="1">IF(Tabela3[[#This Row],[Data da compra]]&gt;0,(TODAY()-Tabela3[[#This Row],[Data da compra]])/365,"")</f>
        <v/>
      </c>
      <c r="P1319" s="7" t="str">
        <f>IFERROR(VLOOKUP(Tabela3[[#This Row],[Categoria]],Cadastros!A:C,3,0),"")</f>
        <v/>
      </c>
      <c r="Q1319" s="9" t="str">
        <f ca="1">IFERROR(Tabela3[[#This Row],[Vida útil]]-Tabela3[[#This Row],[Idade]],"")</f>
        <v/>
      </c>
      <c r="R1319" s="8" t="str">
        <f ca="1">IFERROR(Tabela3[[#This Row],[Valor]]-(Tabela3[[#This Row],[Valor]]*(Tabela3[[#This Row],[Idade]]*VLOOKUP(Tabela3[[#This Row],[Categoria]],Cadastros!A:B,2,0))),"")</f>
        <v/>
      </c>
    </row>
    <row r="1320" spans="4:18" x14ac:dyDescent="0.25">
      <c r="D1320" s="5"/>
      <c r="N1320" s="6" t="str">
        <f>IFERROR(Tabela3[[#This Row],[Última revisão do bem]]+(VLOOKUP(Tabela3[[#This Row],[Categoria]],Cadastros!A:D,4,0)+365),"")</f>
        <v/>
      </c>
      <c r="O1320" s="7" t="str">
        <f ca="1">IF(Tabela3[[#This Row],[Data da compra]]&gt;0,(TODAY()-Tabela3[[#This Row],[Data da compra]])/365,"")</f>
        <v/>
      </c>
      <c r="P1320" s="7" t="str">
        <f>IFERROR(VLOOKUP(Tabela3[[#This Row],[Categoria]],Cadastros!A:C,3,0),"")</f>
        <v/>
      </c>
      <c r="Q1320" s="9" t="str">
        <f ca="1">IFERROR(Tabela3[[#This Row],[Vida útil]]-Tabela3[[#This Row],[Idade]],"")</f>
        <v/>
      </c>
      <c r="R1320" s="8" t="str">
        <f ca="1">IFERROR(Tabela3[[#This Row],[Valor]]-(Tabela3[[#This Row],[Valor]]*(Tabela3[[#This Row],[Idade]]*VLOOKUP(Tabela3[[#This Row],[Categoria]],Cadastros!A:B,2,0))),"")</f>
        <v/>
      </c>
    </row>
    <row r="1321" spans="4:18" x14ac:dyDescent="0.25">
      <c r="D1321" s="5"/>
      <c r="N1321" s="6" t="str">
        <f>IFERROR(Tabela3[[#This Row],[Última revisão do bem]]+(VLOOKUP(Tabela3[[#This Row],[Categoria]],Cadastros!A:D,4,0)+365),"")</f>
        <v/>
      </c>
      <c r="O1321" s="7" t="str">
        <f ca="1">IF(Tabela3[[#This Row],[Data da compra]]&gt;0,(TODAY()-Tabela3[[#This Row],[Data da compra]])/365,"")</f>
        <v/>
      </c>
      <c r="P1321" s="7" t="str">
        <f>IFERROR(VLOOKUP(Tabela3[[#This Row],[Categoria]],Cadastros!A:C,3,0),"")</f>
        <v/>
      </c>
      <c r="Q1321" s="9" t="str">
        <f ca="1">IFERROR(Tabela3[[#This Row],[Vida útil]]-Tabela3[[#This Row],[Idade]],"")</f>
        <v/>
      </c>
      <c r="R1321" s="8" t="str">
        <f ca="1">IFERROR(Tabela3[[#This Row],[Valor]]-(Tabela3[[#This Row],[Valor]]*(Tabela3[[#This Row],[Idade]]*VLOOKUP(Tabela3[[#This Row],[Categoria]],Cadastros!A:B,2,0))),"")</f>
        <v/>
      </c>
    </row>
    <row r="1322" spans="4:18" x14ac:dyDescent="0.25">
      <c r="D1322" s="5"/>
      <c r="N1322" s="6" t="str">
        <f>IFERROR(Tabela3[[#This Row],[Última revisão do bem]]+(VLOOKUP(Tabela3[[#This Row],[Categoria]],Cadastros!A:D,4,0)+365),"")</f>
        <v/>
      </c>
      <c r="O1322" s="7" t="str">
        <f ca="1">IF(Tabela3[[#This Row],[Data da compra]]&gt;0,(TODAY()-Tabela3[[#This Row],[Data da compra]])/365,"")</f>
        <v/>
      </c>
      <c r="P1322" s="7" t="str">
        <f>IFERROR(VLOOKUP(Tabela3[[#This Row],[Categoria]],Cadastros!A:C,3,0),"")</f>
        <v/>
      </c>
      <c r="Q1322" s="9" t="str">
        <f ca="1">IFERROR(Tabela3[[#This Row],[Vida útil]]-Tabela3[[#This Row],[Idade]],"")</f>
        <v/>
      </c>
      <c r="R1322" s="8" t="str">
        <f ca="1">IFERROR(Tabela3[[#This Row],[Valor]]-(Tabela3[[#This Row],[Valor]]*(Tabela3[[#This Row],[Idade]]*VLOOKUP(Tabela3[[#This Row],[Categoria]],Cadastros!A:B,2,0))),"")</f>
        <v/>
      </c>
    </row>
    <row r="1323" spans="4:18" x14ac:dyDescent="0.25">
      <c r="D1323" s="5"/>
      <c r="N1323" s="6" t="str">
        <f>IFERROR(Tabela3[[#This Row],[Última revisão do bem]]+(VLOOKUP(Tabela3[[#This Row],[Categoria]],Cadastros!A:D,4,0)+365),"")</f>
        <v/>
      </c>
      <c r="O1323" s="7" t="str">
        <f ca="1">IF(Tabela3[[#This Row],[Data da compra]]&gt;0,(TODAY()-Tabela3[[#This Row],[Data da compra]])/365,"")</f>
        <v/>
      </c>
      <c r="P1323" s="7" t="str">
        <f>IFERROR(VLOOKUP(Tabela3[[#This Row],[Categoria]],Cadastros!A:C,3,0),"")</f>
        <v/>
      </c>
      <c r="Q1323" s="9" t="str">
        <f ca="1">IFERROR(Tabela3[[#This Row],[Vida útil]]-Tabela3[[#This Row],[Idade]],"")</f>
        <v/>
      </c>
      <c r="R1323" s="8" t="str">
        <f ca="1">IFERROR(Tabela3[[#This Row],[Valor]]-(Tabela3[[#This Row],[Valor]]*(Tabela3[[#This Row],[Idade]]*VLOOKUP(Tabela3[[#This Row],[Categoria]],Cadastros!A:B,2,0))),"")</f>
        <v/>
      </c>
    </row>
    <row r="1324" spans="4:18" x14ac:dyDescent="0.25">
      <c r="D1324" s="5"/>
      <c r="N1324" s="6" t="str">
        <f>IFERROR(Tabela3[[#This Row],[Última revisão do bem]]+(VLOOKUP(Tabela3[[#This Row],[Categoria]],Cadastros!A:D,4,0)+365),"")</f>
        <v/>
      </c>
      <c r="O1324" s="7" t="str">
        <f ca="1">IF(Tabela3[[#This Row],[Data da compra]]&gt;0,(TODAY()-Tabela3[[#This Row],[Data da compra]])/365,"")</f>
        <v/>
      </c>
      <c r="P1324" s="7" t="str">
        <f>IFERROR(VLOOKUP(Tabela3[[#This Row],[Categoria]],Cadastros!A:C,3,0),"")</f>
        <v/>
      </c>
      <c r="Q1324" s="9" t="str">
        <f ca="1">IFERROR(Tabela3[[#This Row],[Vida útil]]-Tabela3[[#This Row],[Idade]],"")</f>
        <v/>
      </c>
      <c r="R1324" s="8" t="str">
        <f ca="1">IFERROR(Tabela3[[#This Row],[Valor]]-(Tabela3[[#This Row],[Valor]]*(Tabela3[[#This Row],[Idade]]*VLOOKUP(Tabela3[[#This Row],[Categoria]],Cadastros!A:B,2,0))),"")</f>
        <v/>
      </c>
    </row>
    <row r="1325" spans="4:18" x14ac:dyDescent="0.25">
      <c r="D1325" s="5"/>
      <c r="N1325" s="6" t="str">
        <f>IFERROR(Tabela3[[#This Row],[Última revisão do bem]]+(VLOOKUP(Tabela3[[#This Row],[Categoria]],Cadastros!A:D,4,0)+365),"")</f>
        <v/>
      </c>
      <c r="O1325" s="7" t="str">
        <f ca="1">IF(Tabela3[[#This Row],[Data da compra]]&gt;0,(TODAY()-Tabela3[[#This Row],[Data da compra]])/365,"")</f>
        <v/>
      </c>
      <c r="P1325" s="7" t="str">
        <f>IFERROR(VLOOKUP(Tabela3[[#This Row],[Categoria]],Cadastros!A:C,3,0),"")</f>
        <v/>
      </c>
      <c r="Q1325" s="9" t="str">
        <f ca="1">IFERROR(Tabela3[[#This Row],[Vida útil]]-Tabela3[[#This Row],[Idade]],"")</f>
        <v/>
      </c>
      <c r="R1325" s="8" t="str">
        <f ca="1">IFERROR(Tabela3[[#This Row],[Valor]]-(Tabela3[[#This Row],[Valor]]*(Tabela3[[#This Row],[Idade]]*VLOOKUP(Tabela3[[#This Row],[Categoria]],Cadastros!A:B,2,0))),"")</f>
        <v/>
      </c>
    </row>
    <row r="1326" spans="4:18" x14ac:dyDescent="0.25">
      <c r="D1326" s="5"/>
      <c r="N1326" s="6" t="str">
        <f>IFERROR(Tabela3[[#This Row],[Última revisão do bem]]+(VLOOKUP(Tabela3[[#This Row],[Categoria]],Cadastros!A:D,4,0)+365),"")</f>
        <v/>
      </c>
      <c r="O1326" s="7" t="str">
        <f ca="1">IF(Tabela3[[#This Row],[Data da compra]]&gt;0,(TODAY()-Tabela3[[#This Row],[Data da compra]])/365,"")</f>
        <v/>
      </c>
      <c r="P1326" s="7" t="str">
        <f>IFERROR(VLOOKUP(Tabela3[[#This Row],[Categoria]],Cadastros!A:C,3,0),"")</f>
        <v/>
      </c>
      <c r="Q1326" s="9" t="str">
        <f ca="1">IFERROR(Tabela3[[#This Row],[Vida útil]]-Tabela3[[#This Row],[Idade]],"")</f>
        <v/>
      </c>
      <c r="R1326" s="8" t="str">
        <f ca="1">IFERROR(Tabela3[[#This Row],[Valor]]-(Tabela3[[#This Row],[Valor]]*(Tabela3[[#This Row],[Idade]]*VLOOKUP(Tabela3[[#This Row],[Categoria]],Cadastros!A:B,2,0))),"")</f>
        <v/>
      </c>
    </row>
    <row r="1327" spans="4:18" x14ac:dyDescent="0.25">
      <c r="D1327" s="5"/>
      <c r="N1327" s="6" t="str">
        <f>IFERROR(Tabela3[[#This Row],[Última revisão do bem]]+(VLOOKUP(Tabela3[[#This Row],[Categoria]],Cadastros!A:D,4,0)+365),"")</f>
        <v/>
      </c>
      <c r="O1327" s="7" t="str">
        <f ca="1">IF(Tabela3[[#This Row],[Data da compra]]&gt;0,(TODAY()-Tabela3[[#This Row],[Data da compra]])/365,"")</f>
        <v/>
      </c>
      <c r="P1327" s="7" t="str">
        <f>IFERROR(VLOOKUP(Tabela3[[#This Row],[Categoria]],Cadastros!A:C,3,0),"")</f>
        <v/>
      </c>
      <c r="Q1327" s="9" t="str">
        <f ca="1">IFERROR(Tabela3[[#This Row],[Vida útil]]-Tabela3[[#This Row],[Idade]],"")</f>
        <v/>
      </c>
      <c r="R1327" s="8" t="str">
        <f ca="1">IFERROR(Tabela3[[#This Row],[Valor]]-(Tabela3[[#This Row],[Valor]]*(Tabela3[[#This Row],[Idade]]*VLOOKUP(Tabela3[[#This Row],[Categoria]],Cadastros!A:B,2,0))),"")</f>
        <v/>
      </c>
    </row>
    <row r="1328" spans="4:18" x14ac:dyDescent="0.25">
      <c r="D1328" s="5"/>
      <c r="N1328" s="6" t="str">
        <f>IFERROR(Tabela3[[#This Row],[Última revisão do bem]]+(VLOOKUP(Tabela3[[#This Row],[Categoria]],Cadastros!A:D,4,0)+365),"")</f>
        <v/>
      </c>
      <c r="O1328" s="7" t="str">
        <f ca="1">IF(Tabela3[[#This Row],[Data da compra]]&gt;0,(TODAY()-Tabela3[[#This Row],[Data da compra]])/365,"")</f>
        <v/>
      </c>
      <c r="P1328" s="7" t="str">
        <f>IFERROR(VLOOKUP(Tabela3[[#This Row],[Categoria]],Cadastros!A:C,3,0),"")</f>
        <v/>
      </c>
      <c r="Q1328" s="9" t="str">
        <f ca="1">IFERROR(Tabela3[[#This Row],[Vida útil]]-Tabela3[[#This Row],[Idade]],"")</f>
        <v/>
      </c>
      <c r="R1328" s="8" t="str">
        <f ca="1">IFERROR(Tabela3[[#This Row],[Valor]]-(Tabela3[[#This Row],[Valor]]*(Tabela3[[#This Row],[Idade]]*VLOOKUP(Tabela3[[#This Row],[Categoria]],Cadastros!A:B,2,0))),"")</f>
        <v/>
      </c>
    </row>
    <row r="1329" spans="4:18" x14ac:dyDescent="0.25">
      <c r="D1329" s="5"/>
      <c r="N1329" s="6" t="str">
        <f>IFERROR(Tabela3[[#This Row],[Última revisão do bem]]+(VLOOKUP(Tabela3[[#This Row],[Categoria]],Cadastros!A:D,4,0)+365),"")</f>
        <v/>
      </c>
      <c r="O1329" s="7" t="str">
        <f ca="1">IF(Tabela3[[#This Row],[Data da compra]]&gt;0,(TODAY()-Tabela3[[#This Row],[Data da compra]])/365,"")</f>
        <v/>
      </c>
      <c r="P1329" s="7" t="str">
        <f>IFERROR(VLOOKUP(Tabela3[[#This Row],[Categoria]],Cadastros!A:C,3,0),"")</f>
        <v/>
      </c>
      <c r="Q1329" s="9" t="str">
        <f ca="1">IFERROR(Tabela3[[#This Row],[Vida útil]]-Tabela3[[#This Row],[Idade]],"")</f>
        <v/>
      </c>
      <c r="R1329" s="8" t="str">
        <f ca="1">IFERROR(Tabela3[[#This Row],[Valor]]-(Tabela3[[#This Row],[Valor]]*(Tabela3[[#This Row],[Idade]]*VLOOKUP(Tabela3[[#This Row],[Categoria]],Cadastros!A:B,2,0))),"")</f>
        <v/>
      </c>
    </row>
    <row r="1330" spans="4:18" x14ac:dyDescent="0.25">
      <c r="D1330" s="5"/>
      <c r="N1330" s="6" t="str">
        <f>IFERROR(Tabela3[[#This Row],[Última revisão do bem]]+(VLOOKUP(Tabela3[[#This Row],[Categoria]],Cadastros!A:D,4,0)+365),"")</f>
        <v/>
      </c>
      <c r="O1330" s="7" t="str">
        <f ca="1">IF(Tabela3[[#This Row],[Data da compra]]&gt;0,(TODAY()-Tabela3[[#This Row],[Data da compra]])/365,"")</f>
        <v/>
      </c>
      <c r="P1330" s="7" t="str">
        <f>IFERROR(VLOOKUP(Tabela3[[#This Row],[Categoria]],Cadastros!A:C,3,0),"")</f>
        <v/>
      </c>
      <c r="Q1330" s="9" t="str">
        <f ca="1">IFERROR(Tabela3[[#This Row],[Vida útil]]-Tabela3[[#This Row],[Idade]],"")</f>
        <v/>
      </c>
      <c r="R1330" s="8" t="str">
        <f ca="1">IFERROR(Tabela3[[#This Row],[Valor]]-(Tabela3[[#This Row],[Valor]]*(Tabela3[[#This Row],[Idade]]*VLOOKUP(Tabela3[[#This Row],[Categoria]],Cadastros!A:B,2,0))),"")</f>
        <v/>
      </c>
    </row>
    <row r="1331" spans="4:18" x14ac:dyDescent="0.25">
      <c r="D1331" s="5"/>
      <c r="N1331" s="6" t="str">
        <f>IFERROR(Tabela3[[#This Row],[Última revisão do bem]]+(VLOOKUP(Tabela3[[#This Row],[Categoria]],Cadastros!A:D,4,0)+365),"")</f>
        <v/>
      </c>
      <c r="O1331" s="7" t="str">
        <f ca="1">IF(Tabela3[[#This Row],[Data da compra]]&gt;0,(TODAY()-Tabela3[[#This Row],[Data da compra]])/365,"")</f>
        <v/>
      </c>
      <c r="P1331" s="7" t="str">
        <f>IFERROR(VLOOKUP(Tabela3[[#This Row],[Categoria]],Cadastros!A:C,3,0),"")</f>
        <v/>
      </c>
      <c r="Q1331" s="9" t="str">
        <f ca="1">IFERROR(Tabela3[[#This Row],[Vida útil]]-Tabela3[[#This Row],[Idade]],"")</f>
        <v/>
      </c>
      <c r="R1331" s="8" t="str">
        <f ca="1">IFERROR(Tabela3[[#This Row],[Valor]]-(Tabela3[[#This Row],[Valor]]*(Tabela3[[#This Row],[Idade]]*VLOOKUP(Tabela3[[#This Row],[Categoria]],Cadastros!A:B,2,0))),"")</f>
        <v/>
      </c>
    </row>
    <row r="1332" spans="4:18" x14ac:dyDescent="0.25">
      <c r="D1332" s="5"/>
      <c r="N1332" s="6" t="str">
        <f>IFERROR(Tabela3[[#This Row],[Última revisão do bem]]+(VLOOKUP(Tabela3[[#This Row],[Categoria]],Cadastros!A:D,4,0)+365),"")</f>
        <v/>
      </c>
      <c r="O1332" s="7" t="str">
        <f ca="1">IF(Tabela3[[#This Row],[Data da compra]]&gt;0,(TODAY()-Tabela3[[#This Row],[Data da compra]])/365,"")</f>
        <v/>
      </c>
      <c r="P1332" s="7" t="str">
        <f>IFERROR(VLOOKUP(Tabela3[[#This Row],[Categoria]],Cadastros!A:C,3,0),"")</f>
        <v/>
      </c>
      <c r="Q1332" s="9" t="str">
        <f ca="1">IFERROR(Tabela3[[#This Row],[Vida útil]]-Tabela3[[#This Row],[Idade]],"")</f>
        <v/>
      </c>
      <c r="R1332" s="8" t="str">
        <f ca="1">IFERROR(Tabela3[[#This Row],[Valor]]-(Tabela3[[#This Row],[Valor]]*(Tabela3[[#This Row],[Idade]]*VLOOKUP(Tabela3[[#This Row],[Categoria]],Cadastros!A:B,2,0))),"")</f>
        <v/>
      </c>
    </row>
    <row r="1333" spans="4:18" x14ac:dyDescent="0.25">
      <c r="D1333" s="5"/>
      <c r="N1333" s="6" t="str">
        <f>IFERROR(Tabela3[[#This Row],[Última revisão do bem]]+(VLOOKUP(Tabela3[[#This Row],[Categoria]],Cadastros!A:D,4,0)+365),"")</f>
        <v/>
      </c>
      <c r="O1333" s="7" t="str">
        <f ca="1">IF(Tabela3[[#This Row],[Data da compra]]&gt;0,(TODAY()-Tabela3[[#This Row],[Data da compra]])/365,"")</f>
        <v/>
      </c>
      <c r="P1333" s="7" t="str">
        <f>IFERROR(VLOOKUP(Tabela3[[#This Row],[Categoria]],Cadastros!A:C,3,0),"")</f>
        <v/>
      </c>
      <c r="Q1333" s="9" t="str">
        <f ca="1">IFERROR(Tabela3[[#This Row],[Vida útil]]-Tabela3[[#This Row],[Idade]],"")</f>
        <v/>
      </c>
      <c r="R1333" s="8" t="str">
        <f ca="1">IFERROR(Tabela3[[#This Row],[Valor]]-(Tabela3[[#This Row],[Valor]]*(Tabela3[[#This Row],[Idade]]*VLOOKUP(Tabela3[[#This Row],[Categoria]],Cadastros!A:B,2,0))),"")</f>
        <v/>
      </c>
    </row>
    <row r="1334" spans="4:18" x14ac:dyDescent="0.25">
      <c r="D1334" s="5"/>
      <c r="N1334" s="6" t="str">
        <f>IFERROR(Tabela3[[#This Row],[Última revisão do bem]]+(VLOOKUP(Tabela3[[#This Row],[Categoria]],Cadastros!A:D,4,0)+365),"")</f>
        <v/>
      </c>
      <c r="O1334" s="7" t="str">
        <f ca="1">IF(Tabela3[[#This Row],[Data da compra]]&gt;0,(TODAY()-Tabela3[[#This Row],[Data da compra]])/365,"")</f>
        <v/>
      </c>
      <c r="P1334" s="7" t="str">
        <f>IFERROR(VLOOKUP(Tabela3[[#This Row],[Categoria]],Cadastros!A:C,3,0),"")</f>
        <v/>
      </c>
      <c r="Q1334" s="9" t="str">
        <f ca="1">IFERROR(Tabela3[[#This Row],[Vida útil]]-Tabela3[[#This Row],[Idade]],"")</f>
        <v/>
      </c>
      <c r="R1334" s="8" t="str">
        <f ca="1">IFERROR(Tabela3[[#This Row],[Valor]]-(Tabela3[[#This Row],[Valor]]*(Tabela3[[#This Row],[Idade]]*VLOOKUP(Tabela3[[#This Row],[Categoria]],Cadastros!A:B,2,0))),"")</f>
        <v/>
      </c>
    </row>
    <row r="1335" spans="4:18" x14ac:dyDescent="0.25">
      <c r="D1335" s="5"/>
      <c r="N1335" s="6" t="str">
        <f>IFERROR(Tabela3[[#This Row],[Última revisão do bem]]+(VLOOKUP(Tabela3[[#This Row],[Categoria]],Cadastros!A:D,4,0)+365),"")</f>
        <v/>
      </c>
      <c r="O1335" s="7" t="str">
        <f ca="1">IF(Tabela3[[#This Row],[Data da compra]]&gt;0,(TODAY()-Tabela3[[#This Row],[Data da compra]])/365,"")</f>
        <v/>
      </c>
      <c r="P1335" s="7" t="str">
        <f>IFERROR(VLOOKUP(Tabela3[[#This Row],[Categoria]],Cadastros!A:C,3,0),"")</f>
        <v/>
      </c>
      <c r="Q1335" s="9" t="str">
        <f ca="1">IFERROR(Tabela3[[#This Row],[Vida útil]]-Tabela3[[#This Row],[Idade]],"")</f>
        <v/>
      </c>
      <c r="R1335" s="8" t="str">
        <f ca="1">IFERROR(Tabela3[[#This Row],[Valor]]-(Tabela3[[#This Row],[Valor]]*(Tabela3[[#This Row],[Idade]]*VLOOKUP(Tabela3[[#This Row],[Categoria]],Cadastros!A:B,2,0))),"")</f>
        <v/>
      </c>
    </row>
    <row r="1336" spans="4:18" x14ac:dyDescent="0.25">
      <c r="D1336" s="5"/>
      <c r="N1336" s="6" t="str">
        <f>IFERROR(Tabela3[[#This Row],[Última revisão do bem]]+(VLOOKUP(Tabela3[[#This Row],[Categoria]],Cadastros!A:D,4,0)+365),"")</f>
        <v/>
      </c>
      <c r="O1336" s="7" t="str">
        <f ca="1">IF(Tabela3[[#This Row],[Data da compra]]&gt;0,(TODAY()-Tabela3[[#This Row],[Data da compra]])/365,"")</f>
        <v/>
      </c>
      <c r="P1336" s="7" t="str">
        <f>IFERROR(VLOOKUP(Tabela3[[#This Row],[Categoria]],Cadastros!A:C,3,0),"")</f>
        <v/>
      </c>
      <c r="Q1336" s="9" t="str">
        <f ca="1">IFERROR(Tabela3[[#This Row],[Vida útil]]-Tabela3[[#This Row],[Idade]],"")</f>
        <v/>
      </c>
      <c r="R1336" s="8" t="str">
        <f ca="1">IFERROR(Tabela3[[#This Row],[Valor]]-(Tabela3[[#This Row],[Valor]]*(Tabela3[[#This Row],[Idade]]*VLOOKUP(Tabela3[[#This Row],[Categoria]],Cadastros!A:B,2,0))),"")</f>
        <v/>
      </c>
    </row>
    <row r="1337" spans="4:18" x14ac:dyDescent="0.25">
      <c r="D1337" s="5"/>
      <c r="N1337" s="6" t="str">
        <f>IFERROR(Tabela3[[#This Row],[Última revisão do bem]]+(VLOOKUP(Tabela3[[#This Row],[Categoria]],Cadastros!A:D,4,0)+365),"")</f>
        <v/>
      </c>
      <c r="O1337" s="7" t="str">
        <f ca="1">IF(Tabela3[[#This Row],[Data da compra]]&gt;0,(TODAY()-Tabela3[[#This Row],[Data da compra]])/365,"")</f>
        <v/>
      </c>
      <c r="P1337" s="7" t="str">
        <f>IFERROR(VLOOKUP(Tabela3[[#This Row],[Categoria]],Cadastros!A:C,3,0),"")</f>
        <v/>
      </c>
      <c r="Q1337" s="9" t="str">
        <f ca="1">IFERROR(Tabela3[[#This Row],[Vida útil]]-Tabela3[[#This Row],[Idade]],"")</f>
        <v/>
      </c>
      <c r="R1337" s="8" t="str">
        <f ca="1">IFERROR(Tabela3[[#This Row],[Valor]]-(Tabela3[[#This Row],[Valor]]*(Tabela3[[#This Row],[Idade]]*VLOOKUP(Tabela3[[#This Row],[Categoria]],Cadastros!A:B,2,0))),"")</f>
        <v/>
      </c>
    </row>
    <row r="1338" spans="4:18" x14ac:dyDescent="0.25">
      <c r="D1338" s="22"/>
      <c r="N1338" s="6" t="str">
        <f>IFERROR(Tabela3[[#This Row],[Última revisão do bem]]+(VLOOKUP(Tabela3[[#This Row],[Categoria]],Cadastros!A:D,4,0)+365),"")</f>
        <v/>
      </c>
      <c r="O1338" s="7" t="str">
        <f ca="1">IF(Tabela3[[#This Row],[Data da compra]]&gt;0,(TODAY()-Tabela3[[#This Row],[Data da compra]])/365,"")</f>
        <v/>
      </c>
      <c r="P1338" s="7" t="str">
        <f>IFERROR(VLOOKUP(Tabela3[[#This Row],[Categoria]],Cadastros!A:C,3,0),"")</f>
        <v/>
      </c>
      <c r="Q1338" s="9" t="str">
        <f ca="1">IFERROR(Tabela3[[#This Row],[Vida útil]]-Tabela3[[#This Row],[Idade]],"")</f>
        <v/>
      </c>
      <c r="R1338" s="23" t="str">
        <f ca="1">IFERROR(Tabela3[[#This Row],[Valor]]-(Tabela3[[#This Row],[Valor]]*(Tabela3[[#This Row],[Idade]]*VLOOKUP(Tabela3[[#This Row],[Categoria]],Cadastros!A:B,2,0))),"")</f>
        <v/>
      </c>
    </row>
    <row r="1339" spans="4:18" x14ac:dyDescent="0.25">
      <c r="D1339" s="5"/>
      <c r="N1339" s="6" t="str">
        <f>IFERROR(Tabela3[[#This Row],[Última revisão do bem]]+(VLOOKUP(Tabela3[[#This Row],[Categoria]],Cadastros!A:D,4,0)+365),"")</f>
        <v/>
      </c>
      <c r="O1339" s="7" t="str">
        <f ca="1">IF(Tabela3[[#This Row],[Data da compra]]&gt;0,(TODAY()-Tabela3[[#This Row],[Data da compra]])/365,"")</f>
        <v/>
      </c>
      <c r="P1339" s="7" t="str">
        <f>IFERROR(VLOOKUP(Tabela3[[#This Row],[Categoria]],Cadastros!A:C,3,0),"")</f>
        <v/>
      </c>
      <c r="Q1339" s="9" t="str">
        <f ca="1">IFERROR(Tabela3[[#This Row],[Vida útil]]-Tabela3[[#This Row],[Idade]],"")</f>
        <v/>
      </c>
      <c r="R1339" s="8" t="str">
        <f ca="1">IFERROR(Tabela3[[#This Row],[Valor]]-(Tabela3[[#This Row],[Valor]]*(Tabela3[[#This Row],[Idade]]*VLOOKUP(Tabela3[[#This Row],[Categoria]],Cadastros!A:B,2,0))),"")</f>
        <v/>
      </c>
    </row>
    <row r="1340" spans="4:18" x14ac:dyDescent="0.25">
      <c r="D1340" s="5"/>
      <c r="N1340" s="6" t="str">
        <f>IFERROR(Tabela3[[#This Row],[Última revisão do bem]]+(VLOOKUP(Tabela3[[#This Row],[Categoria]],Cadastros!A:D,4,0)+365),"")</f>
        <v/>
      </c>
      <c r="O1340" s="7" t="str">
        <f ca="1">IF(Tabela3[[#This Row],[Data da compra]]&gt;0,(TODAY()-Tabela3[[#This Row],[Data da compra]])/365,"")</f>
        <v/>
      </c>
      <c r="P1340" s="7" t="str">
        <f>IFERROR(VLOOKUP(Tabela3[[#This Row],[Categoria]],Cadastros!A:C,3,0),"")</f>
        <v/>
      </c>
      <c r="Q1340" s="9" t="str">
        <f ca="1">IFERROR(Tabela3[[#This Row],[Vida útil]]-Tabela3[[#This Row],[Idade]],"")</f>
        <v/>
      </c>
      <c r="R1340" s="8" t="str">
        <f ca="1">IFERROR(Tabela3[[#This Row],[Valor]]-(Tabela3[[#This Row],[Valor]]*(Tabela3[[#This Row],[Idade]]*VLOOKUP(Tabela3[[#This Row],[Categoria]],Cadastros!A:B,2,0))),"")</f>
        <v/>
      </c>
    </row>
    <row r="1341" spans="4:18" x14ac:dyDescent="0.25">
      <c r="D1341" s="5"/>
      <c r="N1341" s="6" t="str">
        <f>IFERROR(Tabela3[[#This Row],[Última revisão do bem]]+(VLOOKUP(Tabela3[[#This Row],[Categoria]],Cadastros!A:D,4,0)+365),"")</f>
        <v/>
      </c>
      <c r="O1341" s="7" t="str">
        <f ca="1">IF(Tabela3[[#This Row],[Data da compra]]&gt;0,(TODAY()-Tabela3[[#This Row],[Data da compra]])/365,"")</f>
        <v/>
      </c>
      <c r="P1341" s="7" t="str">
        <f>IFERROR(VLOOKUP(Tabela3[[#This Row],[Categoria]],Cadastros!A:C,3,0),"")</f>
        <v/>
      </c>
      <c r="Q1341" s="9" t="str">
        <f ca="1">IFERROR(Tabela3[[#This Row],[Vida útil]]-Tabela3[[#This Row],[Idade]],"")</f>
        <v/>
      </c>
      <c r="R1341" s="8" t="str">
        <f ca="1">IFERROR(Tabela3[[#This Row],[Valor]]-(Tabela3[[#This Row],[Valor]]*(Tabela3[[#This Row],[Idade]]*VLOOKUP(Tabela3[[#This Row],[Categoria]],Cadastros!A:B,2,0))),"")</f>
        <v/>
      </c>
    </row>
    <row r="1342" spans="4:18" x14ac:dyDescent="0.25">
      <c r="D1342" s="5"/>
      <c r="N1342" s="6" t="str">
        <f>IFERROR(Tabela3[[#This Row],[Última revisão do bem]]+(VLOOKUP(Tabela3[[#This Row],[Categoria]],Cadastros!A:D,4,0)+365),"")</f>
        <v/>
      </c>
      <c r="O1342" s="7" t="str">
        <f ca="1">IF(Tabela3[[#This Row],[Data da compra]]&gt;0,(TODAY()-Tabela3[[#This Row],[Data da compra]])/365,"")</f>
        <v/>
      </c>
      <c r="P1342" s="7" t="str">
        <f>IFERROR(VLOOKUP(Tabela3[[#This Row],[Categoria]],Cadastros!A:C,3,0),"")</f>
        <v/>
      </c>
      <c r="Q1342" s="9" t="str">
        <f ca="1">IFERROR(Tabela3[[#This Row],[Vida útil]]-Tabela3[[#This Row],[Idade]],"")</f>
        <v/>
      </c>
      <c r="R1342" s="8" t="str">
        <f ca="1">IFERROR(Tabela3[[#This Row],[Valor]]-(Tabela3[[#This Row],[Valor]]*(Tabela3[[#This Row],[Idade]]*VLOOKUP(Tabela3[[#This Row],[Categoria]],Cadastros!A:B,2,0))),"")</f>
        <v/>
      </c>
    </row>
    <row r="1343" spans="4:18" x14ac:dyDescent="0.25">
      <c r="D1343" s="5"/>
      <c r="N1343" s="6" t="str">
        <f>IFERROR(Tabela3[[#This Row],[Última revisão do bem]]+(VLOOKUP(Tabela3[[#This Row],[Categoria]],Cadastros!A:D,4,0)+365),"")</f>
        <v/>
      </c>
      <c r="O1343" s="7" t="str">
        <f ca="1">IF(Tabela3[[#This Row],[Data da compra]]&gt;0,(TODAY()-Tabela3[[#This Row],[Data da compra]])/365,"")</f>
        <v/>
      </c>
      <c r="P1343" s="7" t="str">
        <f>IFERROR(VLOOKUP(Tabela3[[#This Row],[Categoria]],Cadastros!A:C,3,0),"")</f>
        <v/>
      </c>
      <c r="Q1343" s="9" t="str">
        <f ca="1">IFERROR(Tabela3[[#This Row],[Vida útil]]-Tabela3[[#This Row],[Idade]],"")</f>
        <v/>
      </c>
      <c r="R1343" s="8" t="str">
        <f ca="1">IFERROR(Tabela3[[#This Row],[Valor]]-(Tabela3[[#This Row],[Valor]]*(Tabela3[[#This Row],[Idade]]*VLOOKUP(Tabela3[[#This Row],[Categoria]],Cadastros!A:B,2,0))),"")</f>
        <v/>
      </c>
    </row>
    <row r="1344" spans="4:18" x14ac:dyDescent="0.25">
      <c r="D1344" s="5"/>
      <c r="N1344" s="6" t="str">
        <f>IFERROR(Tabela3[[#This Row],[Última revisão do bem]]+(VLOOKUP(Tabela3[[#This Row],[Categoria]],Cadastros!A:D,4,0)+365),"")</f>
        <v/>
      </c>
      <c r="O1344" s="7" t="str">
        <f ca="1">IF(Tabela3[[#This Row],[Data da compra]]&gt;0,(TODAY()-Tabela3[[#This Row],[Data da compra]])/365,"")</f>
        <v/>
      </c>
      <c r="P1344" s="7" t="str">
        <f>IFERROR(VLOOKUP(Tabela3[[#This Row],[Categoria]],Cadastros!A:C,3,0),"")</f>
        <v/>
      </c>
      <c r="Q1344" s="9" t="str">
        <f ca="1">IFERROR(Tabela3[[#This Row],[Vida útil]]-Tabela3[[#This Row],[Idade]],"")</f>
        <v/>
      </c>
      <c r="R1344" s="8" t="str">
        <f ca="1">IFERROR(Tabela3[[#This Row],[Valor]]-(Tabela3[[#This Row],[Valor]]*(Tabela3[[#This Row],[Idade]]*VLOOKUP(Tabela3[[#This Row],[Categoria]],Cadastros!A:B,2,0))),"")</f>
        <v/>
      </c>
    </row>
    <row r="1345" spans="4:18" x14ac:dyDescent="0.25">
      <c r="D1345" s="5"/>
      <c r="N1345" s="6" t="str">
        <f>IFERROR(Tabela3[[#This Row],[Última revisão do bem]]+(VLOOKUP(Tabela3[[#This Row],[Categoria]],Cadastros!A:D,4,0)+365),"")</f>
        <v/>
      </c>
      <c r="O1345" s="7" t="str">
        <f ca="1">IF(Tabela3[[#This Row],[Data da compra]]&gt;0,(TODAY()-Tabela3[[#This Row],[Data da compra]])/365,"")</f>
        <v/>
      </c>
      <c r="P1345" s="7" t="str">
        <f>IFERROR(VLOOKUP(Tabela3[[#This Row],[Categoria]],Cadastros!A:C,3,0),"")</f>
        <v/>
      </c>
      <c r="Q1345" s="9" t="str">
        <f ca="1">IFERROR(Tabela3[[#This Row],[Vida útil]]-Tabela3[[#This Row],[Idade]],"")</f>
        <v/>
      </c>
      <c r="R1345" s="8" t="str">
        <f ca="1">IFERROR(Tabela3[[#This Row],[Valor]]-(Tabela3[[#This Row],[Valor]]*(Tabela3[[#This Row],[Idade]]*VLOOKUP(Tabela3[[#This Row],[Categoria]],Cadastros!A:B,2,0))),"")</f>
        <v/>
      </c>
    </row>
    <row r="1346" spans="4:18" x14ac:dyDescent="0.25">
      <c r="D1346" s="5"/>
      <c r="N1346" s="6" t="str">
        <f>IFERROR(Tabela3[[#This Row],[Última revisão do bem]]+(VLOOKUP(Tabela3[[#This Row],[Categoria]],Cadastros!A:D,4,0)+365),"")</f>
        <v/>
      </c>
      <c r="O1346" s="7" t="str">
        <f ca="1">IF(Tabela3[[#This Row],[Data da compra]]&gt;0,(TODAY()-Tabela3[[#This Row],[Data da compra]])/365,"")</f>
        <v/>
      </c>
      <c r="P1346" s="7" t="str">
        <f>IFERROR(VLOOKUP(Tabela3[[#This Row],[Categoria]],Cadastros!A:C,3,0),"")</f>
        <v/>
      </c>
      <c r="Q1346" s="9" t="str">
        <f ca="1">IFERROR(Tabela3[[#This Row],[Vida útil]]-Tabela3[[#This Row],[Idade]],"")</f>
        <v/>
      </c>
      <c r="R1346" s="8" t="str">
        <f ca="1">IFERROR(Tabela3[[#This Row],[Valor]]-(Tabela3[[#This Row],[Valor]]*(Tabela3[[#This Row],[Idade]]*VLOOKUP(Tabela3[[#This Row],[Categoria]],Cadastros!A:B,2,0))),"")</f>
        <v/>
      </c>
    </row>
    <row r="1347" spans="4:18" x14ac:dyDescent="0.25">
      <c r="D1347" s="5"/>
      <c r="N1347" s="6" t="str">
        <f>IFERROR(Tabela3[[#This Row],[Última revisão do bem]]+(VLOOKUP(Tabela3[[#This Row],[Categoria]],Cadastros!A:D,4,0)+365),"")</f>
        <v/>
      </c>
      <c r="O1347" s="7" t="str">
        <f ca="1">IF(Tabela3[[#This Row],[Data da compra]]&gt;0,(TODAY()-Tabela3[[#This Row],[Data da compra]])/365,"")</f>
        <v/>
      </c>
      <c r="P1347" s="7" t="str">
        <f>IFERROR(VLOOKUP(Tabela3[[#This Row],[Categoria]],Cadastros!A:C,3,0),"")</f>
        <v/>
      </c>
      <c r="Q1347" s="9" t="str">
        <f ca="1">IFERROR(Tabela3[[#This Row],[Vida útil]]-Tabela3[[#This Row],[Idade]],"")</f>
        <v/>
      </c>
      <c r="R1347" s="8" t="str">
        <f ca="1">IFERROR(Tabela3[[#This Row],[Valor]]-(Tabela3[[#This Row],[Valor]]*(Tabela3[[#This Row],[Idade]]*VLOOKUP(Tabela3[[#This Row],[Categoria]],Cadastros!A:B,2,0))),"")</f>
        <v/>
      </c>
    </row>
    <row r="1348" spans="4:18" x14ac:dyDescent="0.25">
      <c r="D1348" s="5"/>
      <c r="N1348" s="6" t="str">
        <f>IFERROR(Tabela3[[#This Row],[Última revisão do bem]]+(VLOOKUP(Tabela3[[#This Row],[Categoria]],Cadastros!A:D,4,0)+365),"")</f>
        <v/>
      </c>
      <c r="O1348" s="7" t="str">
        <f ca="1">IF(Tabela3[[#This Row],[Data da compra]]&gt;0,(TODAY()-Tabela3[[#This Row],[Data da compra]])/365,"")</f>
        <v/>
      </c>
      <c r="P1348" s="7" t="str">
        <f>IFERROR(VLOOKUP(Tabela3[[#This Row],[Categoria]],Cadastros!A:C,3,0),"")</f>
        <v/>
      </c>
      <c r="Q1348" s="9" t="str">
        <f ca="1">IFERROR(Tabela3[[#This Row],[Vida útil]]-Tabela3[[#This Row],[Idade]],"")</f>
        <v/>
      </c>
      <c r="R1348" s="8" t="str">
        <f ca="1">IFERROR(Tabela3[[#This Row],[Valor]]-(Tabela3[[#This Row],[Valor]]*(Tabela3[[#This Row],[Idade]]*VLOOKUP(Tabela3[[#This Row],[Categoria]],Cadastros!A:B,2,0))),"")</f>
        <v/>
      </c>
    </row>
    <row r="1349" spans="4:18" x14ac:dyDescent="0.25">
      <c r="D1349" s="5"/>
      <c r="N1349" s="6" t="str">
        <f>IFERROR(Tabela3[[#This Row],[Última revisão do bem]]+(VLOOKUP(Tabela3[[#This Row],[Categoria]],Cadastros!A:D,4,0)+365),"")</f>
        <v/>
      </c>
      <c r="O1349" s="7" t="str">
        <f ca="1">IF(Tabela3[[#This Row],[Data da compra]]&gt;0,(TODAY()-Tabela3[[#This Row],[Data da compra]])/365,"")</f>
        <v/>
      </c>
      <c r="P1349" s="7" t="str">
        <f>IFERROR(VLOOKUP(Tabela3[[#This Row],[Categoria]],Cadastros!A:C,3,0),"")</f>
        <v/>
      </c>
      <c r="Q1349" s="9" t="str">
        <f ca="1">IFERROR(Tabela3[[#This Row],[Vida útil]]-Tabela3[[#This Row],[Idade]],"")</f>
        <v/>
      </c>
      <c r="R1349" s="8" t="str">
        <f ca="1">IFERROR(Tabela3[[#This Row],[Valor]]-(Tabela3[[#This Row],[Valor]]*(Tabela3[[#This Row],[Idade]]*VLOOKUP(Tabela3[[#This Row],[Categoria]],Cadastros!A:B,2,0))),"")</f>
        <v/>
      </c>
    </row>
    <row r="1350" spans="4:18" x14ac:dyDescent="0.25">
      <c r="D1350" s="5"/>
      <c r="N1350" s="6" t="str">
        <f>IFERROR(Tabela3[[#This Row],[Última revisão do bem]]+(VLOOKUP(Tabela3[[#This Row],[Categoria]],Cadastros!A:D,4,0)+365),"")</f>
        <v/>
      </c>
      <c r="O1350" s="7" t="str">
        <f ca="1">IF(Tabela3[[#This Row],[Data da compra]]&gt;0,(TODAY()-Tabela3[[#This Row],[Data da compra]])/365,"")</f>
        <v/>
      </c>
      <c r="P1350" s="7" t="str">
        <f>IFERROR(VLOOKUP(Tabela3[[#This Row],[Categoria]],Cadastros!A:C,3,0),"")</f>
        <v/>
      </c>
      <c r="Q1350" s="9" t="str">
        <f ca="1">IFERROR(Tabela3[[#This Row],[Vida útil]]-Tabela3[[#This Row],[Idade]],"")</f>
        <v/>
      </c>
      <c r="R1350" s="8" t="str">
        <f ca="1">IFERROR(Tabela3[[#This Row],[Valor]]-(Tabela3[[#This Row],[Valor]]*(Tabela3[[#This Row],[Idade]]*VLOOKUP(Tabela3[[#This Row],[Categoria]],Cadastros!A:B,2,0))),"")</f>
        <v/>
      </c>
    </row>
    <row r="1351" spans="4:18" x14ac:dyDescent="0.25">
      <c r="D1351" s="5"/>
      <c r="N1351" s="6" t="str">
        <f>IFERROR(Tabela3[[#This Row],[Última revisão do bem]]+(VLOOKUP(Tabela3[[#This Row],[Categoria]],Cadastros!A:D,4,0)+365),"")</f>
        <v/>
      </c>
      <c r="O1351" s="7" t="str">
        <f ca="1">IF(Tabela3[[#This Row],[Data da compra]]&gt;0,(TODAY()-Tabela3[[#This Row],[Data da compra]])/365,"")</f>
        <v/>
      </c>
      <c r="P1351" s="7" t="str">
        <f>IFERROR(VLOOKUP(Tabela3[[#This Row],[Categoria]],Cadastros!A:C,3,0),"")</f>
        <v/>
      </c>
      <c r="Q1351" s="9" t="str">
        <f ca="1">IFERROR(Tabela3[[#This Row],[Vida útil]]-Tabela3[[#This Row],[Idade]],"")</f>
        <v/>
      </c>
      <c r="R1351" s="8" t="str">
        <f ca="1">IFERROR(Tabela3[[#This Row],[Valor]]-(Tabela3[[#This Row],[Valor]]*(Tabela3[[#This Row],[Idade]]*VLOOKUP(Tabela3[[#This Row],[Categoria]],Cadastros!A:B,2,0))),"")</f>
        <v/>
      </c>
    </row>
    <row r="1352" spans="4:18" x14ac:dyDescent="0.25">
      <c r="D1352" s="5"/>
      <c r="N1352" s="6" t="str">
        <f>IFERROR(Tabela3[[#This Row],[Última revisão do bem]]+(VLOOKUP(Tabela3[[#This Row],[Categoria]],Cadastros!A:D,4,0)+365),"")</f>
        <v/>
      </c>
      <c r="O1352" s="7" t="str">
        <f ca="1">IF(Tabela3[[#This Row],[Data da compra]]&gt;0,(TODAY()-Tabela3[[#This Row],[Data da compra]])/365,"")</f>
        <v/>
      </c>
      <c r="P1352" s="7" t="str">
        <f>IFERROR(VLOOKUP(Tabela3[[#This Row],[Categoria]],Cadastros!A:C,3,0),"")</f>
        <v/>
      </c>
      <c r="Q1352" s="9" t="str">
        <f ca="1">IFERROR(Tabela3[[#This Row],[Vida útil]]-Tabela3[[#This Row],[Idade]],"")</f>
        <v/>
      </c>
      <c r="R1352" s="8" t="str">
        <f ca="1">IFERROR(Tabela3[[#This Row],[Valor]]-(Tabela3[[#This Row],[Valor]]*(Tabela3[[#This Row],[Idade]]*VLOOKUP(Tabela3[[#This Row],[Categoria]],Cadastros!A:B,2,0))),"")</f>
        <v/>
      </c>
    </row>
    <row r="1353" spans="4:18" x14ac:dyDescent="0.25">
      <c r="D1353" s="5"/>
      <c r="N1353" s="6" t="str">
        <f>IFERROR(Tabela3[[#This Row],[Última revisão do bem]]+(VLOOKUP(Tabela3[[#This Row],[Categoria]],Cadastros!A:D,4,0)+365),"")</f>
        <v/>
      </c>
      <c r="O1353" s="7" t="str">
        <f ca="1">IF(Tabela3[[#This Row],[Data da compra]]&gt;0,(TODAY()-Tabela3[[#This Row],[Data da compra]])/365,"")</f>
        <v/>
      </c>
      <c r="P1353" s="7" t="str">
        <f>IFERROR(VLOOKUP(Tabela3[[#This Row],[Categoria]],Cadastros!A:C,3,0),"")</f>
        <v/>
      </c>
      <c r="Q1353" s="9" t="str">
        <f ca="1">IFERROR(Tabela3[[#This Row],[Vida útil]]-Tabela3[[#This Row],[Idade]],"")</f>
        <v/>
      </c>
      <c r="R1353" s="8" t="str">
        <f ca="1">IFERROR(Tabela3[[#This Row],[Valor]]-(Tabela3[[#This Row],[Valor]]*(Tabela3[[#This Row],[Idade]]*VLOOKUP(Tabela3[[#This Row],[Categoria]],Cadastros!A:B,2,0))),"")</f>
        <v/>
      </c>
    </row>
    <row r="1354" spans="4:18" x14ac:dyDescent="0.25">
      <c r="D1354" s="5"/>
      <c r="N1354" s="6" t="str">
        <f>IFERROR(Tabela3[[#This Row],[Última revisão do bem]]+(VLOOKUP(Tabela3[[#This Row],[Categoria]],Cadastros!A:D,4,0)+365),"")</f>
        <v/>
      </c>
      <c r="O1354" s="7" t="str">
        <f ca="1">IF(Tabela3[[#This Row],[Data da compra]]&gt;0,(TODAY()-Tabela3[[#This Row],[Data da compra]])/365,"")</f>
        <v/>
      </c>
      <c r="P1354" s="7" t="str">
        <f>IFERROR(VLOOKUP(Tabela3[[#This Row],[Categoria]],Cadastros!A:C,3,0),"")</f>
        <v/>
      </c>
      <c r="Q1354" s="9" t="str">
        <f ca="1">IFERROR(Tabela3[[#This Row],[Vida útil]]-Tabela3[[#This Row],[Idade]],"")</f>
        <v/>
      </c>
      <c r="R1354" s="8" t="str">
        <f ca="1">IFERROR(Tabela3[[#This Row],[Valor]]-(Tabela3[[#This Row],[Valor]]*(Tabela3[[#This Row],[Idade]]*VLOOKUP(Tabela3[[#This Row],[Categoria]],Cadastros!A:B,2,0))),"")</f>
        <v/>
      </c>
    </row>
    <row r="1355" spans="4:18" x14ac:dyDescent="0.25">
      <c r="D1355" s="5"/>
      <c r="N1355" s="6" t="str">
        <f>IFERROR(Tabela3[[#This Row],[Última revisão do bem]]+(VLOOKUP(Tabela3[[#This Row],[Categoria]],Cadastros!A:D,4,0)+365),"")</f>
        <v/>
      </c>
      <c r="O1355" s="7" t="str">
        <f ca="1">IF(Tabela3[[#This Row],[Data da compra]]&gt;0,(TODAY()-Tabela3[[#This Row],[Data da compra]])/365,"")</f>
        <v/>
      </c>
      <c r="P1355" s="7" t="str">
        <f>IFERROR(VLOOKUP(Tabela3[[#This Row],[Categoria]],Cadastros!A:C,3,0),"")</f>
        <v/>
      </c>
      <c r="Q1355" s="9" t="str">
        <f ca="1">IFERROR(Tabela3[[#This Row],[Vida útil]]-Tabela3[[#This Row],[Idade]],"")</f>
        <v/>
      </c>
      <c r="R1355" s="8" t="str">
        <f ca="1">IFERROR(Tabela3[[#This Row],[Valor]]-(Tabela3[[#This Row],[Valor]]*(Tabela3[[#This Row],[Idade]]*VLOOKUP(Tabela3[[#This Row],[Categoria]],Cadastros!A:B,2,0))),"")</f>
        <v/>
      </c>
    </row>
    <row r="1356" spans="4:18" x14ac:dyDescent="0.25">
      <c r="D1356" s="22"/>
      <c r="N1356" s="6" t="str">
        <f>IFERROR(Tabela3[[#This Row],[Última revisão do bem]]+(VLOOKUP(Tabela3[[#This Row],[Categoria]],Cadastros!A:D,4,0)+365),"")</f>
        <v/>
      </c>
      <c r="O1356" s="7" t="str">
        <f ca="1">IF(Tabela3[[#This Row],[Data da compra]]&gt;0,(TODAY()-Tabela3[[#This Row],[Data da compra]])/365,"")</f>
        <v/>
      </c>
      <c r="P1356" s="7" t="str">
        <f>IFERROR(VLOOKUP(Tabela3[[#This Row],[Categoria]],Cadastros!A:C,3,0),"")</f>
        <v/>
      </c>
      <c r="Q1356" s="9" t="str">
        <f ca="1">IFERROR(Tabela3[[#This Row],[Vida útil]]-Tabela3[[#This Row],[Idade]],"")</f>
        <v/>
      </c>
      <c r="R1356" s="23" t="str">
        <f ca="1">IFERROR(Tabela3[[#This Row],[Valor]]-(Tabela3[[#This Row],[Valor]]*(Tabela3[[#This Row],[Idade]]*VLOOKUP(Tabela3[[#This Row],[Categoria]],Cadastros!A:B,2,0))),"")</f>
        <v/>
      </c>
    </row>
    <row r="1357" spans="4:18" x14ac:dyDescent="0.25">
      <c r="D1357" s="5"/>
      <c r="N1357" s="6" t="str">
        <f>IFERROR(Tabela3[[#This Row],[Última revisão do bem]]+(VLOOKUP(Tabela3[[#This Row],[Categoria]],Cadastros!A:D,4,0)+365),"")</f>
        <v/>
      </c>
      <c r="O1357" s="7" t="str">
        <f ca="1">IF(Tabela3[[#This Row],[Data da compra]]&gt;0,(TODAY()-Tabela3[[#This Row],[Data da compra]])/365,"")</f>
        <v/>
      </c>
      <c r="P1357" s="7" t="str">
        <f>IFERROR(VLOOKUP(Tabela3[[#This Row],[Categoria]],Cadastros!A:C,3,0),"")</f>
        <v/>
      </c>
      <c r="Q1357" s="9" t="str">
        <f ca="1">IFERROR(Tabela3[[#This Row],[Vida útil]]-Tabela3[[#This Row],[Idade]],"")</f>
        <v/>
      </c>
      <c r="R1357" s="8" t="str">
        <f ca="1">IFERROR(Tabela3[[#This Row],[Valor]]-(Tabela3[[#This Row],[Valor]]*(Tabela3[[#This Row],[Idade]]*VLOOKUP(Tabela3[[#This Row],[Categoria]],Cadastros!A:B,2,0))),"")</f>
        <v/>
      </c>
    </row>
    <row r="1358" spans="4:18" x14ac:dyDescent="0.25">
      <c r="D1358" s="5"/>
      <c r="N1358" s="6" t="str">
        <f>IFERROR(Tabela3[[#This Row],[Última revisão do bem]]+(VLOOKUP(Tabela3[[#This Row],[Categoria]],Cadastros!A:D,4,0)+365),"")</f>
        <v/>
      </c>
      <c r="O1358" s="7" t="str">
        <f ca="1">IF(Tabela3[[#This Row],[Data da compra]]&gt;0,(TODAY()-Tabela3[[#This Row],[Data da compra]])/365,"")</f>
        <v/>
      </c>
      <c r="P1358" s="7" t="str">
        <f>IFERROR(VLOOKUP(Tabela3[[#This Row],[Categoria]],Cadastros!A:C,3,0),"")</f>
        <v/>
      </c>
      <c r="Q1358" s="9" t="str">
        <f ca="1">IFERROR(Tabela3[[#This Row],[Vida útil]]-Tabela3[[#This Row],[Idade]],"")</f>
        <v/>
      </c>
      <c r="R1358" s="8" t="str">
        <f ca="1">IFERROR(Tabela3[[#This Row],[Valor]]-(Tabela3[[#This Row],[Valor]]*(Tabela3[[#This Row],[Idade]]*VLOOKUP(Tabela3[[#This Row],[Categoria]],Cadastros!A:B,2,0))),"")</f>
        <v/>
      </c>
    </row>
    <row r="1359" spans="4:18" x14ac:dyDescent="0.25">
      <c r="D1359" s="5"/>
      <c r="N1359" s="6" t="str">
        <f>IFERROR(Tabela3[[#This Row],[Última revisão do bem]]+(VLOOKUP(Tabela3[[#This Row],[Categoria]],Cadastros!A:D,4,0)+365),"")</f>
        <v/>
      </c>
      <c r="O1359" s="7" t="str">
        <f ca="1">IF(Tabela3[[#This Row],[Data da compra]]&gt;0,(TODAY()-Tabela3[[#This Row],[Data da compra]])/365,"")</f>
        <v/>
      </c>
      <c r="P1359" s="7" t="str">
        <f>IFERROR(VLOOKUP(Tabela3[[#This Row],[Categoria]],Cadastros!A:C,3,0),"")</f>
        <v/>
      </c>
      <c r="Q1359" s="9" t="str">
        <f ca="1">IFERROR(Tabela3[[#This Row],[Vida útil]]-Tabela3[[#This Row],[Idade]],"")</f>
        <v/>
      </c>
      <c r="R1359" s="8" t="str">
        <f ca="1">IFERROR(Tabela3[[#This Row],[Valor]]-(Tabela3[[#This Row],[Valor]]*(Tabela3[[#This Row],[Idade]]*VLOOKUP(Tabela3[[#This Row],[Categoria]],Cadastros!A:B,2,0))),"")</f>
        <v/>
      </c>
    </row>
    <row r="1360" spans="4:18" x14ac:dyDescent="0.25">
      <c r="D1360" s="5"/>
      <c r="N1360" s="6" t="str">
        <f>IFERROR(Tabela3[[#This Row],[Última revisão do bem]]+(VLOOKUP(Tabela3[[#This Row],[Categoria]],Cadastros!A:D,4,0)+365),"")</f>
        <v/>
      </c>
      <c r="O1360" s="7" t="str">
        <f ca="1">IF(Tabela3[[#This Row],[Data da compra]]&gt;0,(TODAY()-Tabela3[[#This Row],[Data da compra]])/365,"")</f>
        <v/>
      </c>
      <c r="P1360" s="7" t="str">
        <f>IFERROR(VLOOKUP(Tabela3[[#This Row],[Categoria]],Cadastros!A:C,3,0),"")</f>
        <v/>
      </c>
      <c r="Q1360" s="9" t="str">
        <f ca="1">IFERROR(Tabela3[[#This Row],[Vida útil]]-Tabela3[[#This Row],[Idade]],"")</f>
        <v/>
      </c>
      <c r="R1360" s="8" t="str">
        <f ca="1">IFERROR(Tabela3[[#This Row],[Valor]]-(Tabela3[[#This Row],[Valor]]*(Tabela3[[#This Row],[Idade]]*VLOOKUP(Tabela3[[#This Row],[Categoria]],Cadastros!A:B,2,0))),"")</f>
        <v/>
      </c>
    </row>
    <row r="1361" spans="4:18" x14ac:dyDescent="0.25">
      <c r="D1361" s="5"/>
      <c r="N1361" s="6" t="str">
        <f>IFERROR(Tabela3[[#This Row],[Última revisão do bem]]+(VLOOKUP(Tabela3[[#This Row],[Categoria]],Cadastros!A:D,4,0)+365),"")</f>
        <v/>
      </c>
      <c r="O1361" s="7" t="str">
        <f ca="1">IF(Tabela3[[#This Row],[Data da compra]]&gt;0,(TODAY()-Tabela3[[#This Row],[Data da compra]])/365,"")</f>
        <v/>
      </c>
      <c r="P1361" s="7" t="str">
        <f>IFERROR(VLOOKUP(Tabela3[[#This Row],[Categoria]],Cadastros!A:C,3,0),"")</f>
        <v/>
      </c>
      <c r="Q1361" s="9" t="str">
        <f ca="1">IFERROR(Tabela3[[#This Row],[Vida útil]]-Tabela3[[#This Row],[Idade]],"")</f>
        <v/>
      </c>
      <c r="R1361" s="8" t="str">
        <f ca="1">IFERROR(Tabela3[[#This Row],[Valor]]-(Tabela3[[#This Row],[Valor]]*(Tabela3[[#This Row],[Idade]]*VLOOKUP(Tabela3[[#This Row],[Categoria]],Cadastros!A:B,2,0))),"")</f>
        <v/>
      </c>
    </row>
    <row r="1362" spans="4:18" x14ac:dyDescent="0.25">
      <c r="D1362" s="5"/>
      <c r="N1362" s="6" t="str">
        <f>IFERROR(Tabela3[[#This Row],[Última revisão do bem]]+(VLOOKUP(Tabela3[[#This Row],[Categoria]],Cadastros!A:D,4,0)+365),"")</f>
        <v/>
      </c>
      <c r="O1362" s="7" t="str">
        <f ca="1">IF(Tabela3[[#This Row],[Data da compra]]&gt;0,(TODAY()-Tabela3[[#This Row],[Data da compra]])/365,"")</f>
        <v/>
      </c>
      <c r="P1362" s="7" t="str">
        <f>IFERROR(VLOOKUP(Tabela3[[#This Row],[Categoria]],Cadastros!A:C,3,0),"")</f>
        <v/>
      </c>
      <c r="Q1362" s="9" t="str">
        <f ca="1">IFERROR(Tabela3[[#This Row],[Vida útil]]-Tabela3[[#This Row],[Idade]],"")</f>
        <v/>
      </c>
      <c r="R1362" s="8" t="str">
        <f ca="1">IFERROR(Tabela3[[#This Row],[Valor]]-(Tabela3[[#This Row],[Valor]]*(Tabela3[[#This Row],[Idade]]*VLOOKUP(Tabela3[[#This Row],[Categoria]],Cadastros!A:B,2,0))),"")</f>
        <v/>
      </c>
    </row>
    <row r="1363" spans="4:18" x14ac:dyDescent="0.25">
      <c r="D1363" s="5"/>
      <c r="N1363" s="6" t="str">
        <f>IFERROR(Tabela3[[#This Row],[Última revisão do bem]]+(VLOOKUP(Tabela3[[#This Row],[Categoria]],Cadastros!A:D,4,0)+365),"")</f>
        <v/>
      </c>
      <c r="O1363" s="7" t="str">
        <f ca="1">IF(Tabela3[[#This Row],[Data da compra]]&gt;0,(TODAY()-Tabela3[[#This Row],[Data da compra]])/365,"")</f>
        <v/>
      </c>
      <c r="P1363" s="7" t="str">
        <f>IFERROR(VLOOKUP(Tabela3[[#This Row],[Categoria]],Cadastros!A:C,3,0),"")</f>
        <v/>
      </c>
      <c r="Q1363" s="9" t="str">
        <f ca="1">IFERROR(Tabela3[[#This Row],[Vida útil]]-Tabela3[[#This Row],[Idade]],"")</f>
        <v/>
      </c>
      <c r="R1363" s="8" t="str">
        <f ca="1">IFERROR(Tabela3[[#This Row],[Valor]]-(Tabela3[[#This Row],[Valor]]*(Tabela3[[#This Row],[Idade]]*VLOOKUP(Tabela3[[#This Row],[Categoria]],Cadastros!A:B,2,0))),"")</f>
        <v/>
      </c>
    </row>
    <row r="1364" spans="4:18" x14ac:dyDescent="0.25">
      <c r="D1364" s="5"/>
      <c r="N1364" s="6" t="str">
        <f>IFERROR(Tabela3[[#This Row],[Última revisão do bem]]+(VLOOKUP(Tabela3[[#This Row],[Categoria]],Cadastros!A:D,4,0)+365),"")</f>
        <v/>
      </c>
      <c r="O1364" s="7" t="str">
        <f ca="1">IF(Tabela3[[#This Row],[Data da compra]]&gt;0,(TODAY()-Tabela3[[#This Row],[Data da compra]])/365,"")</f>
        <v/>
      </c>
      <c r="P1364" s="7" t="str">
        <f>IFERROR(VLOOKUP(Tabela3[[#This Row],[Categoria]],Cadastros!A:C,3,0),"")</f>
        <v/>
      </c>
      <c r="Q1364" s="9" t="str">
        <f ca="1">IFERROR(Tabela3[[#This Row],[Vida útil]]-Tabela3[[#This Row],[Idade]],"")</f>
        <v/>
      </c>
      <c r="R1364" s="8" t="str">
        <f ca="1">IFERROR(Tabela3[[#This Row],[Valor]]-(Tabela3[[#This Row],[Valor]]*(Tabela3[[#This Row],[Idade]]*VLOOKUP(Tabela3[[#This Row],[Categoria]],Cadastros!A:B,2,0))),"")</f>
        <v/>
      </c>
    </row>
    <row r="1365" spans="4:18" x14ac:dyDescent="0.25">
      <c r="D1365" s="5"/>
      <c r="N1365" s="6" t="str">
        <f>IFERROR(Tabela3[[#This Row],[Última revisão do bem]]+(VLOOKUP(Tabela3[[#This Row],[Categoria]],Cadastros!A:D,4,0)+365),"")</f>
        <v/>
      </c>
      <c r="O1365" s="7" t="str">
        <f ca="1">IF(Tabela3[[#This Row],[Data da compra]]&gt;0,(TODAY()-Tabela3[[#This Row],[Data da compra]])/365,"")</f>
        <v/>
      </c>
      <c r="P1365" s="7" t="str">
        <f>IFERROR(VLOOKUP(Tabela3[[#This Row],[Categoria]],Cadastros!A:C,3,0),"")</f>
        <v/>
      </c>
      <c r="Q1365" s="9" t="str">
        <f ca="1">IFERROR(Tabela3[[#This Row],[Vida útil]]-Tabela3[[#This Row],[Idade]],"")</f>
        <v/>
      </c>
      <c r="R1365" s="8" t="str">
        <f ca="1">IFERROR(Tabela3[[#This Row],[Valor]]-(Tabela3[[#This Row],[Valor]]*(Tabela3[[#This Row],[Idade]]*VLOOKUP(Tabela3[[#This Row],[Categoria]],Cadastros!A:B,2,0))),"")</f>
        <v/>
      </c>
    </row>
    <row r="1366" spans="4:18" x14ac:dyDescent="0.25">
      <c r="D1366" s="5"/>
      <c r="N1366" s="6" t="str">
        <f>IFERROR(Tabela3[[#This Row],[Última revisão do bem]]+(VLOOKUP(Tabela3[[#This Row],[Categoria]],Cadastros!A:D,4,0)+365),"")</f>
        <v/>
      </c>
      <c r="O1366" s="7" t="str">
        <f ca="1">IF(Tabela3[[#This Row],[Data da compra]]&gt;0,(TODAY()-Tabela3[[#This Row],[Data da compra]])/365,"")</f>
        <v/>
      </c>
      <c r="P1366" s="7" t="str">
        <f>IFERROR(VLOOKUP(Tabela3[[#This Row],[Categoria]],Cadastros!A:C,3,0),"")</f>
        <v/>
      </c>
      <c r="Q1366" s="9" t="str">
        <f ca="1">IFERROR(Tabela3[[#This Row],[Vida útil]]-Tabela3[[#This Row],[Idade]],"")</f>
        <v/>
      </c>
      <c r="R1366" s="8" t="str">
        <f ca="1">IFERROR(Tabela3[[#This Row],[Valor]]-(Tabela3[[#This Row],[Valor]]*(Tabela3[[#This Row],[Idade]]*VLOOKUP(Tabela3[[#This Row],[Categoria]],Cadastros!A:B,2,0))),"")</f>
        <v/>
      </c>
    </row>
    <row r="1367" spans="4:18" x14ac:dyDescent="0.25">
      <c r="D1367" s="5"/>
      <c r="N1367" s="6" t="str">
        <f>IFERROR(Tabela3[[#This Row],[Última revisão do bem]]+(VLOOKUP(Tabela3[[#This Row],[Categoria]],Cadastros!A:D,4,0)+365),"")</f>
        <v/>
      </c>
      <c r="O1367" s="7" t="str">
        <f ca="1">IF(Tabela3[[#This Row],[Data da compra]]&gt;0,(TODAY()-Tabela3[[#This Row],[Data da compra]])/365,"")</f>
        <v/>
      </c>
      <c r="P1367" s="7" t="str">
        <f>IFERROR(VLOOKUP(Tabela3[[#This Row],[Categoria]],Cadastros!A:C,3,0),"")</f>
        <v/>
      </c>
      <c r="Q1367" s="9" t="str">
        <f ca="1">IFERROR(Tabela3[[#This Row],[Vida útil]]-Tabela3[[#This Row],[Idade]],"")</f>
        <v/>
      </c>
      <c r="R1367" s="8" t="str">
        <f ca="1">IFERROR(Tabela3[[#This Row],[Valor]]-(Tabela3[[#This Row],[Valor]]*(Tabela3[[#This Row],[Idade]]*VLOOKUP(Tabela3[[#This Row],[Categoria]],Cadastros!A:B,2,0))),"")</f>
        <v/>
      </c>
    </row>
    <row r="1368" spans="4:18" x14ac:dyDescent="0.25">
      <c r="D1368" s="5"/>
      <c r="N1368" s="6" t="str">
        <f>IFERROR(Tabela3[[#This Row],[Última revisão do bem]]+(VLOOKUP(Tabela3[[#This Row],[Categoria]],Cadastros!A:D,4,0)+365),"")</f>
        <v/>
      </c>
      <c r="O1368" s="7" t="str">
        <f ca="1">IF(Tabela3[[#This Row],[Data da compra]]&gt;0,(TODAY()-Tabela3[[#This Row],[Data da compra]])/365,"")</f>
        <v/>
      </c>
      <c r="P1368" s="7" t="str">
        <f>IFERROR(VLOOKUP(Tabela3[[#This Row],[Categoria]],Cadastros!A:C,3,0),"")</f>
        <v/>
      </c>
      <c r="Q1368" s="9" t="str">
        <f ca="1">IFERROR(Tabela3[[#This Row],[Vida útil]]-Tabela3[[#This Row],[Idade]],"")</f>
        <v/>
      </c>
      <c r="R1368" s="8" t="str">
        <f ca="1">IFERROR(Tabela3[[#This Row],[Valor]]-(Tabela3[[#This Row],[Valor]]*(Tabela3[[#This Row],[Idade]]*VLOOKUP(Tabela3[[#This Row],[Categoria]],Cadastros!A:B,2,0))),"")</f>
        <v/>
      </c>
    </row>
    <row r="1369" spans="4:18" x14ac:dyDescent="0.25">
      <c r="D1369" s="5"/>
      <c r="N1369" s="6" t="str">
        <f>IFERROR(Tabela3[[#This Row],[Última revisão do bem]]+(VLOOKUP(Tabela3[[#This Row],[Categoria]],Cadastros!A:D,4,0)+365),"")</f>
        <v/>
      </c>
      <c r="O1369" s="7" t="str">
        <f ca="1">IF(Tabela3[[#This Row],[Data da compra]]&gt;0,(TODAY()-Tabela3[[#This Row],[Data da compra]])/365,"")</f>
        <v/>
      </c>
      <c r="P1369" s="7" t="str">
        <f>IFERROR(VLOOKUP(Tabela3[[#This Row],[Categoria]],Cadastros!A:C,3,0),"")</f>
        <v/>
      </c>
      <c r="Q1369" s="9" t="str">
        <f ca="1">IFERROR(Tabela3[[#This Row],[Vida útil]]-Tabela3[[#This Row],[Idade]],"")</f>
        <v/>
      </c>
      <c r="R1369" s="8" t="str">
        <f ca="1">IFERROR(Tabela3[[#This Row],[Valor]]-(Tabela3[[#This Row],[Valor]]*(Tabela3[[#This Row],[Idade]]*VLOOKUP(Tabela3[[#This Row],[Categoria]],Cadastros!A:B,2,0))),"")</f>
        <v/>
      </c>
    </row>
    <row r="1370" spans="4:18" x14ac:dyDescent="0.25">
      <c r="D1370" s="5"/>
      <c r="N1370" s="6" t="str">
        <f>IFERROR(Tabela3[[#This Row],[Última revisão do bem]]+(VLOOKUP(Tabela3[[#This Row],[Categoria]],Cadastros!A:D,4,0)+365),"")</f>
        <v/>
      </c>
      <c r="O1370" s="7" t="str">
        <f ca="1">IF(Tabela3[[#This Row],[Data da compra]]&gt;0,(TODAY()-Tabela3[[#This Row],[Data da compra]])/365,"")</f>
        <v/>
      </c>
      <c r="P1370" s="7" t="str">
        <f>IFERROR(VLOOKUP(Tabela3[[#This Row],[Categoria]],Cadastros!A:C,3,0),"")</f>
        <v/>
      </c>
      <c r="Q1370" s="9" t="str">
        <f ca="1">IFERROR(Tabela3[[#This Row],[Vida útil]]-Tabela3[[#This Row],[Idade]],"")</f>
        <v/>
      </c>
      <c r="R1370" s="8" t="str">
        <f ca="1">IFERROR(Tabela3[[#This Row],[Valor]]-(Tabela3[[#This Row],[Valor]]*(Tabela3[[#This Row],[Idade]]*VLOOKUP(Tabela3[[#This Row],[Categoria]],Cadastros!A:B,2,0))),"")</f>
        <v/>
      </c>
    </row>
    <row r="1371" spans="4:18" x14ac:dyDescent="0.25">
      <c r="D1371" s="5"/>
      <c r="N1371" s="6" t="str">
        <f>IFERROR(Tabela3[[#This Row],[Última revisão do bem]]+(VLOOKUP(Tabela3[[#This Row],[Categoria]],Cadastros!A:D,4,0)+365),"")</f>
        <v/>
      </c>
      <c r="O1371" s="7" t="str">
        <f ca="1">IF(Tabela3[[#This Row],[Data da compra]]&gt;0,(TODAY()-Tabela3[[#This Row],[Data da compra]])/365,"")</f>
        <v/>
      </c>
      <c r="P1371" s="7" t="str">
        <f>IFERROR(VLOOKUP(Tabela3[[#This Row],[Categoria]],Cadastros!A:C,3,0),"")</f>
        <v/>
      </c>
      <c r="Q1371" s="9" t="str">
        <f ca="1">IFERROR(Tabela3[[#This Row],[Vida útil]]-Tabela3[[#This Row],[Idade]],"")</f>
        <v/>
      </c>
      <c r="R1371" s="8" t="str">
        <f ca="1">IFERROR(Tabela3[[#This Row],[Valor]]-(Tabela3[[#This Row],[Valor]]*(Tabela3[[#This Row],[Idade]]*VLOOKUP(Tabela3[[#This Row],[Categoria]],Cadastros!A:B,2,0))),"")</f>
        <v/>
      </c>
    </row>
    <row r="1372" spans="4:18" x14ac:dyDescent="0.25">
      <c r="D1372" s="5"/>
      <c r="N1372" s="6" t="str">
        <f>IFERROR(Tabela3[[#This Row],[Última revisão do bem]]+(VLOOKUP(Tabela3[[#This Row],[Categoria]],Cadastros!A:D,4,0)+365),"")</f>
        <v/>
      </c>
      <c r="O1372" s="7" t="str">
        <f ca="1">IF(Tabela3[[#This Row],[Data da compra]]&gt;0,(TODAY()-Tabela3[[#This Row],[Data da compra]])/365,"")</f>
        <v/>
      </c>
      <c r="P1372" s="7" t="str">
        <f>IFERROR(VLOOKUP(Tabela3[[#This Row],[Categoria]],Cadastros!A:C,3,0),"")</f>
        <v/>
      </c>
      <c r="Q1372" s="9" t="str">
        <f ca="1">IFERROR(Tabela3[[#This Row],[Vida útil]]-Tabela3[[#This Row],[Idade]],"")</f>
        <v/>
      </c>
      <c r="R1372" s="8" t="str">
        <f ca="1">IFERROR(Tabela3[[#This Row],[Valor]]-(Tabela3[[#This Row],[Valor]]*(Tabela3[[#This Row],[Idade]]*VLOOKUP(Tabela3[[#This Row],[Categoria]],Cadastros!A:B,2,0))),"")</f>
        <v/>
      </c>
    </row>
    <row r="1373" spans="4:18" x14ac:dyDescent="0.25">
      <c r="D1373" s="5"/>
      <c r="N1373" s="6" t="str">
        <f>IFERROR(Tabela3[[#This Row],[Última revisão do bem]]+(VLOOKUP(Tabela3[[#This Row],[Categoria]],Cadastros!A:D,4,0)+365),"")</f>
        <v/>
      </c>
      <c r="O1373" s="7" t="str">
        <f ca="1">IF(Tabela3[[#This Row],[Data da compra]]&gt;0,(TODAY()-Tabela3[[#This Row],[Data da compra]])/365,"")</f>
        <v/>
      </c>
      <c r="P1373" s="7" t="str">
        <f>IFERROR(VLOOKUP(Tabela3[[#This Row],[Categoria]],Cadastros!A:C,3,0),"")</f>
        <v/>
      </c>
      <c r="Q1373" s="9" t="str">
        <f ca="1">IFERROR(Tabela3[[#This Row],[Vida útil]]-Tabela3[[#This Row],[Idade]],"")</f>
        <v/>
      </c>
      <c r="R1373" s="8" t="str">
        <f ca="1">IFERROR(Tabela3[[#This Row],[Valor]]-(Tabela3[[#This Row],[Valor]]*(Tabela3[[#This Row],[Idade]]*VLOOKUP(Tabela3[[#This Row],[Categoria]],Cadastros!A:B,2,0))),"")</f>
        <v/>
      </c>
    </row>
    <row r="1374" spans="4:18" x14ac:dyDescent="0.25">
      <c r="D1374" s="22"/>
      <c r="N1374" s="6" t="str">
        <f>IFERROR(Tabela3[[#This Row],[Última revisão do bem]]+(VLOOKUP(Tabela3[[#This Row],[Categoria]],Cadastros!A:D,4,0)+365),"")</f>
        <v/>
      </c>
      <c r="O1374" s="7" t="str">
        <f ca="1">IF(Tabela3[[#This Row],[Data da compra]]&gt;0,(TODAY()-Tabela3[[#This Row],[Data da compra]])/365,"")</f>
        <v/>
      </c>
      <c r="P1374" s="7" t="str">
        <f>IFERROR(VLOOKUP(Tabela3[[#This Row],[Categoria]],Cadastros!A:C,3,0),"")</f>
        <v/>
      </c>
      <c r="Q1374" s="9" t="str">
        <f ca="1">IFERROR(Tabela3[[#This Row],[Vida útil]]-Tabela3[[#This Row],[Idade]],"")</f>
        <v/>
      </c>
      <c r="R1374" s="23" t="str">
        <f ca="1">IFERROR(Tabela3[[#This Row],[Valor]]-(Tabela3[[#This Row],[Valor]]*(Tabela3[[#This Row],[Idade]]*VLOOKUP(Tabela3[[#This Row],[Categoria]],Cadastros!A:B,2,0))),"")</f>
        <v/>
      </c>
    </row>
    <row r="1375" spans="4:18" x14ac:dyDescent="0.25">
      <c r="D1375" s="5"/>
      <c r="N1375" s="6" t="str">
        <f>IFERROR(Tabela3[[#This Row],[Última revisão do bem]]+(VLOOKUP(Tabela3[[#This Row],[Categoria]],Cadastros!A:D,4,0)+365),"")</f>
        <v/>
      </c>
      <c r="O1375" s="7" t="str">
        <f ca="1">IF(Tabela3[[#This Row],[Data da compra]]&gt;0,(TODAY()-Tabela3[[#This Row],[Data da compra]])/365,"")</f>
        <v/>
      </c>
      <c r="P1375" s="7" t="str">
        <f>IFERROR(VLOOKUP(Tabela3[[#This Row],[Categoria]],Cadastros!A:C,3,0),"")</f>
        <v/>
      </c>
      <c r="Q1375" s="9" t="str">
        <f ca="1">IFERROR(Tabela3[[#This Row],[Vida útil]]-Tabela3[[#This Row],[Idade]],"")</f>
        <v/>
      </c>
      <c r="R1375" s="8" t="str">
        <f ca="1">IFERROR(Tabela3[[#This Row],[Valor]]-(Tabela3[[#This Row],[Valor]]*(Tabela3[[#This Row],[Idade]]*VLOOKUP(Tabela3[[#This Row],[Categoria]],Cadastros!A:B,2,0))),"")</f>
        <v/>
      </c>
    </row>
    <row r="1376" spans="4:18" x14ac:dyDescent="0.25">
      <c r="D1376" s="5"/>
      <c r="N1376" s="6" t="str">
        <f>IFERROR(Tabela3[[#This Row],[Última revisão do bem]]+(VLOOKUP(Tabela3[[#This Row],[Categoria]],Cadastros!A:D,4,0)+365),"")</f>
        <v/>
      </c>
      <c r="O1376" s="7" t="str">
        <f ca="1">IF(Tabela3[[#This Row],[Data da compra]]&gt;0,(TODAY()-Tabela3[[#This Row],[Data da compra]])/365,"")</f>
        <v/>
      </c>
      <c r="P1376" s="7" t="str">
        <f>IFERROR(VLOOKUP(Tabela3[[#This Row],[Categoria]],Cadastros!A:C,3,0),"")</f>
        <v/>
      </c>
      <c r="Q1376" s="9" t="str">
        <f ca="1">IFERROR(Tabela3[[#This Row],[Vida útil]]-Tabela3[[#This Row],[Idade]],"")</f>
        <v/>
      </c>
      <c r="R1376" s="8" t="str">
        <f ca="1">IFERROR(Tabela3[[#This Row],[Valor]]-(Tabela3[[#This Row],[Valor]]*(Tabela3[[#This Row],[Idade]]*VLOOKUP(Tabela3[[#This Row],[Categoria]],Cadastros!A:B,2,0))),"")</f>
        <v/>
      </c>
    </row>
    <row r="1377" spans="4:18" x14ac:dyDescent="0.25">
      <c r="D1377" s="5"/>
      <c r="N1377" s="6" t="str">
        <f>IFERROR(Tabela3[[#This Row],[Última revisão do bem]]+(VLOOKUP(Tabela3[[#This Row],[Categoria]],Cadastros!A:D,4,0)+365),"")</f>
        <v/>
      </c>
      <c r="O1377" s="7" t="str">
        <f ca="1">IF(Tabela3[[#This Row],[Data da compra]]&gt;0,(TODAY()-Tabela3[[#This Row],[Data da compra]])/365,"")</f>
        <v/>
      </c>
      <c r="P1377" s="7" t="str">
        <f>IFERROR(VLOOKUP(Tabela3[[#This Row],[Categoria]],Cadastros!A:C,3,0),"")</f>
        <v/>
      </c>
      <c r="Q1377" s="9" t="str">
        <f ca="1">IFERROR(Tabela3[[#This Row],[Vida útil]]-Tabela3[[#This Row],[Idade]],"")</f>
        <v/>
      </c>
      <c r="R1377" s="8" t="str">
        <f ca="1">IFERROR(Tabela3[[#This Row],[Valor]]-(Tabela3[[#This Row],[Valor]]*(Tabela3[[#This Row],[Idade]]*VLOOKUP(Tabela3[[#This Row],[Categoria]],Cadastros!A:B,2,0))),"")</f>
        <v/>
      </c>
    </row>
    <row r="1378" spans="4:18" x14ac:dyDescent="0.25">
      <c r="D1378" s="5"/>
      <c r="N1378" s="6" t="str">
        <f>IFERROR(Tabela3[[#This Row],[Última revisão do bem]]+(VLOOKUP(Tabela3[[#This Row],[Categoria]],Cadastros!A:D,4,0)+365),"")</f>
        <v/>
      </c>
      <c r="O1378" s="7" t="str">
        <f ca="1">IF(Tabela3[[#This Row],[Data da compra]]&gt;0,(TODAY()-Tabela3[[#This Row],[Data da compra]])/365,"")</f>
        <v/>
      </c>
      <c r="P1378" s="7" t="str">
        <f>IFERROR(VLOOKUP(Tabela3[[#This Row],[Categoria]],Cadastros!A:C,3,0),"")</f>
        <v/>
      </c>
      <c r="Q1378" s="9" t="str">
        <f ca="1">IFERROR(Tabela3[[#This Row],[Vida útil]]-Tabela3[[#This Row],[Idade]],"")</f>
        <v/>
      </c>
      <c r="R1378" s="8" t="str">
        <f ca="1">IFERROR(Tabela3[[#This Row],[Valor]]-(Tabela3[[#This Row],[Valor]]*(Tabela3[[#This Row],[Idade]]*VLOOKUP(Tabela3[[#This Row],[Categoria]],Cadastros!A:B,2,0))),"")</f>
        <v/>
      </c>
    </row>
    <row r="1379" spans="4:18" x14ac:dyDescent="0.25">
      <c r="D1379" s="5"/>
      <c r="N1379" s="6" t="str">
        <f>IFERROR(Tabela3[[#This Row],[Última revisão do bem]]+(VLOOKUP(Tabela3[[#This Row],[Categoria]],Cadastros!A:D,4,0)+365),"")</f>
        <v/>
      </c>
      <c r="O1379" s="7" t="str">
        <f ca="1">IF(Tabela3[[#This Row],[Data da compra]]&gt;0,(TODAY()-Tabela3[[#This Row],[Data da compra]])/365,"")</f>
        <v/>
      </c>
      <c r="P1379" s="7" t="str">
        <f>IFERROR(VLOOKUP(Tabela3[[#This Row],[Categoria]],Cadastros!A:C,3,0),"")</f>
        <v/>
      </c>
      <c r="Q1379" s="9" t="str">
        <f ca="1">IFERROR(Tabela3[[#This Row],[Vida útil]]-Tabela3[[#This Row],[Idade]],"")</f>
        <v/>
      </c>
      <c r="R1379" s="8" t="str">
        <f ca="1">IFERROR(Tabela3[[#This Row],[Valor]]-(Tabela3[[#This Row],[Valor]]*(Tabela3[[#This Row],[Idade]]*VLOOKUP(Tabela3[[#This Row],[Categoria]],Cadastros!A:B,2,0))),"")</f>
        <v/>
      </c>
    </row>
    <row r="1380" spans="4:18" x14ac:dyDescent="0.25">
      <c r="D1380" s="5"/>
      <c r="N1380" s="6" t="str">
        <f>IFERROR(Tabela3[[#This Row],[Última revisão do bem]]+(VLOOKUP(Tabela3[[#This Row],[Categoria]],Cadastros!A:D,4,0)+365),"")</f>
        <v/>
      </c>
      <c r="O1380" s="7" t="str">
        <f ca="1">IF(Tabela3[[#This Row],[Data da compra]]&gt;0,(TODAY()-Tabela3[[#This Row],[Data da compra]])/365,"")</f>
        <v/>
      </c>
      <c r="P1380" s="7" t="str">
        <f>IFERROR(VLOOKUP(Tabela3[[#This Row],[Categoria]],Cadastros!A:C,3,0),"")</f>
        <v/>
      </c>
      <c r="Q1380" s="9" t="str">
        <f ca="1">IFERROR(Tabela3[[#This Row],[Vida útil]]-Tabela3[[#This Row],[Idade]],"")</f>
        <v/>
      </c>
      <c r="R1380" s="8" t="str">
        <f ca="1">IFERROR(Tabela3[[#This Row],[Valor]]-(Tabela3[[#This Row],[Valor]]*(Tabela3[[#This Row],[Idade]]*VLOOKUP(Tabela3[[#This Row],[Categoria]],Cadastros!A:B,2,0))),"")</f>
        <v/>
      </c>
    </row>
    <row r="1381" spans="4:18" x14ac:dyDescent="0.25">
      <c r="D1381" s="5"/>
      <c r="N1381" s="6" t="str">
        <f>IFERROR(Tabela3[[#This Row],[Última revisão do bem]]+(VLOOKUP(Tabela3[[#This Row],[Categoria]],Cadastros!A:D,4,0)+365),"")</f>
        <v/>
      </c>
      <c r="O1381" s="7" t="str">
        <f ca="1">IF(Tabela3[[#This Row],[Data da compra]]&gt;0,(TODAY()-Tabela3[[#This Row],[Data da compra]])/365,"")</f>
        <v/>
      </c>
      <c r="P1381" s="7" t="str">
        <f>IFERROR(VLOOKUP(Tabela3[[#This Row],[Categoria]],Cadastros!A:C,3,0),"")</f>
        <v/>
      </c>
      <c r="Q1381" s="9" t="str">
        <f ca="1">IFERROR(Tabela3[[#This Row],[Vida útil]]-Tabela3[[#This Row],[Idade]],"")</f>
        <v/>
      </c>
      <c r="R1381" s="8" t="str">
        <f ca="1">IFERROR(Tabela3[[#This Row],[Valor]]-(Tabela3[[#This Row],[Valor]]*(Tabela3[[#This Row],[Idade]]*VLOOKUP(Tabela3[[#This Row],[Categoria]],Cadastros!A:B,2,0))),"")</f>
        <v/>
      </c>
    </row>
    <row r="1382" spans="4:18" x14ac:dyDescent="0.25">
      <c r="D1382" s="5"/>
      <c r="N1382" s="6" t="str">
        <f>IFERROR(Tabela3[[#This Row],[Última revisão do bem]]+(VLOOKUP(Tabela3[[#This Row],[Categoria]],Cadastros!A:D,4,0)+365),"")</f>
        <v/>
      </c>
      <c r="O1382" s="7" t="str">
        <f ca="1">IF(Tabela3[[#This Row],[Data da compra]]&gt;0,(TODAY()-Tabela3[[#This Row],[Data da compra]])/365,"")</f>
        <v/>
      </c>
      <c r="P1382" s="7" t="str">
        <f>IFERROR(VLOOKUP(Tabela3[[#This Row],[Categoria]],Cadastros!A:C,3,0),"")</f>
        <v/>
      </c>
      <c r="Q1382" s="9" t="str">
        <f ca="1">IFERROR(Tabela3[[#This Row],[Vida útil]]-Tabela3[[#This Row],[Idade]],"")</f>
        <v/>
      </c>
      <c r="R1382" s="8" t="str">
        <f ca="1">IFERROR(Tabela3[[#This Row],[Valor]]-(Tabela3[[#This Row],[Valor]]*(Tabela3[[#This Row],[Idade]]*VLOOKUP(Tabela3[[#This Row],[Categoria]],Cadastros!A:B,2,0))),"")</f>
        <v/>
      </c>
    </row>
    <row r="1383" spans="4:18" x14ac:dyDescent="0.25">
      <c r="D1383" s="5"/>
      <c r="N1383" s="6" t="str">
        <f>IFERROR(Tabela3[[#This Row],[Última revisão do bem]]+(VLOOKUP(Tabela3[[#This Row],[Categoria]],Cadastros!A:D,4,0)+365),"")</f>
        <v/>
      </c>
      <c r="O1383" s="7" t="str">
        <f ca="1">IF(Tabela3[[#This Row],[Data da compra]]&gt;0,(TODAY()-Tabela3[[#This Row],[Data da compra]])/365,"")</f>
        <v/>
      </c>
      <c r="P1383" s="7" t="str">
        <f>IFERROR(VLOOKUP(Tabela3[[#This Row],[Categoria]],Cadastros!A:C,3,0),"")</f>
        <v/>
      </c>
      <c r="Q1383" s="9" t="str">
        <f ca="1">IFERROR(Tabela3[[#This Row],[Vida útil]]-Tabela3[[#This Row],[Idade]],"")</f>
        <v/>
      </c>
      <c r="R1383" s="8" t="str">
        <f ca="1">IFERROR(Tabela3[[#This Row],[Valor]]-(Tabela3[[#This Row],[Valor]]*(Tabela3[[#This Row],[Idade]]*VLOOKUP(Tabela3[[#This Row],[Categoria]],Cadastros!A:B,2,0))),"")</f>
        <v/>
      </c>
    </row>
    <row r="1384" spans="4:18" x14ac:dyDescent="0.25">
      <c r="D1384" s="5"/>
      <c r="N1384" s="6" t="str">
        <f>IFERROR(Tabela3[[#This Row],[Última revisão do bem]]+(VLOOKUP(Tabela3[[#This Row],[Categoria]],Cadastros!A:D,4,0)+365),"")</f>
        <v/>
      </c>
      <c r="O1384" s="7" t="str">
        <f ca="1">IF(Tabela3[[#This Row],[Data da compra]]&gt;0,(TODAY()-Tabela3[[#This Row],[Data da compra]])/365,"")</f>
        <v/>
      </c>
      <c r="P1384" s="7" t="str">
        <f>IFERROR(VLOOKUP(Tabela3[[#This Row],[Categoria]],Cadastros!A:C,3,0),"")</f>
        <v/>
      </c>
      <c r="Q1384" s="9" t="str">
        <f ca="1">IFERROR(Tabela3[[#This Row],[Vida útil]]-Tabela3[[#This Row],[Idade]],"")</f>
        <v/>
      </c>
      <c r="R1384" s="8" t="str">
        <f ca="1">IFERROR(Tabela3[[#This Row],[Valor]]-(Tabela3[[#This Row],[Valor]]*(Tabela3[[#This Row],[Idade]]*VLOOKUP(Tabela3[[#This Row],[Categoria]],Cadastros!A:B,2,0))),"")</f>
        <v/>
      </c>
    </row>
    <row r="1385" spans="4:18" x14ac:dyDescent="0.25">
      <c r="D1385" s="5"/>
      <c r="N1385" s="6" t="str">
        <f>IFERROR(Tabela3[[#This Row],[Última revisão do bem]]+(VLOOKUP(Tabela3[[#This Row],[Categoria]],Cadastros!A:D,4,0)+365),"")</f>
        <v/>
      </c>
      <c r="O1385" s="7" t="str">
        <f ca="1">IF(Tabela3[[#This Row],[Data da compra]]&gt;0,(TODAY()-Tabela3[[#This Row],[Data da compra]])/365,"")</f>
        <v/>
      </c>
      <c r="P1385" s="7" t="str">
        <f>IFERROR(VLOOKUP(Tabela3[[#This Row],[Categoria]],Cadastros!A:C,3,0),"")</f>
        <v/>
      </c>
      <c r="Q1385" s="9" t="str">
        <f ca="1">IFERROR(Tabela3[[#This Row],[Vida útil]]-Tabela3[[#This Row],[Idade]],"")</f>
        <v/>
      </c>
      <c r="R1385" s="8" t="str">
        <f ca="1">IFERROR(Tabela3[[#This Row],[Valor]]-(Tabela3[[#This Row],[Valor]]*(Tabela3[[#This Row],[Idade]]*VLOOKUP(Tabela3[[#This Row],[Categoria]],Cadastros!A:B,2,0))),"")</f>
        <v/>
      </c>
    </row>
    <row r="1386" spans="4:18" x14ac:dyDescent="0.25">
      <c r="D1386" s="5"/>
      <c r="N1386" s="6" t="str">
        <f>IFERROR(Tabela3[[#This Row],[Última revisão do bem]]+(VLOOKUP(Tabela3[[#This Row],[Categoria]],Cadastros!A:D,4,0)+365),"")</f>
        <v/>
      </c>
      <c r="O1386" s="7" t="str">
        <f ca="1">IF(Tabela3[[#This Row],[Data da compra]]&gt;0,(TODAY()-Tabela3[[#This Row],[Data da compra]])/365,"")</f>
        <v/>
      </c>
      <c r="P1386" s="7" t="str">
        <f>IFERROR(VLOOKUP(Tabela3[[#This Row],[Categoria]],Cadastros!A:C,3,0),"")</f>
        <v/>
      </c>
      <c r="Q1386" s="9" t="str">
        <f ca="1">IFERROR(Tabela3[[#This Row],[Vida útil]]-Tabela3[[#This Row],[Idade]],"")</f>
        <v/>
      </c>
      <c r="R1386" s="8" t="str">
        <f ca="1">IFERROR(Tabela3[[#This Row],[Valor]]-(Tabela3[[#This Row],[Valor]]*(Tabela3[[#This Row],[Idade]]*VLOOKUP(Tabela3[[#This Row],[Categoria]],Cadastros!A:B,2,0))),"")</f>
        <v/>
      </c>
    </row>
    <row r="1387" spans="4:18" x14ac:dyDescent="0.25">
      <c r="D1387" s="5"/>
      <c r="N1387" s="6" t="str">
        <f>IFERROR(Tabela3[[#This Row],[Última revisão do bem]]+(VLOOKUP(Tabela3[[#This Row],[Categoria]],Cadastros!A:D,4,0)+365),"")</f>
        <v/>
      </c>
      <c r="O1387" s="7" t="str">
        <f ca="1">IF(Tabela3[[#This Row],[Data da compra]]&gt;0,(TODAY()-Tabela3[[#This Row],[Data da compra]])/365,"")</f>
        <v/>
      </c>
      <c r="P1387" s="7" t="str">
        <f>IFERROR(VLOOKUP(Tabela3[[#This Row],[Categoria]],Cadastros!A:C,3,0),"")</f>
        <v/>
      </c>
      <c r="Q1387" s="9" t="str">
        <f ca="1">IFERROR(Tabela3[[#This Row],[Vida útil]]-Tabela3[[#This Row],[Idade]],"")</f>
        <v/>
      </c>
      <c r="R1387" s="8" t="str">
        <f ca="1">IFERROR(Tabela3[[#This Row],[Valor]]-(Tabela3[[#This Row],[Valor]]*(Tabela3[[#This Row],[Idade]]*VLOOKUP(Tabela3[[#This Row],[Categoria]],Cadastros!A:B,2,0))),"")</f>
        <v/>
      </c>
    </row>
    <row r="1388" spans="4:18" x14ac:dyDescent="0.25">
      <c r="D1388" s="5"/>
      <c r="N1388" s="6" t="str">
        <f>IFERROR(Tabela3[[#This Row],[Última revisão do bem]]+(VLOOKUP(Tabela3[[#This Row],[Categoria]],Cadastros!A:D,4,0)+365),"")</f>
        <v/>
      </c>
      <c r="O1388" s="7" t="str">
        <f ca="1">IF(Tabela3[[#This Row],[Data da compra]]&gt;0,(TODAY()-Tabela3[[#This Row],[Data da compra]])/365,"")</f>
        <v/>
      </c>
      <c r="P1388" s="7" t="str">
        <f>IFERROR(VLOOKUP(Tabela3[[#This Row],[Categoria]],Cadastros!A:C,3,0),"")</f>
        <v/>
      </c>
      <c r="Q1388" s="9" t="str">
        <f ca="1">IFERROR(Tabela3[[#This Row],[Vida útil]]-Tabela3[[#This Row],[Idade]],"")</f>
        <v/>
      </c>
      <c r="R1388" s="8" t="str">
        <f ca="1">IFERROR(Tabela3[[#This Row],[Valor]]-(Tabela3[[#This Row],[Valor]]*(Tabela3[[#This Row],[Idade]]*VLOOKUP(Tabela3[[#This Row],[Categoria]],Cadastros!A:B,2,0))),"")</f>
        <v/>
      </c>
    </row>
    <row r="1389" spans="4:18" x14ac:dyDescent="0.25">
      <c r="D1389" s="5"/>
      <c r="N1389" s="6" t="str">
        <f>IFERROR(Tabela3[[#This Row],[Última revisão do bem]]+(VLOOKUP(Tabela3[[#This Row],[Categoria]],Cadastros!A:D,4,0)+365),"")</f>
        <v/>
      </c>
      <c r="O1389" s="7" t="str">
        <f ca="1">IF(Tabela3[[#This Row],[Data da compra]]&gt;0,(TODAY()-Tabela3[[#This Row],[Data da compra]])/365,"")</f>
        <v/>
      </c>
      <c r="P1389" s="7" t="str">
        <f>IFERROR(VLOOKUP(Tabela3[[#This Row],[Categoria]],Cadastros!A:C,3,0),"")</f>
        <v/>
      </c>
      <c r="Q1389" s="9" t="str">
        <f ca="1">IFERROR(Tabela3[[#This Row],[Vida útil]]-Tabela3[[#This Row],[Idade]],"")</f>
        <v/>
      </c>
      <c r="R1389" s="8" t="str">
        <f ca="1">IFERROR(Tabela3[[#This Row],[Valor]]-(Tabela3[[#This Row],[Valor]]*(Tabela3[[#This Row],[Idade]]*VLOOKUP(Tabela3[[#This Row],[Categoria]],Cadastros!A:B,2,0))),"")</f>
        <v/>
      </c>
    </row>
    <row r="1390" spans="4:18" x14ac:dyDescent="0.25">
      <c r="D1390" s="5"/>
      <c r="N1390" s="6" t="str">
        <f>IFERROR(Tabela3[[#This Row],[Última revisão do bem]]+(VLOOKUP(Tabela3[[#This Row],[Categoria]],Cadastros!A:D,4,0)+365),"")</f>
        <v/>
      </c>
      <c r="O1390" s="7" t="str">
        <f ca="1">IF(Tabela3[[#This Row],[Data da compra]]&gt;0,(TODAY()-Tabela3[[#This Row],[Data da compra]])/365,"")</f>
        <v/>
      </c>
      <c r="P1390" s="7" t="str">
        <f>IFERROR(VLOOKUP(Tabela3[[#This Row],[Categoria]],Cadastros!A:C,3,0),"")</f>
        <v/>
      </c>
      <c r="Q1390" s="9" t="str">
        <f ca="1">IFERROR(Tabela3[[#This Row],[Vida útil]]-Tabela3[[#This Row],[Idade]],"")</f>
        <v/>
      </c>
      <c r="R1390" s="8" t="str">
        <f ca="1">IFERROR(Tabela3[[#This Row],[Valor]]-(Tabela3[[#This Row],[Valor]]*(Tabela3[[#This Row],[Idade]]*VLOOKUP(Tabela3[[#This Row],[Categoria]],Cadastros!A:B,2,0))),"")</f>
        <v/>
      </c>
    </row>
    <row r="1391" spans="4:18" x14ac:dyDescent="0.25">
      <c r="D1391" s="5"/>
      <c r="N1391" s="6" t="str">
        <f>IFERROR(Tabela3[[#This Row],[Última revisão do bem]]+(VLOOKUP(Tabela3[[#This Row],[Categoria]],Cadastros!A:D,4,0)+365),"")</f>
        <v/>
      </c>
      <c r="O1391" s="7" t="str">
        <f ca="1">IF(Tabela3[[#This Row],[Data da compra]]&gt;0,(TODAY()-Tabela3[[#This Row],[Data da compra]])/365,"")</f>
        <v/>
      </c>
      <c r="P1391" s="7" t="str">
        <f>IFERROR(VLOOKUP(Tabela3[[#This Row],[Categoria]],Cadastros!A:C,3,0),"")</f>
        <v/>
      </c>
      <c r="Q1391" s="9" t="str">
        <f ca="1">IFERROR(Tabela3[[#This Row],[Vida útil]]-Tabela3[[#This Row],[Idade]],"")</f>
        <v/>
      </c>
      <c r="R1391" s="8" t="str">
        <f ca="1">IFERROR(Tabela3[[#This Row],[Valor]]-(Tabela3[[#This Row],[Valor]]*(Tabela3[[#This Row],[Idade]]*VLOOKUP(Tabela3[[#This Row],[Categoria]],Cadastros!A:B,2,0))),"")</f>
        <v/>
      </c>
    </row>
    <row r="1392" spans="4:18" x14ac:dyDescent="0.25">
      <c r="D1392" s="22"/>
      <c r="N1392" s="6" t="str">
        <f>IFERROR(Tabela3[[#This Row],[Última revisão do bem]]+(VLOOKUP(Tabela3[[#This Row],[Categoria]],Cadastros!A:D,4,0)+365),"")</f>
        <v/>
      </c>
      <c r="O1392" s="7" t="str">
        <f ca="1">IF(Tabela3[[#This Row],[Data da compra]]&gt;0,(TODAY()-Tabela3[[#This Row],[Data da compra]])/365,"")</f>
        <v/>
      </c>
      <c r="P1392" s="7" t="str">
        <f>IFERROR(VLOOKUP(Tabela3[[#This Row],[Categoria]],Cadastros!A:C,3,0),"")</f>
        <v/>
      </c>
      <c r="Q1392" s="9" t="str">
        <f ca="1">IFERROR(Tabela3[[#This Row],[Vida útil]]-Tabela3[[#This Row],[Idade]],"")</f>
        <v/>
      </c>
      <c r="R1392" s="23" t="str">
        <f ca="1">IFERROR(Tabela3[[#This Row],[Valor]]-(Tabela3[[#This Row],[Valor]]*(Tabela3[[#This Row],[Idade]]*VLOOKUP(Tabela3[[#This Row],[Categoria]],Cadastros!A:B,2,0))),"")</f>
        <v/>
      </c>
    </row>
    <row r="1393" spans="4:18" x14ac:dyDescent="0.25">
      <c r="D1393" s="5"/>
      <c r="N1393" s="6" t="str">
        <f>IFERROR(Tabela3[[#This Row],[Última revisão do bem]]+(VLOOKUP(Tabela3[[#This Row],[Categoria]],Cadastros!A:D,4,0)+365),"")</f>
        <v/>
      </c>
      <c r="O1393" s="7" t="str">
        <f ca="1">IF(Tabela3[[#This Row],[Data da compra]]&gt;0,(TODAY()-Tabela3[[#This Row],[Data da compra]])/365,"")</f>
        <v/>
      </c>
      <c r="P1393" s="7" t="str">
        <f>IFERROR(VLOOKUP(Tabela3[[#This Row],[Categoria]],Cadastros!A:C,3,0),"")</f>
        <v/>
      </c>
      <c r="Q1393" s="9" t="str">
        <f ca="1">IFERROR(Tabela3[[#This Row],[Vida útil]]-Tabela3[[#This Row],[Idade]],"")</f>
        <v/>
      </c>
      <c r="R1393" s="8" t="str">
        <f ca="1">IFERROR(Tabela3[[#This Row],[Valor]]-(Tabela3[[#This Row],[Valor]]*(Tabela3[[#This Row],[Idade]]*VLOOKUP(Tabela3[[#This Row],[Categoria]],Cadastros!A:B,2,0))),"")</f>
        <v/>
      </c>
    </row>
    <row r="1394" spans="4:18" x14ac:dyDescent="0.25">
      <c r="D1394" s="5"/>
      <c r="N1394" s="6" t="str">
        <f>IFERROR(Tabela3[[#This Row],[Última revisão do bem]]+(VLOOKUP(Tabela3[[#This Row],[Categoria]],Cadastros!A:D,4,0)+365),"")</f>
        <v/>
      </c>
      <c r="O1394" s="7" t="str">
        <f ca="1">IF(Tabela3[[#This Row],[Data da compra]]&gt;0,(TODAY()-Tabela3[[#This Row],[Data da compra]])/365,"")</f>
        <v/>
      </c>
      <c r="P1394" s="7" t="str">
        <f>IFERROR(VLOOKUP(Tabela3[[#This Row],[Categoria]],Cadastros!A:C,3,0),"")</f>
        <v/>
      </c>
      <c r="Q1394" s="9" t="str">
        <f ca="1">IFERROR(Tabela3[[#This Row],[Vida útil]]-Tabela3[[#This Row],[Idade]],"")</f>
        <v/>
      </c>
      <c r="R1394" s="8" t="str">
        <f ca="1">IFERROR(Tabela3[[#This Row],[Valor]]-(Tabela3[[#This Row],[Valor]]*(Tabela3[[#This Row],[Idade]]*VLOOKUP(Tabela3[[#This Row],[Categoria]],Cadastros!A:B,2,0))),"")</f>
        <v/>
      </c>
    </row>
    <row r="1395" spans="4:18" x14ac:dyDescent="0.25">
      <c r="D1395" s="5"/>
      <c r="N1395" s="6" t="str">
        <f>IFERROR(Tabela3[[#This Row],[Última revisão do bem]]+(VLOOKUP(Tabela3[[#This Row],[Categoria]],Cadastros!A:D,4,0)+365),"")</f>
        <v/>
      </c>
      <c r="O1395" s="7" t="str">
        <f ca="1">IF(Tabela3[[#This Row],[Data da compra]]&gt;0,(TODAY()-Tabela3[[#This Row],[Data da compra]])/365,"")</f>
        <v/>
      </c>
      <c r="P1395" s="7" t="str">
        <f>IFERROR(VLOOKUP(Tabela3[[#This Row],[Categoria]],Cadastros!A:C,3,0),"")</f>
        <v/>
      </c>
      <c r="Q1395" s="9" t="str">
        <f ca="1">IFERROR(Tabela3[[#This Row],[Vida útil]]-Tabela3[[#This Row],[Idade]],"")</f>
        <v/>
      </c>
      <c r="R1395" s="8" t="str">
        <f ca="1">IFERROR(Tabela3[[#This Row],[Valor]]-(Tabela3[[#This Row],[Valor]]*(Tabela3[[#This Row],[Idade]]*VLOOKUP(Tabela3[[#This Row],[Categoria]],Cadastros!A:B,2,0))),"")</f>
        <v/>
      </c>
    </row>
    <row r="1396" spans="4:18" x14ac:dyDescent="0.25">
      <c r="D1396" s="5"/>
      <c r="N1396" s="6" t="str">
        <f>IFERROR(Tabela3[[#This Row],[Última revisão do bem]]+(VLOOKUP(Tabela3[[#This Row],[Categoria]],Cadastros!A:D,4,0)+365),"")</f>
        <v/>
      </c>
      <c r="O1396" s="7" t="str">
        <f ca="1">IF(Tabela3[[#This Row],[Data da compra]]&gt;0,(TODAY()-Tabela3[[#This Row],[Data da compra]])/365,"")</f>
        <v/>
      </c>
      <c r="P1396" s="7" t="str">
        <f>IFERROR(VLOOKUP(Tabela3[[#This Row],[Categoria]],Cadastros!A:C,3,0),"")</f>
        <v/>
      </c>
      <c r="Q1396" s="9" t="str">
        <f ca="1">IFERROR(Tabela3[[#This Row],[Vida útil]]-Tabela3[[#This Row],[Idade]],"")</f>
        <v/>
      </c>
      <c r="R1396" s="8" t="str">
        <f ca="1">IFERROR(Tabela3[[#This Row],[Valor]]-(Tabela3[[#This Row],[Valor]]*(Tabela3[[#This Row],[Idade]]*VLOOKUP(Tabela3[[#This Row],[Categoria]],Cadastros!A:B,2,0))),"")</f>
        <v/>
      </c>
    </row>
    <row r="1397" spans="4:18" x14ac:dyDescent="0.25">
      <c r="D1397" s="5"/>
      <c r="N1397" s="6" t="str">
        <f>IFERROR(Tabela3[[#This Row],[Última revisão do bem]]+(VLOOKUP(Tabela3[[#This Row],[Categoria]],Cadastros!A:D,4,0)+365),"")</f>
        <v/>
      </c>
      <c r="O1397" s="7" t="str">
        <f ca="1">IF(Tabela3[[#This Row],[Data da compra]]&gt;0,(TODAY()-Tabela3[[#This Row],[Data da compra]])/365,"")</f>
        <v/>
      </c>
      <c r="P1397" s="7" t="str">
        <f>IFERROR(VLOOKUP(Tabela3[[#This Row],[Categoria]],Cadastros!A:C,3,0),"")</f>
        <v/>
      </c>
      <c r="Q1397" s="9" t="str">
        <f ca="1">IFERROR(Tabela3[[#This Row],[Vida útil]]-Tabela3[[#This Row],[Idade]],"")</f>
        <v/>
      </c>
      <c r="R1397" s="8" t="str">
        <f ca="1">IFERROR(Tabela3[[#This Row],[Valor]]-(Tabela3[[#This Row],[Valor]]*(Tabela3[[#This Row],[Idade]]*VLOOKUP(Tabela3[[#This Row],[Categoria]],Cadastros!A:B,2,0))),"")</f>
        <v/>
      </c>
    </row>
    <row r="1398" spans="4:18" x14ac:dyDescent="0.25">
      <c r="D1398" s="5"/>
      <c r="N1398" s="6" t="str">
        <f>IFERROR(Tabela3[[#This Row],[Última revisão do bem]]+(VLOOKUP(Tabela3[[#This Row],[Categoria]],Cadastros!A:D,4,0)+365),"")</f>
        <v/>
      </c>
      <c r="O1398" s="7" t="str">
        <f ca="1">IF(Tabela3[[#This Row],[Data da compra]]&gt;0,(TODAY()-Tabela3[[#This Row],[Data da compra]])/365,"")</f>
        <v/>
      </c>
      <c r="P1398" s="7" t="str">
        <f>IFERROR(VLOOKUP(Tabela3[[#This Row],[Categoria]],Cadastros!A:C,3,0),"")</f>
        <v/>
      </c>
      <c r="Q1398" s="9" t="str">
        <f ca="1">IFERROR(Tabela3[[#This Row],[Vida útil]]-Tabela3[[#This Row],[Idade]],"")</f>
        <v/>
      </c>
      <c r="R1398" s="8" t="str">
        <f ca="1">IFERROR(Tabela3[[#This Row],[Valor]]-(Tabela3[[#This Row],[Valor]]*(Tabela3[[#This Row],[Idade]]*VLOOKUP(Tabela3[[#This Row],[Categoria]],Cadastros!A:B,2,0))),"")</f>
        <v/>
      </c>
    </row>
    <row r="1399" spans="4:18" x14ac:dyDescent="0.25">
      <c r="D1399" s="5"/>
      <c r="N1399" s="6" t="str">
        <f>IFERROR(Tabela3[[#This Row],[Última revisão do bem]]+(VLOOKUP(Tabela3[[#This Row],[Categoria]],Cadastros!A:D,4,0)+365),"")</f>
        <v/>
      </c>
      <c r="O1399" s="7" t="str">
        <f ca="1">IF(Tabela3[[#This Row],[Data da compra]]&gt;0,(TODAY()-Tabela3[[#This Row],[Data da compra]])/365,"")</f>
        <v/>
      </c>
      <c r="P1399" s="7" t="str">
        <f>IFERROR(VLOOKUP(Tabela3[[#This Row],[Categoria]],Cadastros!A:C,3,0),"")</f>
        <v/>
      </c>
      <c r="Q1399" s="9" t="str">
        <f ca="1">IFERROR(Tabela3[[#This Row],[Vida útil]]-Tabela3[[#This Row],[Idade]],"")</f>
        <v/>
      </c>
      <c r="R1399" s="8" t="str">
        <f ca="1">IFERROR(Tabela3[[#This Row],[Valor]]-(Tabela3[[#This Row],[Valor]]*(Tabela3[[#This Row],[Idade]]*VLOOKUP(Tabela3[[#This Row],[Categoria]],Cadastros!A:B,2,0))),"")</f>
        <v/>
      </c>
    </row>
    <row r="1400" spans="4:18" x14ac:dyDescent="0.25">
      <c r="D1400" s="5"/>
      <c r="N1400" s="6" t="str">
        <f>IFERROR(Tabela3[[#This Row],[Última revisão do bem]]+(VLOOKUP(Tabela3[[#This Row],[Categoria]],Cadastros!A:D,4,0)+365),"")</f>
        <v/>
      </c>
      <c r="O1400" s="7" t="str">
        <f ca="1">IF(Tabela3[[#This Row],[Data da compra]]&gt;0,(TODAY()-Tabela3[[#This Row],[Data da compra]])/365,"")</f>
        <v/>
      </c>
      <c r="P1400" s="7" t="str">
        <f>IFERROR(VLOOKUP(Tabela3[[#This Row],[Categoria]],Cadastros!A:C,3,0),"")</f>
        <v/>
      </c>
      <c r="Q1400" s="9" t="str">
        <f ca="1">IFERROR(Tabela3[[#This Row],[Vida útil]]-Tabela3[[#This Row],[Idade]],"")</f>
        <v/>
      </c>
      <c r="R1400" s="8" t="str">
        <f ca="1">IFERROR(Tabela3[[#This Row],[Valor]]-(Tabela3[[#This Row],[Valor]]*(Tabela3[[#This Row],[Idade]]*VLOOKUP(Tabela3[[#This Row],[Categoria]],Cadastros!A:B,2,0))),"")</f>
        <v/>
      </c>
    </row>
    <row r="1401" spans="4:18" x14ac:dyDescent="0.25">
      <c r="D1401" s="5"/>
      <c r="N1401" s="6" t="str">
        <f>IFERROR(Tabela3[[#This Row],[Última revisão do bem]]+(VLOOKUP(Tabela3[[#This Row],[Categoria]],Cadastros!A:D,4,0)+365),"")</f>
        <v/>
      </c>
      <c r="O1401" s="7" t="str">
        <f ca="1">IF(Tabela3[[#This Row],[Data da compra]]&gt;0,(TODAY()-Tabela3[[#This Row],[Data da compra]])/365,"")</f>
        <v/>
      </c>
      <c r="P1401" s="7" t="str">
        <f>IFERROR(VLOOKUP(Tabela3[[#This Row],[Categoria]],Cadastros!A:C,3,0),"")</f>
        <v/>
      </c>
      <c r="Q1401" s="9" t="str">
        <f ca="1">IFERROR(Tabela3[[#This Row],[Vida útil]]-Tabela3[[#This Row],[Idade]],"")</f>
        <v/>
      </c>
      <c r="R1401" s="8" t="str">
        <f ca="1">IFERROR(Tabela3[[#This Row],[Valor]]-(Tabela3[[#This Row],[Valor]]*(Tabela3[[#This Row],[Idade]]*VLOOKUP(Tabela3[[#This Row],[Categoria]],Cadastros!A:B,2,0))),"")</f>
        <v/>
      </c>
    </row>
    <row r="1402" spans="4:18" x14ac:dyDescent="0.25">
      <c r="D1402" s="5"/>
      <c r="N1402" s="6" t="str">
        <f>IFERROR(Tabela3[[#This Row],[Última revisão do bem]]+(VLOOKUP(Tabela3[[#This Row],[Categoria]],Cadastros!A:D,4,0)+365),"")</f>
        <v/>
      </c>
      <c r="O1402" s="7" t="str">
        <f ca="1">IF(Tabela3[[#This Row],[Data da compra]]&gt;0,(TODAY()-Tabela3[[#This Row],[Data da compra]])/365,"")</f>
        <v/>
      </c>
      <c r="P1402" s="7" t="str">
        <f>IFERROR(VLOOKUP(Tabela3[[#This Row],[Categoria]],Cadastros!A:C,3,0),"")</f>
        <v/>
      </c>
      <c r="Q1402" s="9" t="str">
        <f ca="1">IFERROR(Tabela3[[#This Row],[Vida útil]]-Tabela3[[#This Row],[Idade]],"")</f>
        <v/>
      </c>
      <c r="R1402" s="8" t="str">
        <f ca="1">IFERROR(Tabela3[[#This Row],[Valor]]-(Tabela3[[#This Row],[Valor]]*(Tabela3[[#This Row],[Idade]]*VLOOKUP(Tabela3[[#This Row],[Categoria]],Cadastros!A:B,2,0))),"")</f>
        <v/>
      </c>
    </row>
    <row r="1403" spans="4:18" x14ac:dyDescent="0.25">
      <c r="D1403" s="5"/>
      <c r="N1403" s="6" t="str">
        <f>IFERROR(Tabela3[[#This Row],[Última revisão do bem]]+(VLOOKUP(Tabela3[[#This Row],[Categoria]],Cadastros!A:D,4,0)+365),"")</f>
        <v/>
      </c>
      <c r="O1403" s="7" t="str">
        <f ca="1">IF(Tabela3[[#This Row],[Data da compra]]&gt;0,(TODAY()-Tabela3[[#This Row],[Data da compra]])/365,"")</f>
        <v/>
      </c>
      <c r="P1403" s="7" t="str">
        <f>IFERROR(VLOOKUP(Tabela3[[#This Row],[Categoria]],Cadastros!A:C,3,0),"")</f>
        <v/>
      </c>
      <c r="Q1403" s="9" t="str">
        <f ca="1">IFERROR(Tabela3[[#This Row],[Vida útil]]-Tabela3[[#This Row],[Idade]],"")</f>
        <v/>
      </c>
      <c r="R1403" s="8" t="str">
        <f ca="1">IFERROR(Tabela3[[#This Row],[Valor]]-(Tabela3[[#This Row],[Valor]]*(Tabela3[[#This Row],[Idade]]*VLOOKUP(Tabela3[[#This Row],[Categoria]],Cadastros!A:B,2,0))),"")</f>
        <v/>
      </c>
    </row>
    <row r="1404" spans="4:18" x14ac:dyDescent="0.25">
      <c r="D1404" s="5"/>
      <c r="N1404" s="6" t="str">
        <f>IFERROR(Tabela3[[#This Row],[Última revisão do bem]]+(VLOOKUP(Tabela3[[#This Row],[Categoria]],Cadastros!A:D,4,0)+365),"")</f>
        <v/>
      </c>
      <c r="O1404" s="7" t="str">
        <f ca="1">IF(Tabela3[[#This Row],[Data da compra]]&gt;0,(TODAY()-Tabela3[[#This Row],[Data da compra]])/365,"")</f>
        <v/>
      </c>
      <c r="P1404" s="7" t="str">
        <f>IFERROR(VLOOKUP(Tabela3[[#This Row],[Categoria]],Cadastros!A:C,3,0),"")</f>
        <v/>
      </c>
      <c r="Q1404" s="9" t="str">
        <f ca="1">IFERROR(Tabela3[[#This Row],[Vida útil]]-Tabela3[[#This Row],[Idade]],"")</f>
        <v/>
      </c>
      <c r="R1404" s="8" t="str">
        <f ca="1">IFERROR(Tabela3[[#This Row],[Valor]]-(Tabela3[[#This Row],[Valor]]*(Tabela3[[#This Row],[Idade]]*VLOOKUP(Tabela3[[#This Row],[Categoria]],Cadastros!A:B,2,0))),"")</f>
        <v/>
      </c>
    </row>
    <row r="1405" spans="4:18" x14ac:dyDescent="0.25">
      <c r="D1405" s="5"/>
      <c r="N1405" s="6" t="str">
        <f>IFERROR(Tabela3[[#This Row],[Última revisão do bem]]+(VLOOKUP(Tabela3[[#This Row],[Categoria]],Cadastros!A:D,4,0)+365),"")</f>
        <v/>
      </c>
      <c r="O1405" s="7" t="str">
        <f ca="1">IF(Tabela3[[#This Row],[Data da compra]]&gt;0,(TODAY()-Tabela3[[#This Row],[Data da compra]])/365,"")</f>
        <v/>
      </c>
      <c r="P1405" s="7" t="str">
        <f>IFERROR(VLOOKUP(Tabela3[[#This Row],[Categoria]],Cadastros!A:C,3,0),"")</f>
        <v/>
      </c>
      <c r="Q1405" s="9" t="str">
        <f ca="1">IFERROR(Tabela3[[#This Row],[Vida útil]]-Tabela3[[#This Row],[Idade]],"")</f>
        <v/>
      </c>
      <c r="R1405" s="8" t="str">
        <f ca="1">IFERROR(Tabela3[[#This Row],[Valor]]-(Tabela3[[#This Row],[Valor]]*(Tabela3[[#This Row],[Idade]]*VLOOKUP(Tabela3[[#This Row],[Categoria]],Cadastros!A:B,2,0))),"")</f>
        <v/>
      </c>
    </row>
    <row r="1406" spans="4:18" x14ac:dyDescent="0.25">
      <c r="D1406" s="5"/>
      <c r="N1406" s="6" t="str">
        <f>IFERROR(Tabela3[[#This Row],[Última revisão do bem]]+(VLOOKUP(Tabela3[[#This Row],[Categoria]],Cadastros!A:D,4,0)+365),"")</f>
        <v/>
      </c>
      <c r="O1406" s="7" t="str">
        <f ca="1">IF(Tabela3[[#This Row],[Data da compra]]&gt;0,(TODAY()-Tabela3[[#This Row],[Data da compra]])/365,"")</f>
        <v/>
      </c>
      <c r="P1406" s="7" t="str">
        <f>IFERROR(VLOOKUP(Tabela3[[#This Row],[Categoria]],Cadastros!A:C,3,0),"")</f>
        <v/>
      </c>
      <c r="Q1406" s="9" t="str">
        <f ca="1">IFERROR(Tabela3[[#This Row],[Vida útil]]-Tabela3[[#This Row],[Idade]],"")</f>
        <v/>
      </c>
      <c r="R1406" s="8" t="str">
        <f ca="1">IFERROR(Tabela3[[#This Row],[Valor]]-(Tabela3[[#This Row],[Valor]]*(Tabela3[[#This Row],[Idade]]*VLOOKUP(Tabela3[[#This Row],[Categoria]],Cadastros!A:B,2,0))),"")</f>
        <v/>
      </c>
    </row>
    <row r="1407" spans="4:18" x14ac:dyDescent="0.25">
      <c r="D1407" s="5"/>
      <c r="N1407" s="6" t="str">
        <f>IFERROR(Tabela3[[#This Row],[Última revisão do bem]]+(VLOOKUP(Tabela3[[#This Row],[Categoria]],Cadastros!A:D,4,0)+365),"")</f>
        <v/>
      </c>
      <c r="O1407" s="7" t="str">
        <f ca="1">IF(Tabela3[[#This Row],[Data da compra]]&gt;0,(TODAY()-Tabela3[[#This Row],[Data da compra]])/365,"")</f>
        <v/>
      </c>
      <c r="P1407" s="7" t="str">
        <f>IFERROR(VLOOKUP(Tabela3[[#This Row],[Categoria]],Cadastros!A:C,3,0),"")</f>
        <v/>
      </c>
      <c r="Q1407" s="9" t="str">
        <f ca="1">IFERROR(Tabela3[[#This Row],[Vida útil]]-Tabela3[[#This Row],[Idade]],"")</f>
        <v/>
      </c>
      <c r="R1407" s="8" t="str">
        <f ca="1">IFERROR(Tabela3[[#This Row],[Valor]]-(Tabela3[[#This Row],[Valor]]*(Tabela3[[#This Row],[Idade]]*VLOOKUP(Tabela3[[#This Row],[Categoria]],Cadastros!A:B,2,0))),"")</f>
        <v/>
      </c>
    </row>
    <row r="1408" spans="4:18" x14ac:dyDescent="0.25">
      <c r="D1408" s="5"/>
      <c r="N1408" s="6" t="str">
        <f>IFERROR(Tabela3[[#This Row],[Última revisão do bem]]+(VLOOKUP(Tabela3[[#This Row],[Categoria]],Cadastros!A:D,4,0)+365),"")</f>
        <v/>
      </c>
      <c r="O1408" s="7" t="str">
        <f ca="1">IF(Tabela3[[#This Row],[Data da compra]]&gt;0,(TODAY()-Tabela3[[#This Row],[Data da compra]])/365,"")</f>
        <v/>
      </c>
      <c r="P1408" s="7" t="str">
        <f>IFERROR(VLOOKUP(Tabela3[[#This Row],[Categoria]],Cadastros!A:C,3,0),"")</f>
        <v/>
      </c>
      <c r="Q1408" s="9" t="str">
        <f ca="1">IFERROR(Tabela3[[#This Row],[Vida útil]]-Tabela3[[#This Row],[Idade]],"")</f>
        <v/>
      </c>
      <c r="R1408" s="8" t="str">
        <f ca="1">IFERROR(Tabela3[[#This Row],[Valor]]-(Tabela3[[#This Row],[Valor]]*(Tabela3[[#This Row],[Idade]]*VLOOKUP(Tabela3[[#This Row],[Categoria]],Cadastros!A:B,2,0))),"")</f>
        <v/>
      </c>
    </row>
    <row r="1409" spans="4:18" x14ac:dyDescent="0.25">
      <c r="D1409" s="5"/>
      <c r="N1409" s="6" t="str">
        <f>IFERROR(Tabela3[[#This Row],[Última revisão do bem]]+(VLOOKUP(Tabela3[[#This Row],[Categoria]],Cadastros!A:D,4,0)+365),"")</f>
        <v/>
      </c>
      <c r="O1409" s="7" t="str">
        <f ca="1">IF(Tabela3[[#This Row],[Data da compra]]&gt;0,(TODAY()-Tabela3[[#This Row],[Data da compra]])/365,"")</f>
        <v/>
      </c>
      <c r="P1409" s="7" t="str">
        <f>IFERROR(VLOOKUP(Tabela3[[#This Row],[Categoria]],Cadastros!A:C,3,0),"")</f>
        <v/>
      </c>
      <c r="Q1409" s="9" t="str">
        <f ca="1">IFERROR(Tabela3[[#This Row],[Vida útil]]-Tabela3[[#This Row],[Idade]],"")</f>
        <v/>
      </c>
      <c r="R1409" s="8" t="str">
        <f ca="1">IFERROR(Tabela3[[#This Row],[Valor]]-(Tabela3[[#This Row],[Valor]]*(Tabela3[[#This Row],[Idade]]*VLOOKUP(Tabela3[[#This Row],[Categoria]],Cadastros!A:B,2,0))),"")</f>
        <v/>
      </c>
    </row>
    <row r="1410" spans="4:18" x14ac:dyDescent="0.25">
      <c r="D1410" s="22"/>
      <c r="N1410" s="6" t="str">
        <f>IFERROR(Tabela3[[#This Row],[Última revisão do bem]]+(VLOOKUP(Tabela3[[#This Row],[Categoria]],Cadastros!A:D,4,0)+365),"")</f>
        <v/>
      </c>
      <c r="O1410" s="7" t="str">
        <f ca="1">IF(Tabela3[[#This Row],[Data da compra]]&gt;0,(TODAY()-Tabela3[[#This Row],[Data da compra]])/365,"")</f>
        <v/>
      </c>
      <c r="P1410" s="7" t="str">
        <f>IFERROR(VLOOKUP(Tabela3[[#This Row],[Categoria]],Cadastros!A:C,3,0),"")</f>
        <v/>
      </c>
      <c r="Q1410" s="9" t="str">
        <f ca="1">IFERROR(Tabela3[[#This Row],[Vida útil]]-Tabela3[[#This Row],[Idade]],"")</f>
        <v/>
      </c>
      <c r="R1410" s="23" t="str">
        <f ca="1">IFERROR(Tabela3[[#This Row],[Valor]]-(Tabela3[[#This Row],[Valor]]*(Tabela3[[#This Row],[Idade]]*VLOOKUP(Tabela3[[#This Row],[Categoria]],Cadastros!A:B,2,0))),"")</f>
        <v/>
      </c>
    </row>
    <row r="1411" spans="4:18" x14ac:dyDescent="0.25">
      <c r="D1411" s="5"/>
      <c r="N1411" s="6" t="str">
        <f>IFERROR(Tabela3[[#This Row],[Última revisão do bem]]+(VLOOKUP(Tabela3[[#This Row],[Categoria]],Cadastros!A:D,4,0)+365),"")</f>
        <v/>
      </c>
      <c r="O1411" s="7" t="str">
        <f ca="1">IF(Tabela3[[#This Row],[Data da compra]]&gt;0,(TODAY()-Tabela3[[#This Row],[Data da compra]])/365,"")</f>
        <v/>
      </c>
      <c r="P1411" s="7" t="str">
        <f>IFERROR(VLOOKUP(Tabela3[[#This Row],[Categoria]],Cadastros!A:C,3,0),"")</f>
        <v/>
      </c>
      <c r="Q1411" s="9" t="str">
        <f ca="1">IFERROR(Tabela3[[#This Row],[Vida útil]]-Tabela3[[#This Row],[Idade]],"")</f>
        <v/>
      </c>
      <c r="R1411" s="8" t="str">
        <f ca="1">IFERROR(Tabela3[[#This Row],[Valor]]-(Tabela3[[#This Row],[Valor]]*(Tabela3[[#This Row],[Idade]]*VLOOKUP(Tabela3[[#This Row],[Categoria]],Cadastros!A:B,2,0))),"")</f>
        <v/>
      </c>
    </row>
    <row r="1412" spans="4:18" x14ac:dyDescent="0.25">
      <c r="D1412" s="5"/>
      <c r="N1412" s="6" t="str">
        <f>IFERROR(Tabela3[[#This Row],[Última revisão do bem]]+(VLOOKUP(Tabela3[[#This Row],[Categoria]],Cadastros!A:D,4,0)+365),"")</f>
        <v/>
      </c>
      <c r="O1412" s="7" t="str">
        <f ca="1">IF(Tabela3[[#This Row],[Data da compra]]&gt;0,(TODAY()-Tabela3[[#This Row],[Data da compra]])/365,"")</f>
        <v/>
      </c>
      <c r="P1412" s="7" t="str">
        <f>IFERROR(VLOOKUP(Tabela3[[#This Row],[Categoria]],Cadastros!A:C,3,0),"")</f>
        <v/>
      </c>
      <c r="Q1412" s="9" t="str">
        <f ca="1">IFERROR(Tabela3[[#This Row],[Vida útil]]-Tabela3[[#This Row],[Idade]],"")</f>
        <v/>
      </c>
      <c r="R1412" s="8" t="str">
        <f ca="1">IFERROR(Tabela3[[#This Row],[Valor]]-(Tabela3[[#This Row],[Valor]]*(Tabela3[[#This Row],[Idade]]*VLOOKUP(Tabela3[[#This Row],[Categoria]],Cadastros!A:B,2,0))),"")</f>
        <v/>
      </c>
    </row>
    <row r="1413" spans="4:18" x14ac:dyDescent="0.25">
      <c r="D1413" s="5"/>
      <c r="N1413" s="6" t="str">
        <f>IFERROR(Tabela3[[#This Row],[Última revisão do bem]]+(VLOOKUP(Tabela3[[#This Row],[Categoria]],Cadastros!A:D,4,0)+365),"")</f>
        <v/>
      </c>
      <c r="O1413" s="7" t="str">
        <f ca="1">IF(Tabela3[[#This Row],[Data da compra]]&gt;0,(TODAY()-Tabela3[[#This Row],[Data da compra]])/365,"")</f>
        <v/>
      </c>
      <c r="P1413" s="7" t="str">
        <f>IFERROR(VLOOKUP(Tabela3[[#This Row],[Categoria]],Cadastros!A:C,3,0),"")</f>
        <v/>
      </c>
      <c r="Q1413" s="9" t="str">
        <f ca="1">IFERROR(Tabela3[[#This Row],[Vida útil]]-Tabela3[[#This Row],[Idade]],"")</f>
        <v/>
      </c>
      <c r="R1413" s="8" t="str">
        <f ca="1">IFERROR(Tabela3[[#This Row],[Valor]]-(Tabela3[[#This Row],[Valor]]*(Tabela3[[#This Row],[Idade]]*VLOOKUP(Tabela3[[#This Row],[Categoria]],Cadastros!A:B,2,0))),"")</f>
        <v/>
      </c>
    </row>
    <row r="1414" spans="4:18" x14ac:dyDescent="0.25">
      <c r="D1414" s="5"/>
      <c r="N1414" s="6" t="str">
        <f>IFERROR(Tabela3[[#This Row],[Última revisão do bem]]+(VLOOKUP(Tabela3[[#This Row],[Categoria]],Cadastros!A:D,4,0)+365),"")</f>
        <v/>
      </c>
      <c r="O1414" s="7" t="str">
        <f ca="1">IF(Tabela3[[#This Row],[Data da compra]]&gt;0,(TODAY()-Tabela3[[#This Row],[Data da compra]])/365,"")</f>
        <v/>
      </c>
      <c r="P1414" s="7" t="str">
        <f>IFERROR(VLOOKUP(Tabela3[[#This Row],[Categoria]],Cadastros!A:C,3,0),"")</f>
        <v/>
      </c>
      <c r="Q1414" s="9" t="str">
        <f ca="1">IFERROR(Tabela3[[#This Row],[Vida útil]]-Tabela3[[#This Row],[Idade]],"")</f>
        <v/>
      </c>
      <c r="R1414" s="8" t="str">
        <f ca="1">IFERROR(Tabela3[[#This Row],[Valor]]-(Tabela3[[#This Row],[Valor]]*(Tabela3[[#This Row],[Idade]]*VLOOKUP(Tabela3[[#This Row],[Categoria]],Cadastros!A:B,2,0))),"")</f>
        <v/>
      </c>
    </row>
    <row r="1415" spans="4:18" x14ac:dyDescent="0.25">
      <c r="D1415" s="5"/>
      <c r="N1415" s="6" t="str">
        <f>IFERROR(Tabela3[[#This Row],[Última revisão do bem]]+(VLOOKUP(Tabela3[[#This Row],[Categoria]],Cadastros!A:D,4,0)+365),"")</f>
        <v/>
      </c>
      <c r="O1415" s="7" t="str">
        <f ca="1">IF(Tabela3[[#This Row],[Data da compra]]&gt;0,(TODAY()-Tabela3[[#This Row],[Data da compra]])/365,"")</f>
        <v/>
      </c>
      <c r="P1415" s="7" t="str">
        <f>IFERROR(VLOOKUP(Tabela3[[#This Row],[Categoria]],Cadastros!A:C,3,0),"")</f>
        <v/>
      </c>
      <c r="Q1415" s="9" t="str">
        <f ca="1">IFERROR(Tabela3[[#This Row],[Vida útil]]-Tabela3[[#This Row],[Idade]],"")</f>
        <v/>
      </c>
      <c r="R1415" s="8" t="str">
        <f ca="1">IFERROR(Tabela3[[#This Row],[Valor]]-(Tabela3[[#This Row],[Valor]]*(Tabela3[[#This Row],[Idade]]*VLOOKUP(Tabela3[[#This Row],[Categoria]],Cadastros!A:B,2,0))),"")</f>
        <v/>
      </c>
    </row>
    <row r="1416" spans="4:18" x14ac:dyDescent="0.25">
      <c r="D1416" s="5"/>
      <c r="N1416" s="6" t="str">
        <f>IFERROR(Tabela3[[#This Row],[Última revisão do bem]]+(VLOOKUP(Tabela3[[#This Row],[Categoria]],Cadastros!A:D,4,0)+365),"")</f>
        <v/>
      </c>
      <c r="O1416" s="7" t="str">
        <f ca="1">IF(Tabela3[[#This Row],[Data da compra]]&gt;0,(TODAY()-Tabela3[[#This Row],[Data da compra]])/365,"")</f>
        <v/>
      </c>
      <c r="P1416" s="7" t="str">
        <f>IFERROR(VLOOKUP(Tabela3[[#This Row],[Categoria]],Cadastros!A:C,3,0),"")</f>
        <v/>
      </c>
      <c r="Q1416" s="9" t="str">
        <f ca="1">IFERROR(Tabela3[[#This Row],[Vida útil]]-Tabela3[[#This Row],[Idade]],"")</f>
        <v/>
      </c>
      <c r="R1416" s="8" t="str">
        <f ca="1">IFERROR(Tabela3[[#This Row],[Valor]]-(Tabela3[[#This Row],[Valor]]*(Tabela3[[#This Row],[Idade]]*VLOOKUP(Tabela3[[#This Row],[Categoria]],Cadastros!A:B,2,0))),"")</f>
        <v/>
      </c>
    </row>
    <row r="1417" spans="4:18" x14ac:dyDescent="0.25">
      <c r="D1417" s="5"/>
      <c r="N1417" s="6" t="str">
        <f>IFERROR(Tabela3[[#This Row],[Última revisão do bem]]+(VLOOKUP(Tabela3[[#This Row],[Categoria]],Cadastros!A:D,4,0)+365),"")</f>
        <v/>
      </c>
      <c r="O1417" s="7" t="str">
        <f ca="1">IF(Tabela3[[#This Row],[Data da compra]]&gt;0,(TODAY()-Tabela3[[#This Row],[Data da compra]])/365,"")</f>
        <v/>
      </c>
      <c r="P1417" s="7" t="str">
        <f>IFERROR(VLOOKUP(Tabela3[[#This Row],[Categoria]],Cadastros!A:C,3,0),"")</f>
        <v/>
      </c>
      <c r="Q1417" s="9" t="str">
        <f ca="1">IFERROR(Tabela3[[#This Row],[Vida útil]]-Tabela3[[#This Row],[Idade]],"")</f>
        <v/>
      </c>
      <c r="R1417" s="8" t="str">
        <f ca="1">IFERROR(Tabela3[[#This Row],[Valor]]-(Tabela3[[#This Row],[Valor]]*(Tabela3[[#This Row],[Idade]]*VLOOKUP(Tabela3[[#This Row],[Categoria]],Cadastros!A:B,2,0))),"")</f>
        <v/>
      </c>
    </row>
    <row r="1418" spans="4:18" x14ac:dyDescent="0.25">
      <c r="D1418" s="5"/>
      <c r="N1418" s="6" t="str">
        <f>IFERROR(Tabela3[[#This Row],[Última revisão do bem]]+(VLOOKUP(Tabela3[[#This Row],[Categoria]],Cadastros!A:D,4,0)+365),"")</f>
        <v/>
      </c>
      <c r="O1418" s="7" t="str">
        <f ca="1">IF(Tabela3[[#This Row],[Data da compra]]&gt;0,(TODAY()-Tabela3[[#This Row],[Data da compra]])/365,"")</f>
        <v/>
      </c>
      <c r="P1418" s="7" t="str">
        <f>IFERROR(VLOOKUP(Tabela3[[#This Row],[Categoria]],Cadastros!A:C,3,0),"")</f>
        <v/>
      </c>
      <c r="Q1418" s="9" t="str">
        <f ca="1">IFERROR(Tabela3[[#This Row],[Vida útil]]-Tabela3[[#This Row],[Idade]],"")</f>
        <v/>
      </c>
      <c r="R1418" s="8" t="str">
        <f ca="1">IFERROR(Tabela3[[#This Row],[Valor]]-(Tabela3[[#This Row],[Valor]]*(Tabela3[[#This Row],[Idade]]*VLOOKUP(Tabela3[[#This Row],[Categoria]],Cadastros!A:B,2,0))),"")</f>
        <v/>
      </c>
    </row>
    <row r="1419" spans="4:18" x14ac:dyDescent="0.25">
      <c r="D1419" s="5"/>
      <c r="N1419" s="6" t="str">
        <f>IFERROR(Tabela3[[#This Row],[Última revisão do bem]]+(VLOOKUP(Tabela3[[#This Row],[Categoria]],Cadastros!A:D,4,0)+365),"")</f>
        <v/>
      </c>
      <c r="O1419" s="7" t="str">
        <f ca="1">IF(Tabela3[[#This Row],[Data da compra]]&gt;0,(TODAY()-Tabela3[[#This Row],[Data da compra]])/365,"")</f>
        <v/>
      </c>
      <c r="P1419" s="7" t="str">
        <f>IFERROR(VLOOKUP(Tabela3[[#This Row],[Categoria]],Cadastros!A:C,3,0),"")</f>
        <v/>
      </c>
      <c r="Q1419" s="9" t="str">
        <f ca="1">IFERROR(Tabela3[[#This Row],[Vida útil]]-Tabela3[[#This Row],[Idade]],"")</f>
        <v/>
      </c>
      <c r="R1419" s="8" t="str">
        <f ca="1">IFERROR(Tabela3[[#This Row],[Valor]]-(Tabela3[[#This Row],[Valor]]*(Tabela3[[#This Row],[Idade]]*VLOOKUP(Tabela3[[#This Row],[Categoria]],Cadastros!A:B,2,0))),"")</f>
        <v/>
      </c>
    </row>
    <row r="1420" spans="4:18" x14ac:dyDescent="0.25">
      <c r="D1420" s="5"/>
      <c r="N1420" s="6" t="str">
        <f>IFERROR(Tabela3[[#This Row],[Última revisão do bem]]+(VLOOKUP(Tabela3[[#This Row],[Categoria]],Cadastros!A:D,4,0)+365),"")</f>
        <v/>
      </c>
      <c r="O1420" s="7" t="str">
        <f ca="1">IF(Tabela3[[#This Row],[Data da compra]]&gt;0,(TODAY()-Tabela3[[#This Row],[Data da compra]])/365,"")</f>
        <v/>
      </c>
      <c r="P1420" s="7" t="str">
        <f>IFERROR(VLOOKUP(Tabela3[[#This Row],[Categoria]],Cadastros!A:C,3,0),"")</f>
        <v/>
      </c>
      <c r="Q1420" s="9" t="str">
        <f ca="1">IFERROR(Tabela3[[#This Row],[Vida útil]]-Tabela3[[#This Row],[Idade]],"")</f>
        <v/>
      </c>
      <c r="R1420" s="8" t="str">
        <f ca="1">IFERROR(Tabela3[[#This Row],[Valor]]-(Tabela3[[#This Row],[Valor]]*(Tabela3[[#This Row],[Idade]]*VLOOKUP(Tabela3[[#This Row],[Categoria]],Cadastros!A:B,2,0))),"")</f>
        <v/>
      </c>
    </row>
    <row r="1421" spans="4:18" x14ac:dyDescent="0.25">
      <c r="D1421" s="5"/>
      <c r="N1421" s="6" t="str">
        <f>IFERROR(Tabela3[[#This Row],[Última revisão do bem]]+(VLOOKUP(Tabela3[[#This Row],[Categoria]],Cadastros!A:D,4,0)+365),"")</f>
        <v/>
      </c>
      <c r="O1421" s="7" t="str">
        <f ca="1">IF(Tabela3[[#This Row],[Data da compra]]&gt;0,(TODAY()-Tabela3[[#This Row],[Data da compra]])/365,"")</f>
        <v/>
      </c>
      <c r="P1421" s="7" t="str">
        <f>IFERROR(VLOOKUP(Tabela3[[#This Row],[Categoria]],Cadastros!A:C,3,0),"")</f>
        <v/>
      </c>
      <c r="Q1421" s="9" t="str">
        <f ca="1">IFERROR(Tabela3[[#This Row],[Vida útil]]-Tabela3[[#This Row],[Idade]],"")</f>
        <v/>
      </c>
      <c r="R1421" s="8" t="str">
        <f ca="1">IFERROR(Tabela3[[#This Row],[Valor]]-(Tabela3[[#This Row],[Valor]]*(Tabela3[[#This Row],[Idade]]*VLOOKUP(Tabela3[[#This Row],[Categoria]],Cadastros!A:B,2,0))),"")</f>
        <v/>
      </c>
    </row>
    <row r="1422" spans="4:18" x14ac:dyDescent="0.25">
      <c r="D1422" s="5"/>
      <c r="N1422" s="6" t="str">
        <f>IFERROR(Tabela3[[#This Row],[Última revisão do bem]]+(VLOOKUP(Tabela3[[#This Row],[Categoria]],Cadastros!A:D,4,0)+365),"")</f>
        <v/>
      </c>
      <c r="O1422" s="7" t="str">
        <f ca="1">IF(Tabela3[[#This Row],[Data da compra]]&gt;0,(TODAY()-Tabela3[[#This Row],[Data da compra]])/365,"")</f>
        <v/>
      </c>
      <c r="P1422" s="7" t="str">
        <f>IFERROR(VLOOKUP(Tabela3[[#This Row],[Categoria]],Cadastros!A:C,3,0),"")</f>
        <v/>
      </c>
      <c r="Q1422" s="9" t="str">
        <f ca="1">IFERROR(Tabela3[[#This Row],[Vida útil]]-Tabela3[[#This Row],[Idade]],"")</f>
        <v/>
      </c>
      <c r="R1422" s="8" t="str">
        <f ca="1">IFERROR(Tabela3[[#This Row],[Valor]]-(Tabela3[[#This Row],[Valor]]*(Tabela3[[#This Row],[Idade]]*VLOOKUP(Tabela3[[#This Row],[Categoria]],Cadastros!A:B,2,0))),"")</f>
        <v/>
      </c>
    </row>
    <row r="1423" spans="4:18" x14ac:dyDescent="0.25">
      <c r="D1423" s="5"/>
      <c r="N1423" s="6" t="str">
        <f>IFERROR(Tabela3[[#This Row],[Última revisão do bem]]+(VLOOKUP(Tabela3[[#This Row],[Categoria]],Cadastros!A:D,4,0)+365),"")</f>
        <v/>
      </c>
      <c r="O1423" s="7" t="str">
        <f ca="1">IF(Tabela3[[#This Row],[Data da compra]]&gt;0,(TODAY()-Tabela3[[#This Row],[Data da compra]])/365,"")</f>
        <v/>
      </c>
      <c r="P1423" s="7" t="str">
        <f>IFERROR(VLOOKUP(Tabela3[[#This Row],[Categoria]],Cadastros!A:C,3,0),"")</f>
        <v/>
      </c>
      <c r="Q1423" s="9" t="str">
        <f ca="1">IFERROR(Tabela3[[#This Row],[Vida útil]]-Tabela3[[#This Row],[Idade]],"")</f>
        <v/>
      </c>
      <c r="R1423" s="8" t="str">
        <f ca="1">IFERROR(Tabela3[[#This Row],[Valor]]-(Tabela3[[#This Row],[Valor]]*(Tabela3[[#This Row],[Idade]]*VLOOKUP(Tabela3[[#This Row],[Categoria]],Cadastros!A:B,2,0))),"")</f>
        <v/>
      </c>
    </row>
    <row r="1424" spans="4:18" x14ac:dyDescent="0.25">
      <c r="D1424" s="5"/>
      <c r="N1424" s="6" t="str">
        <f>IFERROR(Tabela3[[#This Row],[Última revisão do bem]]+(VLOOKUP(Tabela3[[#This Row],[Categoria]],Cadastros!A:D,4,0)+365),"")</f>
        <v/>
      </c>
      <c r="O1424" s="7" t="str">
        <f ca="1">IF(Tabela3[[#This Row],[Data da compra]]&gt;0,(TODAY()-Tabela3[[#This Row],[Data da compra]])/365,"")</f>
        <v/>
      </c>
      <c r="P1424" s="7" t="str">
        <f>IFERROR(VLOOKUP(Tabela3[[#This Row],[Categoria]],Cadastros!A:C,3,0),"")</f>
        <v/>
      </c>
      <c r="Q1424" s="9" t="str">
        <f ca="1">IFERROR(Tabela3[[#This Row],[Vida útil]]-Tabela3[[#This Row],[Idade]],"")</f>
        <v/>
      </c>
      <c r="R1424" s="8" t="str">
        <f ca="1">IFERROR(Tabela3[[#This Row],[Valor]]-(Tabela3[[#This Row],[Valor]]*(Tabela3[[#This Row],[Idade]]*VLOOKUP(Tabela3[[#This Row],[Categoria]],Cadastros!A:B,2,0))),"")</f>
        <v/>
      </c>
    </row>
    <row r="1425" spans="4:18" x14ac:dyDescent="0.25">
      <c r="D1425" s="5"/>
      <c r="N1425" s="6" t="str">
        <f>IFERROR(Tabela3[[#This Row],[Última revisão do bem]]+(VLOOKUP(Tabela3[[#This Row],[Categoria]],Cadastros!A:D,4,0)+365),"")</f>
        <v/>
      </c>
      <c r="O1425" s="7" t="str">
        <f ca="1">IF(Tabela3[[#This Row],[Data da compra]]&gt;0,(TODAY()-Tabela3[[#This Row],[Data da compra]])/365,"")</f>
        <v/>
      </c>
      <c r="P1425" s="7" t="str">
        <f>IFERROR(VLOOKUP(Tabela3[[#This Row],[Categoria]],Cadastros!A:C,3,0),"")</f>
        <v/>
      </c>
      <c r="Q1425" s="9" t="str">
        <f ca="1">IFERROR(Tabela3[[#This Row],[Vida útil]]-Tabela3[[#This Row],[Idade]],"")</f>
        <v/>
      </c>
      <c r="R1425" s="8" t="str">
        <f ca="1">IFERROR(Tabela3[[#This Row],[Valor]]-(Tabela3[[#This Row],[Valor]]*(Tabela3[[#This Row],[Idade]]*VLOOKUP(Tabela3[[#This Row],[Categoria]],Cadastros!A:B,2,0))),"")</f>
        <v/>
      </c>
    </row>
    <row r="1426" spans="4:18" x14ac:dyDescent="0.25">
      <c r="D1426" s="5"/>
      <c r="N1426" s="6" t="str">
        <f>IFERROR(Tabela3[[#This Row],[Última revisão do bem]]+(VLOOKUP(Tabela3[[#This Row],[Categoria]],Cadastros!A:D,4,0)+365),"")</f>
        <v/>
      </c>
      <c r="O1426" s="7" t="str">
        <f ca="1">IF(Tabela3[[#This Row],[Data da compra]]&gt;0,(TODAY()-Tabela3[[#This Row],[Data da compra]])/365,"")</f>
        <v/>
      </c>
      <c r="P1426" s="7" t="str">
        <f>IFERROR(VLOOKUP(Tabela3[[#This Row],[Categoria]],Cadastros!A:C,3,0),"")</f>
        <v/>
      </c>
      <c r="Q1426" s="9" t="str">
        <f ca="1">IFERROR(Tabela3[[#This Row],[Vida útil]]-Tabela3[[#This Row],[Idade]],"")</f>
        <v/>
      </c>
      <c r="R1426" s="8" t="str">
        <f ca="1">IFERROR(Tabela3[[#This Row],[Valor]]-(Tabela3[[#This Row],[Valor]]*(Tabela3[[#This Row],[Idade]]*VLOOKUP(Tabela3[[#This Row],[Categoria]],Cadastros!A:B,2,0))),"")</f>
        <v/>
      </c>
    </row>
    <row r="1427" spans="4:18" x14ac:dyDescent="0.25">
      <c r="D1427" s="5"/>
      <c r="N1427" s="6" t="str">
        <f>IFERROR(Tabela3[[#This Row],[Última revisão do bem]]+(VLOOKUP(Tabela3[[#This Row],[Categoria]],Cadastros!A:D,4,0)+365),"")</f>
        <v/>
      </c>
      <c r="O1427" s="7" t="str">
        <f ca="1">IF(Tabela3[[#This Row],[Data da compra]]&gt;0,(TODAY()-Tabela3[[#This Row],[Data da compra]])/365,"")</f>
        <v/>
      </c>
      <c r="P1427" s="7" t="str">
        <f>IFERROR(VLOOKUP(Tabela3[[#This Row],[Categoria]],Cadastros!A:C,3,0),"")</f>
        <v/>
      </c>
      <c r="Q1427" s="9" t="str">
        <f ca="1">IFERROR(Tabela3[[#This Row],[Vida útil]]-Tabela3[[#This Row],[Idade]],"")</f>
        <v/>
      </c>
      <c r="R1427" s="8" t="str">
        <f ca="1">IFERROR(Tabela3[[#This Row],[Valor]]-(Tabela3[[#This Row],[Valor]]*(Tabela3[[#This Row],[Idade]]*VLOOKUP(Tabela3[[#This Row],[Categoria]],Cadastros!A:B,2,0))),"")</f>
        <v/>
      </c>
    </row>
    <row r="1428" spans="4:18" x14ac:dyDescent="0.25">
      <c r="D1428" s="22"/>
      <c r="N1428" s="6" t="str">
        <f>IFERROR(Tabela3[[#This Row],[Última revisão do bem]]+(VLOOKUP(Tabela3[[#This Row],[Categoria]],Cadastros!A:D,4,0)+365),"")</f>
        <v/>
      </c>
      <c r="O1428" s="7" t="str">
        <f ca="1">IF(Tabela3[[#This Row],[Data da compra]]&gt;0,(TODAY()-Tabela3[[#This Row],[Data da compra]])/365,"")</f>
        <v/>
      </c>
      <c r="P1428" s="7" t="str">
        <f>IFERROR(VLOOKUP(Tabela3[[#This Row],[Categoria]],Cadastros!A:C,3,0),"")</f>
        <v/>
      </c>
      <c r="Q1428" s="9" t="str">
        <f ca="1">IFERROR(Tabela3[[#This Row],[Vida útil]]-Tabela3[[#This Row],[Idade]],"")</f>
        <v/>
      </c>
      <c r="R1428" s="23" t="str">
        <f ca="1">IFERROR(Tabela3[[#This Row],[Valor]]-(Tabela3[[#This Row],[Valor]]*(Tabela3[[#This Row],[Idade]]*VLOOKUP(Tabela3[[#This Row],[Categoria]],Cadastros!A:B,2,0))),"")</f>
        <v/>
      </c>
    </row>
    <row r="1429" spans="4:18" x14ac:dyDescent="0.25">
      <c r="D1429" s="5"/>
      <c r="N1429" s="6" t="str">
        <f>IFERROR(Tabela3[[#This Row],[Última revisão do bem]]+(VLOOKUP(Tabela3[[#This Row],[Categoria]],Cadastros!A:D,4,0)+365),"")</f>
        <v/>
      </c>
      <c r="O1429" s="7" t="str">
        <f ca="1">IF(Tabela3[[#This Row],[Data da compra]]&gt;0,(TODAY()-Tabela3[[#This Row],[Data da compra]])/365,"")</f>
        <v/>
      </c>
      <c r="P1429" s="7" t="str">
        <f>IFERROR(VLOOKUP(Tabela3[[#This Row],[Categoria]],Cadastros!A:C,3,0),"")</f>
        <v/>
      </c>
      <c r="Q1429" s="9" t="str">
        <f ca="1">IFERROR(Tabela3[[#This Row],[Vida útil]]-Tabela3[[#This Row],[Idade]],"")</f>
        <v/>
      </c>
      <c r="R1429" s="8" t="str">
        <f ca="1">IFERROR(Tabela3[[#This Row],[Valor]]-(Tabela3[[#This Row],[Valor]]*(Tabela3[[#This Row],[Idade]]*VLOOKUP(Tabela3[[#This Row],[Categoria]],Cadastros!A:B,2,0))),"")</f>
        <v/>
      </c>
    </row>
    <row r="1430" spans="4:18" x14ac:dyDescent="0.25">
      <c r="D1430" s="5"/>
      <c r="N1430" s="6" t="str">
        <f>IFERROR(Tabela3[[#This Row],[Última revisão do bem]]+(VLOOKUP(Tabela3[[#This Row],[Categoria]],Cadastros!A:D,4,0)+365),"")</f>
        <v/>
      </c>
      <c r="O1430" s="7" t="str">
        <f ca="1">IF(Tabela3[[#This Row],[Data da compra]]&gt;0,(TODAY()-Tabela3[[#This Row],[Data da compra]])/365,"")</f>
        <v/>
      </c>
      <c r="P1430" s="7" t="str">
        <f>IFERROR(VLOOKUP(Tabela3[[#This Row],[Categoria]],Cadastros!A:C,3,0),"")</f>
        <v/>
      </c>
      <c r="Q1430" s="9" t="str">
        <f ca="1">IFERROR(Tabela3[[#This Row],[Vida útil]]-Tabela3[[#This Row],[Idade]],"")</f>
        <v/>
      </c>
      <c r="R1430" s="8" t="str">
        <f ca="1">IFERROR(Tabela3[[#This Row],[Valor]]-(Tabela3[[#This Row],[Valor]]*(Tabela3[[#This Row],[Idade]]*VLOOKUP(Tabela3[[#This Row],[Categoria]],Cadastros!A:B,2,0))),"")</f>
        <v/>
      </c>
    </row>
    <row r="1431" spans="4:18" x14ac:dyDescent="0.25">
      <c r="D1431" s="5"/>
      <c r="N1431" s="6" t="str">
        <f>IFERROR(Tabela3[[#This Row],[Última revisão do bem]]+(VLOOKUP(Tabela3[[#This Row],[Categoria]],Cadastros!A:D,4,0)+365),"")</f>
        <v/>
      </c>
      <c r="O1431" s="7" t="str">
        <f ca="1">IF(Tabela3[[#This Row],[Data da compra]]&gt;0,(TODAY()-Tabela3[[#This Row],[Data da compra]])/365,"")</f>
        <v/>
      </c>
      <c r="P1431" s="7" t="str">
        <f>IFERROR(VLOOKUP(Tabela3[[#This Row],[Categoria]],Cadastros!A:C,3,0),"")</f>
        <v/>
      </c>
      <c r="Q1431" s="9" t="str">
        <f ca="1">IFERROR(Tabela3[[#This Row],[Vida útil]]-Tabela3[[#This Row],[Idade]],"")</f>
        <v/>
      </c>
      <c r="R1431" s="8" t="str">
        <f ca="1">IFERROR(Tabela3[[#This Row],[Valor]]-(Tabela3[[#This Row],[Valor]]*(Tabela3[[#This Row],[Idade]]*VLOOKUP(Tabela3[[#This Row],[Categoria]],Cadastros!A:B,2,0))),"")</f>
        <v/>
      </c>
    </row>
    <row r="1432" spans="4:18" x14ac:dyDescent="0.25">
      <c r="D1432" s="5"/>
      <c r="N1432" s="6" t="str">
        <f>IFERROR(Tabela3[[#This Row],[Última revisão do bem]]+(VLOOKUP(Tabela3[[#This Row],[Categoria]],Cadastros!A:D,4,0)+365),"")</f>
        <v/>
      </c>
      <c r="O1432" s="7" t="str">
        <f ca="1">IF(Tabela3[[#This Row],[Data da compra]]&gt;0,(TODAY()-Tabela3[[#This Row],[Data da compra]])/365,"")</f>
        <v/>
      </c>
      <c r="P1432" s="7" t="str">
        <f>IFERROR(VLOOKUP(Tabela3[[#This Row],[Categoria]],Cadastros!A:C,3,0),"")</f>
        <v/>
      </c>
      <c r="Q1432" s="9" t="str">
        <f ca="1">IFERROR(Tabela3[[#This Row],[Vida útil]]-Tabela3[[#This Row],[Idade]],"")</f>
        <v/>
      </c>
      <c r="R1432" s="8" t="str">
        <f ca="1">IFERROR(Tabela3[[#This Row],[Valor]]-(Tabela3[[#This Row],[Valor]]*(Tabela3[[#This Row],[Idade]]*VLOOKUP(Tabela3[[#This Row],[Categoria]],Cadastros!A:B,2,0))),"")</f>
        <v/>
      </c>
    </row>
    <row r="1433" spans="4:18" x14ac:dyDescent="0.25">
      <c r="D1433" s="5"/>
      <c r="N1433" s="6" t="str">
        <f>IFERROR(Tabela3[[#This Row],[Última revisão do bem]]+(VLOOKUP(Tabela3[[#This Row],[Categoria]],Cadastros!A:D,4,0)+365),"")</f>
        <v/>
      </c>
      <c r="O1433" s="7" t="str">
        <f ca="1">IF(Tabela3[[#This Row],[Data da compra]]&gt;0,(TODAY()-Tabela3[[#This Row],[Data da compra]])/365,"")</f>
        <v/>
      </c>
      <c r="P1433" s="7" t="str">
        <f>IFERROR(VLOOKUP(Tabela3[[#This Row],[Categoria]],Cadastros!A:C,3,0),"")</f>
        <v/>
      </c>
      <c r="Q1433" s="9" t="str">
        <f ca="1">IFERROR(Tabela3[[#This Row],[Vida útil]]-Tabela3[[#This Row],[Idade]],"")</f>
        <v/>
      </c>
      <c r="R1433" s="8" t="str">
        <f ca="1">IFERROR(Tabela3[[#This Row],[Valor]]-(Tabela3[[#This Row],[Valor]]*(Tabela3[[#This Row],[Idade]]*VLOOKUP(Tabela3[[#This Row],[Categoria]],Cadastros!A:B,2,0))),"")</f>
        <v/>
      </c>
    </row>
    <row r="1434" spans="4:18" x14ac:dyDescent="0.25">
      <c r="D1434" s="5"/>
      <c r="N1434" s="6" t="str">
        <f>IFERROR(Tabela3[[#This Row],[Última revisão do bem]]+(VLOOKUP(Tabela3[[#This Row],[Categoria]],Cadastros!A:D,4,0)+365),"")</f>
        <v/>
      </c>
      <c r="O1434" s="7" t="str">
        <f ca="1">IF(Tabela3[[#This Row],[Data da compra]]&gt;0,(TODAY()-Tabela3[[#This Row],[Data da compra]])/365,"")</f>
        <v/>
      </c>
      <c r="P1434" s="7" t="str">
        <f>IFERROR(VLOOKUP(Tabela3[[#This Row],[Categoria]],Cadastros!A:C,3,0),"")</f>
        <v/>
      </c>
      <c r="Q1434" s="9" t="str">
        <f ca="1">IFERROR(Tabela3[[#This Row],[Vida útil]]-Tabela3[[#This Row],[Idade]],"")</f>
        <v/>
      </c>
      <c r="R1434" s="8" t="str">
        <f ca="1">IFERROR(Tabela3[[#This Row],[Valor]]-(Tabela3[[#This Row],[Valor]]*(Tabela3[[#This Row],[Idade]]*VLOOKUP(Tabela3[[#This Row],[Categoria]],Cadastros!A:B,2,0))),"")</f>
        <v/>
      </c>
    </row>
    <row r="1435" spans="4:18" x14ac:dyDescent="0.25">
      <c r="D1435" s="5"/>
      <c r="N1435" s="6" t="str">
        <f>IFERROR(Tabela3[[#This Row],[Última revisão do bem]]+(VLOOKUP(Tabela3[[#This Row],[Categoria]],Cadastros!A:D,4,0)+365),"")</f>
        <v/>
      </c>
      <c r="O1435" s="7" t="str">
        <f ca="1">IF(Tabela3[[#This Row],[Data da compra]]&gt;0,(TODAY()-Tabela3[[#This Row],[Data da compra]])/365,"")</f>
        <v/>
      </c>
      <c r="P1435" s="7" t="str">
        <f>IFERROR(VLOOKUP(Tabela3[[#This Row],[Categoria]],Cadastros!A:C,3,0),"")</f>
        <v/>
      </c>
      <c r="Q1435" s="9" t="str">
        <f ca="1">IFERROR(Tabela3[[#This Row],[Vida útil]]-Tabela3[[#This Row],[Idade]],"")</f>
        <v/>
      </c>
      <c r="R1435" s="8" t="str">
        <f ca="1">IFERROR(Tabela3[[#This Row],[Valor]]-(Tabela3[[#This Row],[Valor]]*(Tabela3[[#This Row],[Idade]]*VLOOKUP(Tabela3[[#This Row],[Categoria]],Cadastros!A:B,2,0))),"")</f>
        <v/>
      </c>
    </row>
    <row r="1436" spans="4:18" x14ac:dyDescent="0.25">
      <c r="D1436" s="5"/>
      <c r="N1436" s="6" t="str">
        <f>IFERROR(Tabela3[[#This Row],[Última revisão do bem]]+(VLOOKUP(Tabela3[[#This Row],[Categoria]],Cadastros!A:D,4,0)+365),"")</f>
        <v/>
      </c>
      <c r="O1436" s="7" t="str">
        <f ca="1">IF(Tabela3[[#This Row],[Data da compra]]&gt;0,(TODAY()-Tabela3[[#This Row],[Data da compra]])/365,"")</f>
        <v/>
      </c>
      <c r="P1436" s="7" t="str">
        <f>IFERROR(VLOOKUP(Tabela3[[#This Row],[Categoria]],Cadastros!A:C,3,0),"")</f>
        <v/>
      </c>
      <c r="Q1436" s="9" t="str">
        <f ca="1">IFERROR(Tabela3[[#This Row],[Vida útil]]-Tabela3[[#This Row],[Idade]],"")</f>
        <v/>
      </c>
      <c r="R1436" s="8" t="str">
        <f ca="1">IFERROR(Tabela3[[#This Row],[Valor]]-(Tabela3[[#This Row],[Valor]]*(Tabela3[[#This Row],[Idade]]*VLOOKUP(Tabela3[[#This Row],[Categoria]],Cadastros!A:B,2,0))),"")</f>
        <v/>
      </c>
    </row>
    <row r="1437" spans="4:18" x14ac:dyDescent="0.25">
      <c r="D1437" s="5"/>
      <c r="N1437" s="6" t="str">
        <f>IFERROR(Tabela3[[#This Row],[Última revisão do bem]]+(VLOOKUP(Tabela3[[#This Row],[Categoria]],Cadastros!A:D,4,0)+365),"")</f>
        <v/>
      </c>
      <c r="O1437" s="7" t="str">
        <f ca="1">IF(Tabela3[[#This Row],[Data da compra]]&gt;0,(TODAY()-Tabela3[[#This Row],[Data da compra]])/365,"")</f>
        <v/>
      </c>
      <c r="P1437" s="7" t="str">
        <f>IFERROR(VLOOKUP(Tabela3[[#This Row],[Categoria]],Cadastros!A:C,3,0),"")</f>
        <v/>
      </c>
      <c r="Q1437" s="9" t="str">
        <f ca="1">IFERROR(Tabela3[[#This Row],[Vida útil]]-Tabela3[[#This Row],[Idade]],"")</f>
        <v/>
      </c>
      <c r="R1437" s="8" t="str">
        <f ca="1">IFERROR(Tabela3[[#This Row],[Valor]]-(Tabela3[[#This Row],[Valor]]*(Tabela3[[#This Row],[Idade]]*VLOOKUP(Tabela3[[#This Row],[Categoria]],Cadastros!A:B,2,0))),"")</f>
        <v/>
      </c>
    </row>
    <row r="1438" spans="4:18" x14ac:dyDescent="0.25">
      <c r="D1438" s="5"/>
      <c r="N1438" s="6" t="str">
        <f>IFERROR(Tabela3[[#This Row],[Última revisão do bem]]+(VLOOKUP(Tabela3[[#This Row],[Categoria]],Cadastros!A:D,4,0)+365),"")</f>
        <v/>
      </c>
      <c r="O1438" s="7" t="str">
        <f ca="1">IF(Tabela3[[#This Row],[Data da compra]]&gt;0,(TODAY()-Tabela3[[#This Row],[Data da compra]])/365,"")</f>
        <v/>
      </c>
      <c r="P1438" s="7" t="str">
        <f>IFERROR(VLOOKUP(Tabela3[[#This Row],[Categoria]],Cadastros!A:C,3,0),"")</f>
        <v/>
      </c>
      <c r="Q1438" s="9" t="str">
        <f ca="1">IFERROR(Tabela3[[#This Row],[Vida útil]]-Tabela3[[#This Row],[Idade]],"")</f>
        <v/>
      </c>
      <c r="R1438" s="8" t="str">
        <f ca="1">IFERROR(Tabela3[[#This Row],[Valor]]-(Tabela3[[#This Row],[Valor]]*(Tabela3[[#This Row],[Idade]]*VLOOKUP(Tabela3[[#This Row],[Categoria]],Cadastros!A:B,2,0))),"")</f>
        <v/>
      </c>
    </row>
    <row r="1439" spans="4:18" x14ac:dyDescent="0.25">
      <c r="D1439" s="5"/>
      <c r="N1439" s="6" t="str">
        <f>IFERROR(Tabela3[[#This Row],[Última revisão do bem]]+(VLOOKUP(Tabela3[[#This Row],[Categoria]],Cadastros!A:D,4,0)+365),"")</f>
        <v/>
      </c>
      <c r="O1439" s="7" t="str">
        <f ca="1">IF(Tabela3[[#This Row],[Data da compra]]&gt;0,(TODAY()-Tabela3[[#This Row],[Data da compra]])/365,"")</f>
        <v/>
      </c>
      <c r="P1439" s="7" t="str">
        <f>IFERROR(VLOOKUP(Tabela3[[#This Row],[Categoria]],Cadastros!A:C,3,0),"")</f>
        <v/>
      </c>
      <c r="Q1439" s="9" t="str">
        <f ca="1">IFERROR(Tabela3[[#This Row],[Vida útil]]-Tabela3[[#This Row],[Idade]],"")</f>
        <v/>
      </c>
      <c r="R1439" s="8" t="str">
        <f ca="1">IFERROR(Tabela3[[#This Row],[Valor]]-(Tabela3[[#This Row],[Valor]]*(Tabela3[[#This Row],[Idade]]*VLOOKUP(Tabela3[[#This Row],[Categoria]],Cadastros!A:B,2,0))),"")</f>
        <v/>
      </c>
    </row>
    <row r="1440" spans="4:18" x14ac:dyDescent="0.25">
      <c r="D1440" s="5"/>
      <c r="N1440" s="6" t="str">
        <f>IFERROR(Tabela3[[#This Row],[Última revisão do bem]]+(VLOOKUP(Tabela3[[#This Row],[Categoria]],Cadastros!A:D,4,0)+365),"")</f>
        <v/>
      </c>
      <c r="O1440" s="7" t="str">
        <f ca="1">IF(Tabela3[[#This Row],[Data da compra]]&gt;0,(TODAY()-Tabela3[[#This Row],[Data da compra]])/365,"")</f>
        <v/>
      </c>
      <c r="P1440" s="7" t="str">
        <f>IFERROR(VLOOKUP(Tabela3[[#This Row],[Categoria]],Cadastros!A:C,3,0),"")</f>
        <v/>
      </c>
      <c r="Q1440" s="9" t="str">
        <f ca="1">IFERROR(Tabela3[[#This Row],[Vida útil]]-Tabela3[[#This Row],[Idade]],"")</f>
        <v/>
      </c>
      <c r="R1440" s="8" t="str">
        <f ca="1">IFERROR(Tabela3[[#This Row],[Valor]]-(Tabela3[[#This Row],[Valor]]*(Tabela3[[#This Row],[Idade]]*VLOOKUP(Tabela3[[#This Row],[Categoria]],Cadastros!A:B,2,0))),"")</f>
        <v/>
      </c>
    </row>
    <row r="1441" spans="4:18" x14ac:dyDescent="0.25">
      <c r="D1441" s="5"/>
      <c r="N1441" s="6" t="str">
        <f>IFERROR(Tabela3[[#This Row],[Última revisão do bem]]+(VLOOKUP(Tabela3[[#This Row],[Categoria]],Cadastros!A:D,4,0)+365),"")</f>
        <v/>
      </c>
      <c r="O1441" s="7" t="str">
        <f ca="1">IF(Tabela3[[#This Row],[Data da compra]]&gt;0,(TODAY()-Tabela3[[#This Row],[Data da compra]])/365,"")</f>
        <v/>
      </c>
      <c r="P1441" s="7" t="str">
        <f>IFERROR(VLOOKUP(Tabela3[[#This Row],[Categoria]],Cadastros!A:C,3,0),"")</f>
        <v/>
      </c>
      <c r="Q1441" s="9" t="str">
        <f ca="1">IFERROR(Tabela3[[#This Row],[Vida útil]]-Tabela3[[#This Row],[Idade]],"")</f>
        <v/>
      </c>
      <c r="R1441" s="8" t="str">
        <f ca="1">IFERROR(Tabela3[[#This Row],[Valor]]-(Tabela3[[#This Row],[Valor]]*(Tabela3[[#This Row],[Idade]]*VLOOKUP(Tabela3[[#This Row],[Categoria]],Cadastros!A:B,2,0))),"")</f>
        <v/>
      </c>
    </row>
    <row r="1442" spans="4:18" x14ac:dyDescent="0.25">
      <c r="D1442" s="5"/>
      <c r="N1442" s="6" t="str">
        <f>IFERROR(Tabela3[[#This Row],[Última revisão do bem]]+(VLOOKUP(Tabela3[[#This Row],[Categoria]],Cadastros!A:D,4,0)+365),"")</f>
        <v/>
      </c>
      <c r="O1442" s="7" t="str">
        <f ca="1">IF(Tabela3[[#This Row],[Data da compra]]&gt;0,(TODAY()-Tabela3[[#This Row],[Data da compra]])/365,"")</f>
        <v/>
      </c>
      <c r="P1442" s="7" t="str">
        <f>IFERROR(VLOOKUP(Tabela3[[#This Row],[Categoria]],Cadastros!A:C,3,0),"")</f>
        <v/>
      </c>
      <c r="Q1442" s="9" t="str">
        <f ca="1">IFERROR(Tabela3[[#This Row],[Vida útil]]-Tabela3[[#This Row],[Idade]],"")</f>
        <v/>
      </c>
      <c r="R1442" s="8" t="str">
        <f ca="1">IFERROR(Tabela3[[#This Row],[Valor]]-(Tabela3[[#This Row],[Valor]]*(Tabela3[[#This Row],[Idade]]*VLOOKUP(Tabela3[[#This Row],[Categoria]],Cadastros!A:B,2,0))),"")</f>
        <v/>
      </c>
    </row>
    <row r="1443" spans="4:18" x14ac:dyDescent="0.25">
      <c r="D1443" s="5"/>
      <c r="N1443" s="6" t="str">
        <f>IFERROR(Tabela3[[#This Row],[Última revisão do bem]]+(VLOOKUP(Tabela3[[#This Row],[Categoria]],Cadastros!A:D,4,0)+365),"")</f>
        <v/>
      </c>
      <c r="O1443" s="7" t="str">
        <f ca="1">IF(Tabela3[[#This Row],[Data da compra]]&gt;0,(TODAY()-Tabela3[[#This Row],[Data da compra]])/365,"")</f>
        <v/>
      </c>
      <c r="P1443" s="7" t="str">
        <f>IFERROR(VLOOKUP(Tabela3[[#This Row],[Categoria]],Cadastros!A:C,3,0),"")</f>
        <v/>
      </c>
      <c r="Q1443" s="9" t="str">
        <f ca="1">IFERROR(Tabela3[[#This Row],[Vida útil]]-Tabela3[[#This Row],[Idade]],"")</f>
        <v/>
      </c>
      <c r="R1443" s="8" t="str">
        <f ca="1">IFERROR(Tabela3[[#This Row],[Valor]]-(Tabela3[[#This Row],[Valor]]*(Tabela3[[#This Row],[Idade]]*VLOOKUP(Tabela3[[#This Row],[Categoria]],Cadastros!A:B,2,0))),"")</f>
        <v/>
      </c>
    </row>
    <row r="1444" spans="4:18" x14ac:dyDescent="0.25">
      <c r="D1444" s="5"/>
      <c r="N1444" s="6" t="str">
        <f>IFERROR(Tabela3[[#This Row],[Última revisão do bem]]+(VLOOKUP(Tabela3[[#This Row],[Categoria]],Cadastros!A:D,4,0)+365),"")</f>
        <v/>
      </c>
      <c r="O1444" s="7" t="str">
        <f ca="1">IF(Tabela3[[#This Row],[Data da compra]]&gt;0,(TODAY()-Tabela3[[#This Row],[Data da compra]])/365,"")</f>
        <v/>
      </c>
      <c r="P1444" s="7" t="str">
        <f>IFERROR(VLOOKUP(Tabela3[[#This Row],[Categoria]],Cadastros!A:C,3,0),"")</f>
        <v/>
      </c>
      <c r="Q1444" s="9" t="str">
        <f ca="1">IFERROR(Tabela3[[#This Row],[Vida útil]]-Tabela3[[#This Row],[Idade]],"")</f>
        <v/>
      </c>
      <c r="R1444" s="8" t="str">
        <f ca="1">IFERROR(Tabela3[[#This Row],[Valor]]-(Tabela3[[#This Row],[Valor]]*(Tabela3[[#This Row],[Idade]]*VLOOKUP(Tabela3[[#This Row],[Categoria]],Cadastros!A:B,2,0))),"")</f>
        <v/>
      </c>
    </row>
    <row r="1445" spans="4:18" x14ac:dyDescent="0.25">
      <c r="D1445" s="5"/>
      <c r="N1445" s="6" t="str">
        <f>IFERROR(Tabela3[[#This Row],[Última revisão do bem]]+(VLOOKUP(Tabela3[[#This Row],[Categoria]],Cadastros!A:D,4,0)+365),"")</f>
        <v/>
      </c>
      <c r="O1445" s="7" t="str">
        <f ca="1">IF(Tabela3[[#This Row],[Data da compra]]&gt;0,(TODAY()-Tabela3[[#This Row],[Data da compra]])/365,"")</f>
        <v/>
      </c>
      <c r="P1445" s="7" t="str">
        <f>IFERROR(VLOOKUP(Tabela3[[#This Row],[Categoria]],Cadastros!A:C,3,0),"")</f>
        <v/>
      </c>
      <c r="Q1445" s="9" t="str">
        <f ca="1">IFERROR(Tabela3[[#This Row],[Vida útil]]-Tabela3[[#This Row],[Idade]],"")</f>
        <v/>
      </c>
      <c r="R1445" s="8" t="str">
        <f ca="1">IFERROR(Tabela3[[#This Row],[Valor]]-(Tabela3[[#This Row],[Valor]]*(Tabela3[[#This Row],[Idade]]*VLOOKUP(Tabela3[[#This Row],[Categoria]],Cadastros!A:B,2,0))),"")</f>
        <v/>
      </c>
    </row>
    <row r="1446" spans="4:18" x14ac:dyDescent="0.25">
      <c r="D1446" s="22"/>
      <c r="N1446" s="6" t="str">
        <f>IFERROR(Tabela3[[#This Row],[Última revisão do bem]]+(VLOOKUP(Tabela3[[#This Row],[Categoria]],Cadastros!A:D,4,0)+365),"")</f>
        <v/>
      </c>
      <c r="O1446" s="7" t="str">
        <f ca="1">IF(Tabela3[[#This Row],[Data da compra]]&gt;0,(TODAY()-Tabela3[[#This Row],[Data da compra]])/365,"")</f>
        <v/>
      </c>
      <c r="P1446" s="7" t="str">
        <f>IFERROR(VLOOKUP(Tabela3[[#This Row],[Categoria]],Cadastros!A:C,3,0),"")</f>
        <v/>
      </c>
      <c r="Q1446" s="9" t="str">
        <f ca="1">IFERROR(Tabela3[[#This Row],[Vida útil]]-Tabela3[[#This Row],[Idade]],"")</f>
        <v/>
      </c>
      <c r="R1446" s="23" t="str">
        <f ca="1">IFERROR(Tabela3[[#This Row],[Valor]]-(Tabela3[[#This Row],[Valor]]*(Tabela3[[#This Row],[Idade]]*VLOOKUP(Tabela3[[#This Row],[Categoria]],Cadastros!A:B,2,0))),"")</f>
        <v/>
      </c>
    </row>
    <row r="1447" spans="4:18" x14ac:dyDescent="0.25">
      <c r="D1447" s="5"/>
      <c r="N1447" s="6" t="str">
        <f>IFERROR(Tabela3[[#This Row],[Última revisão do bem]]+(VLOOKUP(Tabela3[[#This Row],[Categoria]],Cadastros!A:D,4,0)+365),"")</f>
        <v/>
      </c>
      <c r="O1447" s="7" t="str">
        <f ca="1">IF(Tabela3[[#This Row],[Data da compra]]&gt;0,(TODAY()-Tabela3[[#This Row],[Data da compra]])/365,"")</f>
        <v/>
      </c>
      <c r="P1447" s="7" t="str">
        <f>IFERROR(VLOOKUP(Tabela3[[#This Row],[Categoria]],Cadastros!A:C,3,0),"")</f>
        <v/>
      </c>
      <c r="Q1447" s="9" t="str">
        <f ca="1">IFERROR(Tabela3[[#This Row],[Vida útil]]-Tabela3[[#This Row],[Idade]],"")</f>
        <v/>
      </c>
      <c r="R1447" s="8" t="str">
        <f ca="1">IFERROR(Tabela3[[#This Row],[Valor]]-(Tabela3[[#This Row],[Valor]]*(Tabela3[[#This Row],[Idade]]*VLOOKUP(Tabela3[[#This Row],[Categoria]],Cadastros!A:B,2,0))),"")</f>
        <v/>
      </c>
    </row>
    <row r="1448" spans="4:18" x14ac:dyDescent="0.25">
      <c r="D1448" s="5"/>
      <c r="N1448" s="6" t="str">
        <f>IFERROR(Tabela3[[#This Row],[Última revisão do bem]]+(VLOOKUP(Tabela3[[#This Row],[Categoria]],Cadastros!A:D,4,0)+365),"")</f>
        <v/>
      </c>
      <c r="O1448" s="7" t="str">
        <f ca="1">IF(Tabela3[[#This Row],[Data da compra]]&gt;0,(TODAY()-Tabela3[[#This Row],[Data da compra]])/365,"")</f>
        <v/>
      </c>
      <c r="P1448" s="7" t="str">
        <f>IFERROR(VLOOKUP(Tabela3[[#This Row],[Categoria]],Cadastros!A:C,3,0),"")</f>
        <v/>
      </c>
      <c r="Q1448" s="9" t="str">
        <f ca="1">IFERROR(Tabela3[[#This Row],[Vida útil]]-Tabela3[[#This Row],[Idade]],"")</f>
        <v/>
      </c>
      <c r="R1448" s="8" t="str">
        <f ca="1">IFERROR(Tabela3[[#This Row],[Valor]]-(Tabela3[[#This Row],[Valor]]*(Tabela3[[#This Row],[Idade]]*VLOOKUP(Tabela3[[#This Row],[Categoria]],Cadastros!A:B,2,0))),"")</f>
        <v/>
      </c>
    </row>
    <row r="1449" spans="4:18" x14ac:dyDescent="0.25">
      <c r="D1449" s="5"/>
      <c r="N1449" s="6" t="str">
        <f>IFERROR(Tabela3[[#This Row],[Última revisão do bem]]+(VLOOKUP(Tabela3[[#This Row],[Categoria]],Cadastros!A:D,4,0)+365),"")</f>
        <v/>
      </c>
      <c r="O1449" s="7" t="str">
        <f ca="1">IF(Tabela3[[#This Row],[Data da compra]]&gt;0,(TODAY()-Tabela3[[#This Row],[Data da compra]])/365,"")</f>
        <v/>
      </c>
      <c r="P1449" s="7" t="str">
        <f>IFERROR(VLOOKUP(Tabela3[[#This Row],[Categoria]],Cadastros!A:C,3,0),"")</f>
        <v/>
      </c>
      <c r="Q1449" s="9" t="str">
        <f ca="1">IFERROR(Tabela3[[#This Row],[Vida útil]]-Tabela3[[#This Row],[Idade]],"")</f>
        <v/>
      </c>
      <c r="R1449" s="8" t="str">
        <f ca="1">IFERROR(Tabela3[[#This Row],[Valor]]-(Tabela3[[#This Row],[Valor]]*(Tabela3[[#This Row],[Idade]]*VLOOKUP(Tabela3[[#This Row],[Categoria]],Cadastros!A:B,2,0))),"")</f>
        <v/>
      </c>
    </row>
    <row r="1450" spans="4:18" x14ac:dyDescent="0.25">
      <c r="D1450" s="5"/>
      <c r="N1450" s="6" t="str">
        <f>IFERROR(Tabela3[[#This Row],[Última revisão do bem]]+(VLOOKUP(Tabela3[[#This Row],[Categoria]],Cadastros!A:D,4,0)+365),"")</f>
        <v/>
      </c>
      <c r="O1450" s="7" t="str">
        <f ca="1">IF(Tabela3[[#This Row],[Data da compra]]&gt;0,(TODAY()-Tabela3[[#This Row],[Data da compra]])/365,"")</f>
        <v/>
      </c>
      <c r="P1450" s="7" t="str">
        <f>IFERROR(VLOOKUP(Tabela3[[#This Row],[Categoria]],Cadastros!A:C,3,0),"")</f>
        <v/>
      </c>
      <c r="Q1450" s="9" t="str">
        <f ca="1">IFERROR(Tabela3[[#This Row],[Vida útil]]-Tabela3[[#This Row],[Idade]],"")</f>
        <v/>
      </c>
      <c r="R1450" s="8" t="str">
        <f ca="1">IFERROR(Tabela3[[#This Row],[Valor]]-(Tabela3[[#This Row],[Valor]]*(Tabela3[[#This Row],[Idade]]*VLOOKUP(Tabela3[[#This Row],[Categoria]],Cadastros!A:B,2,0))),"")</f>
        <v/>
      </c>
    </row>
    <row r="1451" spans="4:18" x14ac:dyDescent="0.25">
      <c r="D1451" s="5"/>
      <c r="N1451" s="6" t="str">
        <f>IFERROR(Tabela3[[#This Row],[Última revisão do bem]]+(VLOOKUP(Tabela3[[#This Row],[Categoria]],Cadastros!A:D,4,0)+365),"")</f>
        <v/>
      </c>
      <c r="O1451" s="7" t="str">
        <f ca="1">IF(Tabela3[[#This Row],[Data da compra]]&gt;0,(TODAY()-Tabela3[[#This Row],[Data da compra]])/365,"")</f>
        <v/>
      </c>
      <c r="P1451" s="7" t="str">
        <f>IFERROR(VLOOKUP(Tabela3[[#This Row],[Categoria]],Cadastros!A:C,3,0),"")</f>
        <v/>
      </c>
      <c r="Q1451" s="9" t="str">
        <f ca="1">IFERROR(Tabela3[[#This Row],[Vida útil]]-Tabela3[[#This Row],[Idade]],"")</f>
        <v/>
      </c>
      <c r="R1451" s="8" t="str">
        <f ca="1">IFERROR(Tabela3[[#This Row],[Valor]]-(Tabela3[[#This Row],[Valor]]*(Tabela3[[#This Row],[Idade]]*VLOOKUP(Tabela3[[#This Row],[Categoria]],Cadastros!A:B,2,0))),"")</f>
        <v/>
      </c>
    </row>
    <row r="1452" spans="4:18" x14ac:dyDescent="0.25">
      <c r="D1452" s="5"/>
      <c r="N1452" s="6" t="str">
        <f>IFERROR(Tabela3[[#This Row],[Última revisão do bem]]+(VLOOKUP(Tabela3[[#This Row],[Categoria]],Cadastros!A:D,4,0)+365),"")</f>
        <v/>
      </c>
      <c r="O1452" s="7" t="str">
        <f ca="1">IF(Tabela3[[#This Row],[Data da compra]]&gt;0,(TODAY()-Tabela3[[#This Row],[Data da compra]])/365,"")</f>
        <v/>
      </c>
      <c r="P1452" s="7" t="str">
        <f>IFERROR(VLOOKUP(Tabela3[[#This Row],[Categoria]],Cadastros!A:C,3,0),"")</f>
        <v/>
      </c>
      <c r="Q1452" s="9" t="str">
        <f ca="1">IFERROR(Tabela3[[#This Row],[Vida útil]]-Tabela3[[#This Row],[Idade]],"")</f>
        <v/>
      </c>
      <c r="R1452" s="8" t="str">
        <f ca="1">IFERROR(Tabela3[[#This Row],[Valor]]-(Tabela3[[#This Row],[Valor]]*(Tabela3[[#This Row],[Idade]]*VLOOKUP(Tabela3[[#This Row],[Categoria]],Cadastros!A:B,2,0))),"")</f>
        <v/>
      </c>
    </row>
    <row r="1453" spans="4:18" x14ac:dyDescent="0.25">
      <c r="D1453" s="5"/>
      <c r="N1453" s="6" t="str">
        <f>IFERROR(Tabela3[[#This Row],[Última revisão do bem]]+(VLOOKUP(Tabela3[[#This Row],[Categoria]],Cadastros!A:D,4,0)+365),"")</f>
        <v/>
      </c>
      <c r="O1453" s="7" t="str">
        <f ca="1">IF(Tabela3[[#This Row],[Data da compra]]&gt;0,(TODAY()-Tabela3[[#This Row],[Data da compra]])/365,"")</f>
        <v/>
      </c>
      <c r="P1453" s="7" t="str">
        <f>IFERROR(VLOOKUP(Tabela3[[#This Row],[Categoria]],Cadastros!A:C,3,0),"")</f>
        <v/>
      </c>
      <c r="Q1453" s="9" t="str">
        <f ca="1">IFERROR(Tabela3[[#This Row],[Vida útil]]-Tabela3[[#This Row],[Idade]],"")</f>
        <v/>
      </c>
      <c r="R1453" s="8" t="str">
        <f ca="1">IFERROR(Tabela3[[#This Row],[Valor]]-(Tabela3[[#This Row],[Valor]]*(Tabela3[[#This Row],[Idade]]*VLOOKUP(Tabela3[[#This Row],[Categoria]],Cadastros!A:B,2,0))),"")</f>
        <v/>
      </c>
    </row>
    <row r="1454" spans="4:18" x14ac:dyDescent="0.25">
      <c r="D1454" s="5"/>
      <c r="N1454" s="6" t="str">
        <f>IFERROR(Tabela3[[#This Row],[Última revisão do bem]]+(VLOOKUP(Tabela3[[#This Row],[Categoria]],Cadastros!A:D,4,0)+365),"")</f>
        <v/>
      </c>
      <c r="O1454" s="7" t="str">
        <f ca="1">IF(Tabela3[[#This Row],[Data da compra]]&gt;0,(TODAY()-Tabela3[[#This Row],[Data da compra]])/365,"")</f>
        <v/>
      </c>
      <c r="P1454" s="7" t="str">
        <f>IFERROR(VLOOKUP(Tabela3[[#This Row],[Categoria]],Cadastros!A:C,3,0),"")</f>
        <v/>
      </c>
      <c r="Q1454" s="9" t="str">
        <f ca="1">IFERROR(Tabela3[[#This Row],[Vida útil]]-Tabela3[[#This Row],[Idade]],"")</f>
        <v/>
      </c>
      <c r="R1454" s="8" t="str">
        <f ca="1">IFERROR(Tabela3[[#This Row],[Valor]]-(Tabela3[[#This Row],[Valor]]*(Tabela3[[#This Row],[Idade]]*VLOOKUP(Tabela3[[#This Row],[Categoria]],Cadastros!A:B,2,0))),"")</f>
        <v/>
      </c>
    </row>
    <row r="1455" spans="4:18" x14ac:dyDescent="0.25">
      <c r="D1455" s="5"/>
      <c r="N1455" s="6" t="str">
        <f>IFERROR(Tabela3[[#This Row],[Última revisão do bem]]+(VLOOKUP(Tabela3[[#This Row],[Categoria]],Cadastros!A:D,4,0)+365),"")</f>
        <v/>
      </c>
      <c r="O1455" s="7" t="str">
        <f ca="1">IF(Tabela3[[#This Row],[Data da compra]]&gt;0,(TODAY()-Tabela3[[#This Row],[Data da compra]])/365,"")</f>
        <v/>
      </c>
      <c r="P1455" s="7" t="str">
        <f>IFERROR(VLOOKUP(Tabela3[[#This Row],[Categoria]],Cadastros!A:C,3,0),"")</f>
        <v/>
      </c>
      <c r="Q1455" s="9" t="str">
        <f ca="1">IFERROR(Tabela3[[#This Row],[Vida útil]]-Tabela3[[#This Row],[Idade]],"")</f>
        <v/>
      </c>
      <c r="R1455" s="8" t="str">
        <f ca="1">IFERROR(Tabela3[[#This Row],[Valor]]-(Tabela3[[#This Row],[Valor]]*(Tabela3[[#This Row],[Idade]]*VLOOKUP(Tabela3[[#This Row],[Categoria]],Cadastros!A:B,2,0))),"")</f>
        <v/>
      </c>
    </row>
    <row r="1456" spans="4:18" x14ac:dyDescent="0.25">
      <c r="D1456" s="5"/>
      <c r="N1456" s="6" t="str">
        <f>IFERROR(Tabela3[[#This Row],[Última revisão do bem]]+(VLOOKUP(Tabela3[[#This Row],[Categoria]],Cadastros!A:D,4,0)+365),"")</f>
        <v/>
      </c>
      <c r="O1456" s="7" t="str">
        <f ca="1">IF(Tabela3[[#This Row],[Data da compra]]&gt;0,(TODAY()-Tabela3[[#This Row],[Data da compra]])/365,"")</f>
        <v/>
      </c>
      <c r="P1456" s="7" t="str">
        <f>IFERROR(VLOOKUP(Tabela3[[#This Row],[Categoria]],Cadastros!A:C,3,0),"")</f>
        <v/>
      </c>
      <c r="Q1456" s="9" t="str">
        <f ca="1">IFERROR(Tabela3[[#This Row],[Vida útil]]-Tabela3[[#This Row],[Idade]],"")</f>
        <v/>
      </c>
      <c r="R1456" s="8" t="str">
        <f ca="1">IFERROR(Tabela3[[#This Row],[Valor]]-(Tabela3[[#This Row],[Valor]]*(Tabela3[[#This Row],[Idade]]*VLOOKUP(Tabela3[[#This Row],[Categoria]],Cadastros!A:B,2,0))),"")</f>
        <v/>
      </c>
    </row>
    <row r="1457" spans="4:18" x14ac:dyDescent="0.25">
      <c r="D1457" s="5"/>
      <c r="N1457" s="6" t="str">
        <f>IFERROR(Tabela3[[#This Row],[Última revisão do bem]]+(VLOOKUP(Tabela3[[#This Row],[Categoria]],Cadastros!A:D,4,0)+365),"")</f>
        <v/>
      </c>
      <c r="O1457" s="7" t="str">
        <f ca="1">IF(Tabela3[[#This Row],[Data da compra]]&gt;0,(TODAY()-Tabela3[[#This Row],[Data da compra]])/365,"")</f>
        <v/>
      </c>
      <c r="P1457" s="7" t="str">
        <f>IFERROR(VLOOKUP(Tabela3[[#This Row],[Categoria]],Cadastros!A:C,3,0),"")</f>
        <v/>
      </c>
      <c r="Q1457" s="9" t="str">
        <f ca="1">IFERROR(Tabela3[[#This Row],[Vida útil]]-Tabela3[[#This Row],[Idade]],"")</f>
        <v/>
      </c>
      <c r="R1457" s="8" t="str">
        <f ca="1">IFERROR(Tabela3[[#This Row],[Valor]]-(Tabela3[[#This Row],[Valor]]*(Tabela3[[#This Row],[Idade]]*VLOOKUP(Tabela3[[#This Row],[Categoria]],Cadastros!A:B,2,0))),"")</f>
        <v/>
      </c>
    </row>
    <row r="1458" spans="4:18" x14ac:dyDescent="0.25">
      <c r="D1458" s="5"/>
      <c r="N1458" s="6" t="str">
        <f>IFERROR(Tabela3[[#This Row],[Última revisão do bem]]+(VLOOKUP(Tabela3[[#This Row],[Categoria]],Cadastros!A:D,4,0)+365),"")</f>
        <v/>
      </c>
      <c r="O1458" s="7" t="str">
        <f ca="1">IF(Tabela3[[#This Row],[Data da compra]]&gt;0,(TODAY()-Tabela3[[#This Row],[Data da compra]])/365,"")</f>
        <v/>
      </c>
      <c r="P1458" s="7" t="str">
        <f>IFERROR(VLOOKUP(Tabela3[[#This Row],[Categoria]],Cadastros!A:C,3,0),"")</f>
        <v/>
      </c>
      <c r="Q1458" s="9" t="str">
        <f ca="1">IFERROR(Tabela3[[#This Row],[Vida útil]]-Tabela3[[#This Row],[Idade]],"")</f>
        <v/>
      </c>
      <c r="R1458" s="8" t="str">
        <f ca="1">IFERROR(Tabela3[[#This Row],[Valor]]-(Tabela3[[#This Row],[Valor]]*(Tabela3[[#This Row],[Idade]]*VLOOKUP(Tabela3[[#This Row],[Categoria]],Cadastros!A:B,2,0))),"")</f>
        <v/>
      </c>
    </row>
    <row r="1459" spans="4:18" x14ac:dyDescent="0.25">
      <c r="D1459" s="5"/>
      <c r="N1459" s="6" t="str">
        <f>IFERROR(Tabela3[[#This Row],[Última revisão do bem]]+(VLOOKUP(Tabela3[[#This Row],[Categoria]],Cadastros!A:D,4,0)+365),"")</f>
        <v/>
      </c>
      <c r="O1459" s="7" t="str">
        <f ca="1">IF(Tabela3[[#This Row],[Data da compra]]&gt;0,(TODAY()-Tabela3[[#This Row],[Data da compra]])/365,"")</f>
        <v/>
      </c>
      <c r="P1459" s="7" t="str">
        <f>IFERROR(VLOOKUP(Tabela3[[#This Row],[Categoria]],Cadastros!A:C,3,0),"")</f>
        <v/>
      </c>
      <c r="Q1459" s="9" t="str">
        <f ca="1">IFERROR(Tabela3[[#This Row],[Vida útil]]-Tabela3[[#This Row],[Idade]],"")</f>
        <v/>
      </c>
      <c r="R1459" s="8" t="str">
        <f ca="1">IFERROR(Tabela3[[#This Row],[Valor]]-(Tabela3[[#This Row],[Valor]]*(Tabela3[[#This Row],[Idade]]*VLOOKUP(Tabela3[[#This Row],[Categoria]],Cadastros!A:B,2,0))),"")</f>
        <v/>
      </c>
    </row>
    <row r="1460" spans="4:18" x14ac:dyDescent="0.25">
      <c r="D1460" s="5"/>
      <c r="N1460" s="6" t="str">
        <f>IFERROR(Tabela3[[#This Row],[Última revisão do bem]]+(VLOOKUP(Tabela3[[#This Row],[Categoria]],Cadastros!A:D,4,0)+365),"")</f>
        <v/>
      </c>
      <c r="O1460" s="7" t="str">
        <f ca="1">IF(Tabela3[[#This Row],[Data da compra]]&gt;0,(TODAY()-Tabela3[[#This Row],[Data da compra]])/365,"")</f>
        <v/>
      </c>
      <c r="P1460" s="7" t="str">
        <f>IFERROR(VLOOKUP(Tabela3[[#This Row],[Categoria]],Cadastros!A:C,3,0),"")</f>
        <v/>
      </c>
      <c r="Q1460" s="9" t="str">
        <f ca="1">IFERROR(Tabela3[[#This Row],[Vida útil]]-Tabela3[[#This Row],[Idade]],"")</f>
        <v/>
      </c>
      <c r="R1460" s="8" t="str">
        <f ca="1">IFERROR(Tabela3[[#This Row],[Valor]]-(Tabela3[[#This Row],[Valor]]*(Tabela3[[#This Row],[Idade]]*VLOOKUP(Tabela3[[#This Row],[Categoria]],Cadastros!A:B,2,0))),"")</f>
        <v/>
      </c>
    </row>
    <row r="1461" spans="4:18" x14ac:dyDescent="0.25">
      <c r="D1461" s="5"/>
      <c r="N1461" s="6" t="str">
        <f>IFERROR(Tabela3[[#This Row],[Última revisão do bem]]+(VLOOKUP(Tabela3[[#This Row],[Categoria]],Cadastros!A:D,4,0)+365),"")</f>
        <v/>
      </c>
      <c r="O1461" s="7" t="str">
        <f ca="1">IF(Tabela3[[#This Row],[Data da compra]]&gt;0,(TODAY()-Tabela3[[#This Row],[Data da compra]])/365,"")</f>
        <v/>
      </c>
      <c r="P1461" s="7" t="str">
        <f>IFERROR(VLOOKUP(Tabela3[[#This Row],[Categoria]],Cadastros!A:C,3,0),"")</f>
        <v/>
      </c>
      <c r="Q1461" s="9" t="str">
        <f ca="1">IFERROR(Tabela3[[#This Row],[Vida útil]]-Tabela3[[#This Row],[Idade]],"")</f>
        <v/>
      </c>
      <c r="R1461" s="8" t="str">
        <f ca="1">IFERROR(Tabela3[[#This Row],[Valor]]-(Tabela3[[#This Row],[Valor]]*(Tabela3[[#This Row],[Idade]]*VLOOKUP(Tabela3[[#This Row],[Categoria]],Cadastros!A:B,2,0))),"")</f>
        <v/>
      </c>
    </row>
    <row r="1462" spans="4:18" x14ac:dyDescent="0.25">
      <c r="D1462" s="5"/>
      <c r="N1462" s="6" t="str">
        <f>IFERROR(Tabela3[[#This Row],[Última revisão do bem]]+(VLOOKUP(Tabela3[[#This Row],[Categoria]],Cadastros!A:D,4,0)+365),"")</f>
        <v/>
      </c>
      <c r="O1462" s="7" t="str">
        <f ca="1">IF(Tabela3[[#This Row],[Data da compra]]&gt;0,(TODAY()-Tabela3[[#This Row],[Data da compra]])/365,"")</f>
        <v/>
      </c>
      <c r="P1462" s="7" t="str">
        <f>IFERROR(VLOOKUP(Tabela3[[#This Row],[Categoria]],Cadastros!A:C,3,0),"")</f>
        <v/>
      </c>
      <c r="Q1462" s="9" t="str">
        <f ca="1">IFERROR(Tabela3[[#This Row],[Vida útil]]-Tabela3[[#This Row],[Idade]],"")</f>
        <v/>
      </c>
      <c r="R1462" s="8" t="str">
        <f ca="1">IFERROR(Tabela3[[#This Row],[Valor]]-(Tabela3[[#This Row],[Valor]]*(Tabela3[[#This Row],[Idade]]*VLOOKUP(Tabela3[[#This Row],[Categoria]],Cadastros!A:B,2,0))),"")</f>
        <v/>
      </c>
    </row>
    <row r="1463" spans="4:18" x14ac:dyDescent="0.25">
      <c r="D1463" s="5"/>
      <c r="N1463" s="6" t="str">
        <f>IFERROR(Tabela3[[#This Row],[Última revisão do bem]]+(VLOOKUP(Tabela3[[#This Row],[Categoria]],Cadastros!A:D,4,0)+365),"")</f>
        <v/>
      </c>
      <c r="O1463" s="7" t="str">
        <f ca="1">IF(Tabela3[[#This Row],[Data da compra]]&gt;0,(TODAY()-Tabela3[[#This Row],[Data da compra]])/365,"")</f>
        <v/>
      </c>
      <c r="P1463" s="7" t="str">
        <f>IFERROR(VLOOKUP(Tabela3[[#This Row],[Categoria]],Cadastros!A:C,3,0),"")</f>
        <v/>
      </c>
      <c r="Q1463" s="9" t="str">
        <f ca="1">IFERROR(Tabela3[[#This Row],[Vida útil]]-Tabela3[[#This Row],[Idade]],"")</f>
        <v/>
      </c>
      <c r="R1463" s="8" t="str">
        <f ca="1">IFERROR(Tabela3[[#This Row],[Valor]]-(Tabela3[[#This Row],[Valor]]*(Tabela3[[#This Row],[Idade]]*VLOOKUP(Tabela3[[#This Row],[Categoria]],Cadastros!A:B,2,0))),"")</f>
        <v/>
      </c>
    </row>
    <row r="1464" spans="4:18" x14ac:dyDescent="0.25">
      <c r="D1464" s="5"/>
      <c r="N1464" s="6" t="str">
        <f>IFERROR(Tabela3[[#This Row],[Última revisão do bem]]+(VLOOKUP(Tabela3[[#This Row],[Categoria]],Cadastros!A:D,4,0)+365),"")</f>
        <v/>
      </c>
      <c r="O1464" s="7" t="str">
        <f ca="1">IF(Tabela3[[#This Row],[Data da compra]]&gt;0,(TODAY()-Tabela3[[#This Row],[Data da compra]])/365,"")</f>
        <v/>
      </c>
      <c r="P1464" s="7" t="str">
        <f>IFERROR(VLOOKUP(Tabela3[[#This Row],[Categoria]],Cadastros!A:C,3,0),"")</f>
        <v/>
      </c>
      <c r="Q1464" s="9" t="str">
        <f ca="1">IFERROR(Tabela3[[#This Row],[Vida útil]]-Tabela3[[#This Row],[Idade]],"")</f>
        <v/>
      </c>
      <c r="R1464" s="8" t="str">
        <f ca="1">IFERROR(Tabela3[[#This Row],[Valor]]-(Tabela3[[#This Row],[Valor]]*(Tabela3[[#This Row],[Idade]]*VLOOKUP(Tabela3[[#This Row],[Categoria]],Cadastros!A:B,2,0))),"")</f>
        <v/>
      </c>
    </row>
    <row r="1465" spans="4:18" x14ac:dyDescent="0.25">
      <c r="D1465" s="5"/>
      <c r="N1465" s="6" t="str">
        <f>IFERROR(Tabela3[[#This Row],[Última revisão do bem]]+(VLOOKUP(Tabela3[[#This Row],[Categoria]],Cadastros!A:D,4,0)+365),"")</f>
        <v/>
      </c>
      <c r="O1465" s="7" t="str">
        <f ca="1">IF(Tabela3[[#This Row],[Data da compra]]&gt;0,(TODAY()-Tabela3[[#This Row],[Data da compra]])/365,"")</f>
        <v/>
      </c>
      <c r="P1465" s="7" t="str">
        <f>IFERROR(VLOOKUP(Tabela3[[#This Row],[Categoria]],Cadastros!A:C,3,0),"")</f>
        <v/>
      </c>
      <c r="Q1465" s="9" t="str">
        <f ca="1">IFERROR(Tabela3[[#This Row],[Vida útil]]-Tabela3[[#This Row],[Idade]],"")</f>
        <v/>
      </c>
      <c r="R1465" s="8" t="str">
        <f ca="1">IFERROR(Tabela3[[#This Row],[Valor]]-(Tabela3[[#This Row],[Valor]]*(Tabela3[[#This Row],[Idade]]*VLOOKUP(Tabela3[[#This Row],[Categoria]],Cadastros!A:B,2,0))),"")</f>
        <v/>
      </c>
    </row>
    <row r="1466" spans="4:18" x14ac:dyDescent="0.25">
      <c r="D1466" s="5"/>
      <c r="N1466" s="6" t="str">
        <f>IFERROR(Tabela3[[#This Row],[Última revisão do bem]]+(VLOOKUP(Tabela3[[#This Row],[Categoria]],Cadastros!A:D,4,0)+365),"")</f>
        <v/>
      </c>
      <c r="O1466" s="7" t="str">
        <f ca="1">IF(Tabela3[[#This Row],[Data da compra]]&gt;0,(TODAY()-Tabela3[[#This Row],[Data da compra]])/365,"")</f>
        <v/>
      </c>
      <c r="P1466" s="7" t="str">
        <f>IFERROR(VLOOKUP(Tabela3[[#This Row],[Categoria]],Cadastros!A:C,3,0),"")</f>
        <v/>
      </c>
      <c r="Q1466" s="9" t="str">
        <f ca="1">IFERROR(Tabela3[[#This Row],[Vida útil]]-Tabela3[[#This Row],[Idade]],"")</f>
        <v/>
      </c>
      <c r="R1466" s="8" t="str">
        <f ca="1">IFERROR(Tabela3[[#This Row],[Valor]]-(Tabela3[[#This Row],[Valor]]*(Tabela3[[#This Row],[Idade]]*VLOOKUP(Tabela3[[#This Row],[Categoria]],Cadastros!A:B,2,0))),"")</f>
        <v/>
      </c>
    </row>
    <row r="1467" spans="4:18" x14ac:dyDescent="0.25">
      <c r="D1467" s="5"/>
      <c r="N1467" s="6" t="str">
        <f>IFERROR(Tabela3[[#This Row],[Última revisão do bem]]+(VLOOKUP(Tabela3[[#This Row],[Categoria]],Cadastros!A:D,4,0)+365),"")</f>
        <v/>
      </c>
      <c r="O1467" s="7" t="str">
        <f ca="1">IF(Tabela3[[#This Row],[Data da compra]]&gt;0,(TODAY()-Tabela3[[#This Row],[Data da compra]])/365,"")</f>
        <v/>
      </c>
      <c r="P1467" s="7" t="str">
        <f>IFERROR(VLOOKUP(Tabela3[[#This Row],[Categoria]],Cadastros!A:C,3,0),"")</f>
        <v/>
      </c>
      <c r="Q1467" s="9" t="str">
        <f ca="1">IFERROR(Tabela3[[#This Row],[Vida útil]]-Tabela3[[#This Row],[Idade]],"")</f>
        <v/>
      </c>
      <c r="R1467" s="8" t="str">
        <f ca="1">IFERROR(Tabela3[[#This Row],[Valor]]-(Tabela3[[#This Row],[Valor]]*(Tabela3[[#This Row],[Idade]]*VLOOKUP(Tabela3[[#This Row],[Categoria]],Cadastros!A:B,2,0))),"")</f>
        <v/>
      </c>
    </row>
    <row r="1468" spans="4:18" x14ac:dyDescent="0.25">
      <c r="D1468" s="5"/>
      <c r="N1468" s="6" t="str">
        <f>IFERROR(Tabela3[[#This Row],[Última revisão do bem]]+(VLOOKUP(Tabela3[[#This Row],[Categoria]],Cadastros!A:D,4,0)+365),"")</f>
        <v/>
      </c>
      <c r="O1468" s="7" t="str">
        <f ca="1">IF(Tabela3[[#This Row],[Data da compra]]&gt;0,(TODAY()-Tabela3[[#This Row],[Data da compra]])/365,"")</f>
        <v/>
      </c>
      <c r="P1468" s="7" t="str">
        <f>IFERROR(VLOOKUP(Tabela3[[#This Row],[Categoria]],Cadastros!A:C,3,0),"")</f>
        <v/>
      </c>
      <c r="Q1468" s="9" t="str">
        <f ca="1">IFERROR(Tabela3[[#This Row],[Vida útil]]-Tabela3[[#This Row],[Idade]],"")</f>
        <v/>
      </c>
      <c r="R1468" s="8" t="str">
        <f ca="1">IFERROR(Tabela3[[#This Row],[Valor]]-(Tabela3[[#This Row],[Valor]]*(Tabela3[[#This Row],[Idade]]*VLOOKUP(Tabela3[[#This Row],[Categoria]],Cadastros!A:B,2,0))),"")</f>
        <v/>
      </c>
    </row>
    <row r="1469" spans="4:18" x14ac:dyDescent="0.25">
      <c r="D1469" s="5"/>
      <c r="N1469" s="6" t="str">
        <f>IFERROR(Tabela3[[#This Row],[Última revisão do bem]]+(VLOOKUP(Tabela3[[#This Row],[Categoria]],Cadastros!A:D,4,0)+365),"")</f>
        <v/>
      </c>
      <c r="O1469" s="7" t="str">
        <f ca="1">IF(Tabela3[[#This Row],[Data da compra]]&gt;0,(TODAY()-Tabela3[[#This Row],[Data da compra]])/365,"")</f>
        <v/>
      </c>
      <c r="P1469" s="7" t="str">
        <f>IFERROR(VLOOKUP(Tabela3[[#This Row],[Categoria]],Cadastros!A:C,3,0),"")</f>
        <v/>
      </c>
      <c r="Q1469" s="9" t="str">
        <f ca="1">IFERROR(Tabela3[[#This Row],[Vida útil]]-Tabela3[[#This Row],[Idade]],"")</f>
        <v/>
      </c>
      <c r="R1469" s="8" t="str">
        <f ca="1">IFERROR(Tabela3[[#This Row],[Valor]]-(Tabela3[[#This Row],[Valor]]*(Tabela3[[#This Row],[Idade]]*VLOOKUP(Tabela3[[#This Row],[Categoria]],Cadastros!A:B,2,0))),"")</f>
        <v/>
      </c>
    </row>
    <row r="1470" spans="4:18" x14ac:dyDescent="0.25">
      <c r="D1470" s="5"/>
      <c r="N1470" s="6" t="str">
        <f>IFERROR(Tabela3[[#This Row],[Última revisão do bem]]+(VLOOKUP(Tabela3[[#This Row],[Categoria]],Cadastros!A:D,4,0)+365),"")</f>
        <v/>
      </c>
      <c r="O1470" s="7" t="str">
        <f ca="1">IF(Tabela3[[#This Row],[Data da compra]]&gt;0,(TODAY()-Tabela3[[#This Row],[Data da compra]])/365,"")</f>
        <v/>
      </c>
      <c r="P1470" s="7" t="str">
        <f>IFERROR(VLOOKUP(Tabela3[[#This Row],[Categoria]],Cadastros!A:C,3,0),"")</f>
        <v/>
      </c>
      <c r="Q1470" s="9" t="str">
        <f ca="1">IFERROR(Tabela3[[#This Row],[Vida útil]]-Tabela3[[#This Row],[Idade]],"")</f>
        <v/>
      </c>
      <c r="R1470" s="8" t="str">
        <f ca="1">IFERROR(Tabela3[[#This Row],[Valor]]-(Tabela3[[#This Row],[Valor]]*(Tabela3[[#This Row],[Idade]]*VLOOKUP(Tabela3[[#This Row],[Categoria]],Cadastros!A:B,2,0))),"")</f>
        <v/>
      </c>
    </row>
    <row r="1471" spans="4:18" x14ac:dyDescent="0.25">
      <c r="D1471" s="5"/>
      <c r="N1471" s="6" t="str">
        <f>IFERROR(Tabela3[[#This Row],[Última revisão do bem]]+(VLOOKUP(Tabela3[[#This Row],[Categoria]],Cadastros!A:D,4,0)+365),"")</f>
        <v/>
      </c>
      <c r="O1471" s="7" t="str">
        <f ca="1">IF(Tabela3[[#This Row],[Data da compra]]&gt;0,(TODAY()-Tabela3[[#This Row],[Data da compra]])/365,"")</f>
        <v/>
      </c>
      <c r="P1471" s="7" t="str">
        <f>IFERROR(VLOOKUP(Tabela3[[#This Row],[Categoria]],Cadastros!A:C,3,0),"")</f>
        <v/>
      </c>
      <c r="Q1471" s="9" t="str">
        <f ca="1">IFERROR(Tabela3[[#This Row],[Vida útil]]-Tabela3[[#This Row],[Idade]],"")</f>
        <v/>
      </c>
      <c r="R1471" s="8" t="str">
        <f ca="1">IFERROR(Tabela3[[#This Row],[Valor]]-(Tabela3[[#This Row],[Valor]]*(Tabela3[[#This Row],[Idade]]*VLOOKUP(Tabela3[[#This Row],[Categoria]],Cadastros!A:B,2,0))),"")</f>
        <v/>
      </c>
    </row>
    <row r="1472" spans="4:18" x14ac:dyDescent="0.25">
      <c r="D1472" s="5"/>
      <c r="N1472" s="6" t="str">
        <f>IFERROR(Tabela3[[#This Row],[Última revisão do bem]]+(VLOOKUP(Tabela3[[#This Row],[Categoria]],Cadastros!A:D,4,0)+365),"")</f>
        <v/>
      </c>
      <c r="O1472" s="7" t="str">
        <f ca="1">IF(Tabela3[[#This Row],[Data da compra]]&gt;0,(TODAY()-Tabela3[[#This Row],[Data da compra]])/365,"")</f>
        <v/>
      </c>
      <c r="P1472" s="7" t="str">
        <f>IFERROR(VLOOKUP(Tabela3[[#This Row],[Categoria]],Cadastros!A:C,3,0),"")</f>
        <v/>
      </c>
      <c r="Q1472" s="9" t="str">
        <f ca="1">IFERROR(Tabela3[[#This Row],[Vida útil]]-Tabela3[[#This Row],[Idade]],"")</f>
        <v/>
      </c>
      <c r="R1472" s="8" t="str">
        <f ca="1">IFERROR(Tabela3[[#This Row],[Valor]]-(Tabela3[[#This Row],[Valor]]*(Tabela3[[#This Row],[Idade]]*VLOOKUP(Tabela3[[#This Row],[Categoria]],Cadastros!A:B,2,0))),"")</f>
        <v/>
      </c>
    </row>
    <row r="1473" spans="4:18" x14ac:dyDescent="0.25">
      <c r="D1473" s="5"/>
      <c r="N1473" s="6" t="str">
        <f>IFERROR(Tabela3[[#This Row],[Última revisão do bem]]+(VLOOKUP(Tabela3[[#This Row],[Categoria]],Cadastros!A:D,4,0)+365),"")</f>
        <v/>
      </c>
      <c r="O1473" s="7" t="str">
        <f ca="1">IF(Tabela3[[#This Row],[Data da compra]]&gt;0,(TODAY()-Tabela3[[#This Row],[Data da compra]])/365,"")</f>
        <v/>
      </c>
      <c r="P1473" s="7" t="str">
        <f>IFERROR(VLOOKUP(Tabela3[[#This Row],[Categoria]],Cadastros!A:C,3,0),"")</f>
        <v/>
      </c>
      <c r="Q1473" s="9" t="str">
        <f ca="1">IFERROR(Tabela3[[#This Row],[Vida útil]]-Tabela3[[#This Row],[Idade]],"")</f>
        <v/>
      </c>
      <c r="R1473" s="8" t="str">
        <f ca="1">IFERROR(Tabela3[[#This Row],[Valor]]-(Tabela3[[#This Row],[Valor]]*(Tabela3[[#This Row],[Idade]]*VLOOKUP(Tabela3[[#This Row],[Categoria]],Cadastros!A:B,2,0))),"")</f>
        <v/>
      </c>
    </row>
    <row r="1474" spans="4:18" x14ac:dyDescent="0.25">
      <c r="D1474" s="5"/>
      <c r="N1474" s="6" t="str">
        <f>IFERROR(Tabela3[[#This Row],[Última revisão do bem]]+(VLOOKUP(Tabela3[[#This Row],[Categoria]],Cadastros!A:D,4,0)+365),"")</f>
        <v/>
      </c>
      <c r="O1474" s="7" t="str">
        <f ca="1">IF(Tabela3[[#This Row],[Data da compra]]&gt;0,(TODAY()-Tabela3[[#This Row],[Data da compra]])/365,"")</f>
        <v/>
      </c>
      <c r="P1474" s="7" t="str">
        <f>IFERROR(VLOOKUP(Tabela3[[#This Row],[Categoria]],Cadastros!A:C,3,0),"")</f>
        <v/>
      </c>
      <c r="Q1474" s="9" t="str">
        <f ca="1">IFERROR(Tabela3[[#This Row],[Vida útil]]-Tabela3[[#This Row],[Idade]],"")</f>
        <v/>
      </c>
      <c r="R1474" s="8" t="str">
        <f ca="1">IFERROR(Tabela3[[#This Row],[Valor]]-(Tabela3[[#This Row],[Valor]]*(Tabela3[[#This Row],[Idade]]*VLOOKUP(Tabela3[[#This Row],[Categoria]],Cadastros!A:B,2,0))),"")</f>
        <v/>
      </c>
    </row>
    <row r="1475" spans="4:18" x14ac:dyDescent="0.25">
      <c r="D1475" s="5"/>
      <c r="N1475" s="6" t="str">
        <f>IFERROR(Tabela3[[#This Row],[Última revisão do bem]]+(VLOOKUP(Tabela3[[#This Row],[Categoria]],Cadastros!A:D,4,0)+365),"")</f>
        <v/>
      </c>
      <c r="O1475" s="7" t="str">
        <f ca="1">IF(Tabela3[[#This Row],[Data da compra]]&gt;0,(TODAY()-Tabela3[[#This Row],[Data da compra]])/365,"")</f>
        <v/>
      </c>
      <c r="P1475" s="7" t="str">
        <f>IFERROR(VLOOKUP(Tabela3[[#This Row],[Categoria]],Cadastros!A:C,3,0),"")</f>
        <v/>
      </c>
      <c r="Q1475" s="9" t="str">
        <f ca="1">IFERROR(Tabela3[[#This Row],[Vida útil]]-Tabela3[[#This Row],[Idade]],"")</f>
        <v/>
      </c>
      <c r="R1475" s="8" t="str">
        <f ca="1">IFERROR(Tabela3[[#This Row],[Valor]]-(Tabela3[[#This Row],[Valor]]*(Tabela3[[#This Row],[Idade]]*VLOOKUP(Tabela3[[#This Row],[Categoria]],Cadastros!A:B,2,0))),"")</f>
        <v/>
      </c>
    </row>
    <row r="1476" spans="4:18" x14ac:dyDescent="0.25">
      <c r="D1476" s="5"/>
      <c r="N1476" s="6" t="str">
        <f>IFERROR(Tabela3[[#This Row],[Última revisão do bem]]+(VLOOKUP(Tabela3[[#This Row],[Categoria]],Cadastros!A:D,4,0)+365),"")</f>
        <v/>
      </c>
      <c r="O1476" s="7" t="str">
        <f ca="1">IF(Tabela3[[#This Row],[Data da compra]]&gt;0,(TODAY()-Tabela3[[#This Row],[Data da compra]])/365,"")</f>
        <v/>
      </c>
      <c r="P1476" s="7" t="str">
        <f>IFERROR(VLOOKUP(Tabela3[[#This Row],[Categoria]],Cadastros!A:C,3,0),"")</f>
        <v/>
      </c>
      <c r="Q1476" s="9" t="str">
        <f ca="1">IFERROR(Tabela3[[#This Row],[Vida útil]]-Tabela3[[#This Row],[Idade]],"")</f>
        <v/>
      </c>
      <c r="R1476" s="8" t="str">
        <f ca="1">IFERROR(Tabela3[[#This Row],[Valor]]-(Tabela3[[#This Row],[Valor]]*(Tabela3[[#This Row],[Idade]]*VLOOKUP(Tabela3[[#This Row],[Categoria]],Cadastros!A:B,2,0))),"")</f>
        <v/>
      </c>
    </row>
    <row r="1477" spans="4:18" x14ac:dyDescent="0.25">
      <c r="D1477" s="5"/>
      <c r="N1477" s="6" t="str">
        <f>IFERROR(Tabela3[[#This Row],[Última revisão do bem]]+(VLOOKUP(Tabela3[[#This Row],[Categoria]],Cadastros!A:D,4,0)+365),"")</f>
        <v/>
      </c>
      <c r="O1477" s="7" t="str">
        <f ca="1">IF(Tabela3[[#This Row],[Data da compra]]&gt;0,(TODAY()-Tabela3[[#This Row],[Data da compra]])/365,"")</f>
        <v/>
      </c>
      <c r="P1477" s="7" t="str">
        <f>IFERROR(VLOOKUP(Tabela3[[#This Row],[Categoria]],Cadastros!A:C,3,0),"")</f>
        <v/>
      </c>
      <c r="Q1477" s="9" t="str">
        <f ca="1">IFERROR(Tabela3[[#This Row],[Vida útil]]-Tabela3[[#This Row],[Idade]],"")</f>
        <v/>
      </c>
      <c r="R1477" s="8" t="str">
        <f ca="1">IFERROR(Tabela3[[#This Row],[Valor]]-(Tabela3[[#This Row],[Valor]]*(Tabela3[[#This Row],[Idade]]*VLOOKUP(Tabela3[[#This Row],[Categoria]],Cadastros!A:B,2,0))),"")</f>
        <v/>
      </c>
    </row>
    <row r="1478" spans="4:18" x14ac:dyDescent="0.25">
      <c r="D1478" s="5"/>
      <c r="N1478" s="6" t="str">
        <f>IFERROR(Tabela3[[#This Row],[Última revisão do bem]]+(VLOOKUP(Tabela3[[#This Row],[Categoria]],Cadastros!A:D,4,0)+365),"")</f>
        <v/>
      </c>
      <c r="O1478" s="7" t="str">
        <f ca="1">IF(Tabela3[[#This Row],[Data da compra]]&gt;0,(TODAY()-Tabela3[[#This Row],[Data da compra]])/365,"")</f>
        <v/>
      </c>
      <c r="P1478" s="7" t="str">
        <f>IFERROR(VLOOKUP(Tabela3[[#This Row],[Categoria]],Cadastros!A:C,3,0),"")</f>
        <v/>
      </c>
      <c r="Q1478" s="9" t="str">
        <f ca="1">IFERROR(Tabela3[[#This Row],[Vida útil]]-Tabela3[[#This Row],[Idade]],"")</f>
        <v/>
      </c>
      <c r="R1478" s="8" t="str">
        <f ca="1">IFERROR(Tabela3[[#This Row],[Valor]]-(Tabela3[[#This Row],[Valor]]*(Tabela3[[#This Row],[Idade]]*VLOOKUP(Tabela3[[#This Row],[Categoria]],Cadastros!A:B,2,0))),"")</f>
        <v/>
      </c>
    </row>
    <row r="1479" spans="4:18" x14ac:dyDescent="0.25">
      <c r="D1479" s="5"/>
      <c r="N1479" s="6" t="str">
        <f>IFERROR(Tabela3[[#This Row],[Última revisão do bem]]+(VLOOKUP(Tabela3[[#This Row],[Categoria]],Cadastros!A:D,4,0)+365),"")</f>
        <v/>
      </c>
      <c r="O1479" s="7" t="str">
        <f ca="1">IF(Tabela3[[#This Row],[Data da compra]]&gt;0,(TODAY()-Tabela3[[#This Row],[Data da compra]])/365,"")</f>
        <v/>
      </c>
      <c r="P1479" s="7" t="str">
        <f>IFERROR(VLOOKUP(Tabela3[[#This Row],[Categoria]],Cadastros!A:C,3,0),"")</f>
        <v/>
      </c>
      <c r="Q1479" s="9" t="str">
        <f ca="1">IFERROR(Tabela3[[#This Row],[Vida útil]]-Tabela3[[#This Row],[Idade]],"")</f>
        <v/>
      </c>
      <c r="R1479" s="8" t="str">
        <f ca="1">IFERROR(Tabela3[[#This Row],[Valor]]-(Tabela3[[#This Row],[Valor]]*(Tabela3[[#This Row],[Idade]]*VLOOKUP(Tabela3[[#This Row],[Categoria]],Cadastros!A:B,2,0))),"")</f>
        <v/>
      </c>
    </row>
    <row r="1480" spans="4:18" x14ac:dyDescent="0.25">
      <c r="D1480" s="5"/>
      <c r="N1480" s="6" t="str">
        <f>IFERROR(Tabela3[[#This Row],[Última revisão do bem]]+(VLOOKUP(Tabela3[[#This Row],[Categoria]],Cadastros!A:D,4,0)+365),"")</f>
        <v/>
      </c>
      <c r="O1480" s="7" t="str">
        <f ca="1">IF(Tabela3[[#This Row],[Data da compra]]&gt;0,(TODAY()-Tabela3[[#This Row],[Data da compra]])/365,"")</f>
        <v/>
      </c>
      <c r="P1480" s="7" t="str">
        <f>IFERROR(VLOOKUP(Tabela3[[#This Row],[Categoria]],Cadastros!A:C,3,0),"")</f>
        <v/>
      </c>
      <c r="Q1480" s="9" t="str">
        <f ca="1">IFERROR(Tabela3[[#This Row],[Vida útil]]-Tabela3[[#This Row],[Idade]],"")</f>
        <v/>
      </c>
      <c r="R1480" s="8" t="str">
        <f ca="1">IFERROR(Tabela3[[#This Row],[Valor]]-(Tabela3[[#This Row],[Valor]]*(Tabela3[[#This Row],[Idade]]*VLOOKUP(Tabela3[[#This Row],[Categoria]],Cadastros!A:B,2,0))),"")</f>
        <v/>
      </c>
    </row>
    <row r="1481" spans="4:18" x14ac:dyDescent="0.25">
      <c r="D1481" s="5"/>
      <c r="N1481" s="6" t="str">
        <f>IFERROR(Tabela3[[#This Row],[Última revisão do bem]]+(VLOOKUP(Tabela3[[#This Row],[Categoria]],Cadastros!A:D,4,0)+365),"")</f>
        <v/>
      </c>
      <c r="O1481" s="7" t="str">
        <f ca="1">IF(Tabela3[[#This Row],[Data da compra]]&gt;0,(TODAY()-Tabela3[[#This Row],[Data da compra]])/365,"")</f>
        <v/>
      </c>
      <c r="P1481" s="7" t="str">
        <f>IFERROR(VLOOKUP(Tabela3[[#This Row],[Categoria]],Cadastros!A:C,3,0),"")</f>
        <v/>
      </c>
      <c r="Q1481" s="9" t="str">
        <f ca="1">IFERROR(Tabela3[[#This Row],[Vida útil]]-Tabela3[[#This Row],[Idade]],"")</f>
        <v/>
      </c>
      <c r="R1481" s="8" t="str">
        <f ca="1">IFERROR(Tabela3[[#This Row],[Valor]]-(Tabela3[[#This Row],[Valor]]*(Tabela3[[#This Row],[Idade]]*VLOOKUP(Tabela3[[#This Row],[Categoria]],Cadastros!A:B,2,0))),"")</f>
        <v/>
      </c>
    </row>
    <row r="1482" spans="4:18" x14ac:dyDescent="0.25">
      <c r="D1482" s="22"/>
      <c r="N1482" s="6" t="str">
        <f>IFERROR(Tabela3[[#This Row],[Última revisão do bem]]+(VLOOKUP(Tabela3[[#This Row],[Categoria]],Cadastros!A:D,4,0)+365),"")</f>
        <v/>
      </c>
      <c r="O1482" s="7" t="str">
        <f ca="1">IF(Tabela3[[#This Row],[Data da compra]]&gt;0,(TODAY()-Tabela3[[#This Row],[Data da compra]])/365,"")</f>
        <v/>
      </c>
      <c r="P1482" s="7" t="str">
        <f>IFERROR(VLOOKUP(Tabela3[[#This Row],[Categoria]],Cadastros!A:C,3,0),"")</f>
        <v/>
      </c>
      <c r="Q1482" s="9" t="str">
        <f ca="1">IFERROR(Tabela3[[#This Row],[Vida útil]]-Tabela3[[#This Row],[Idade]],"")</f>
        <v/>
      </c>
      <c r="R1482" s="23" t="str">
        <f ca="1">IFERROR(Tabela3[[#This Row],[Valor]]-(Tabela3[[#This Row],[Valor]]*(Tabela3[[#This Row],[Idade]]*VLOOKUP(Tabela3[[#This Row],[Categoria]],Cadastros!A:B,2,0))),"")</f>
        <v/>
      </c>
    </row>
    <row r="1483" spans="4:18" x14ac:dyDescent="0.25">
      <c r="D1483" s="5"/>
      <c r="N1483" s="6" t="str">
        <f>IFERROR(Tabela3[[#This Row],[Última revisão do bem]]+(VLOOKUP(Tabela3[[#This Row],[Categoria]],Cadastros!A:D,4,0)+365),"")</f>
        <v/>
      </c>
      <c r="O1483" s="7" t="str">
        <f ca="1">IF(Tabela3[[#This Row],[Data da compra]]&gt;0,(TODAY()-Tabela3[[#This Row],[Data da compra]])/365,"")</f>
        <v/>
      </c>
      <c r="P1483" s="7" t="str">
        <f>IFERROR(VLOOKUP(Tabela3[[#This Row],[Categoria]],Cadastros!A:C,3,0),"")</f>
        <v/>
      </c>
      <c r="Q1483" s="9" t="str">
        <f ca="1">IFERROR(Tabela3[[#This Row],[Vida útil]]-Tabela3[[#This Row],[Idade]],"")</f>
        <v/>
      </c>
      <c r="R1483" s="8" t="str">
        <f ca="1">IFERROR(Tabela3[[#This Row],[Valor]]-(Tabela3[[#This Row],[Valor]]*(Tabela3[[#This Row],[Idade]]*VLOOKUP(Tabela3[[#This Row],[Categoria]],Cadastros!A:B,2,0))),"")</f>
        <v/>
      </c>
    </row>
    <row r="1484" spans="4:18" x14ac:dyDescent="0.25">
      <c r="D1484" s="5"/>
      <c r="N1484" s="6" t="str">
        <f>IFERROR(Tabela3[[#This Row],[Última revisão do bem]]+(VLOOKUP(Tabela3[[#This Row],[Categoria]],Cadastros!A:D,4,0)+365),"")</f>
        <v/>
      </c>
      <c r="O1484" s="7" t="str">
        <f ca="1">IF(Tabela3[[#This Row],[Data da compra]]&gt;0,(TODAY()-Tabela3[[#This Row],[Data da compra]])/365,"")</f>
        <v/>
      </c>
      <c r="P1484" s="7" t="str">
        <f>IFERROR(VLOOKUP(Tabela3[[#This Row],[Categoria]],Cadastros!A:C,3,0),"")</f>
        <v/>
      </c>
      <c r="Q1484" s="9" t="str">
        <f ca="1">IFERROR(Tabela3[[#This Row],[Vida útil]]-Tabela3[[#This Row],[Idade]],"")</f>
        <v/>
      </c>
      <c r="R1484" s="8" t="str">
        <f ca="1">IFERROR(Tabela3[[#This Row],[Valor]]-(Tabela3[[#This Row],[Valor]]*(Tabela3[[#This Row],[Idade]]*VLOOKUP(Tabela3[[#This Row],[Categoria]],Cadastros!A:B,2,0))),"")</f>
        <v/>
      </c>
    </row>
    <row r="1485" spans="4:18" x14ac:dyDescent="0.25">
      <c r="D1485" s="5"/>
      <c r="N1485" s="6" t="str">
        <f>IFERROR(Tabela3[[#This Row],[Última revisão do bem]]+(VLOOKUP(Tabela3[[#This Row],[Categoria]],Cadastros!A:D,4,0)+365),"")</f>
        <v/>
      </c>
      <c r="O1485" s="7" t="str">
        <f ca="1">IF(Tabela3[[#This Row],[Data da compra]]&gt;0,(TODAY()-Tabela3[[#This Row],[Data da compra]])/365,"")</f>
        <v/>
      </c>
      <c r="P1485" s="7" t="str">
        <f>IFERROR(VLOOKUP(Tabela3[[#This Row],[Categoria]],Cadastros!A:C,3,0),"")</f>
        <v/>
      </c>
      <c r="Q1485" s="9" t="str">
        <f ca="1">IFERROR(Tabela3[[#This Row],[Vida útil]]-Tabela3[[#This Row],[Idade]],"")</f>
        <v/>
      </c>
      <c r="R1485" s="8" t="str">
        <f ca="1">IFERROR(Tabela3[[#This Row],[Valor]]-(Tabela3[[#This Row],[Valor]]*(Tabela3[[#This Row],[Idade]]*VLOOKUP(Tabela3[[#This Row],[Categoria]],Cadastros!A:B,2,0))),"")</f>
        <v/>
      </c>
    </row>
    <row r="1486" spans="4:18" x14ac:dyDescent="0.25">
      <c r="D1486" s="5"/>
      <c r="N1486" s="6" t="str">
        <f>IFERROR(Tabela3[[#This Row],[Última revisão do bem]]+(VLOOKUP(Tabela3[[#This Row],[Categoria]],Cadastros!A:D,4,0)+365),"")</f>
        <v/>
      </c>
      <c r="O1486" s="7" t="str">
        <f ca="1">IF(Tabela3[[#This Row],[Data da compra]]&gt;0,(TODAY()-Tabela3[[#This Row],[Data da compra]])/365,"")</f>
        <v/>
      </c>
      <c r="P1486" s="7" t="str">
        <f>IFERROR(VLOOKUP(Tabela3[[#This Row],[Categoria]],Cadastros!A:C,3,0),"")</f>
        <v/>
      </c>
      <c r="Q1486" s="9" t="str">
        <f ca="1">IFERROR(Tabela3[[#This Row],[Vida útil]]-Tabela3[[#This Row],[Idade]],"")</f>
        <v/>
      </c>
      <c r="R1486" s="8" t="str">
        <f ca="1">IFERROR(Tabela3[[#This Row],[Valor]]-(Tabela3[[#This Row],[Valor]]*(Tabela3[[#This Row],[Idade]]*VLOOKUP(Tabela3[[#This Row],[Categoria]],Cadastros!A:B,2,0))),"")</f>
        <v/>
      </c>
    </row>
    <row r="1487" spans="4:18" x14ac:dyDescent="0.25">
      <c r="D1487" s="5"/>
      <c r="N1487" s="6" t="str">
        <f>IFERROR(Tabela3[[#This Row],[Última revisão do bem]]+(VLOOKUP(Tabela3[[#This Row],[Categoria]],Cadastros!A:D,4,0)+365),"")</f>
        <v/>
      </c>
      <c r="O1487" s="7" t="str">
        <f ca="1">IF(Tabela3[[#This Row],[Data da compra]]&gt;0,(TODAY()-Tabela3[[#This Row],[Data da compra]])/365,"")</f>
        <v/>
      </c>
      <c r="P1487" s="7" t="str">
        <f>IFERROR(VLOOKUP(Tabela3[[#This Row],[Categoria]],Cadastros!A:C,3,0),"")</f>
        <v/>
      </c>
      <c r="Q1487" s="9" t="str">
        <f ca="1">IFERROR(Tabela3[[#This Row],[Vida útil]]-Tabela3[[#This Row],[Idade]],"")</f>
        <v/>
      </c>
      <c r="R1487" s="8" t="str">
        <f ca="1">IFERROR(Tabela3[[#This Row],[Valor]]-(Tabela3[[#This Row],[Valor]]*(Tabela3[[#This Row],[Idade]]*VLOOKUP(Tabela3[[#This Row],[Categoria]],Cadastros!A:B,2,0))),"")</f>
        <v/>
      </c>
    </row>
    <row r="1488" spans="4:18" x14ac:dyDescent="0.25">
      <c r="D1488" s="5"/>
      <c r="N1488" s="6" t="str">
        <f>IFERROR(Tabela3[[#This Row],[Última revisão do bem]]+(VLOOKUP(Tabela3[[#This Row],[Categoria]],Cadastros!A:D,4,0)+365),"")</f>
        <v/>
      </c>
      <c r="O1488" s="7" t="str">
        <f ca="1">IF(Tabela3[[#This Row],[Data da compra]]&gt;0,(TODAY()-Tabela3[[#This Row],[Data da compra]])/365,"")</f>
        <v/>
      </c>
      <c r="P1488" s="7" t="str">
        <f>IFERROR(VLOOKUP(Tabela3[[#This Row],[Categoria]],Cadastros!A:C,3,0),"")</f>
        <v/>
      </c>
      <c r="Q1488" s="9" t="str">
        <f ca="1">IFERROR(Tabela3[[#This Row],[Vida útil]]-Tabela3[[#This Row],[Idade]],"")</f>
        <v/>
      </c>
      <c r="R1488" s="8" t="str">
        <f ca="1">IFERROR(Tabela3[[#This Row],[Valor]]-(Tabela3[[#This Row],[Valor]]*(Tabela3[[#This Row],[Idade]]*VLOOKUP(Tabela3[[#This Row],[Categoria]],Cadastros!A:B,2,0))),"")</f>
        <v/>
      </c>
    </row>
    <row r="1489" spans="4:18" x14ac:dyDescent="0.25">
      <c r="D1489" s="5"/>
      <c r="N1489" s="6" t="str">
        <f>IFERROR(Tabela3[[#This Row],[Última revisão do bem]]+(VLOOKUP(Tabela3[[#This Row],[Categoria]],Cadastros!A:D,4,0)+365),"")</f>
        <v/>
      </c>
      <c r="O1489" s="7" t="str">
        <f ca="1">IF(Tabela3[[#This Row],[Data da compra]]&gt;0,(TODAY()-Tabela3[[#This Row],[Data da compra]])/365,"")</f>
        <v/>
      </c>
      <c r="P1489" s="7" t="str">
        <f>IFERROR(VLOOKUP(Tabela3[[#This Row],[Categoria]],Cadastros!A:C,3,0),"")</f>
        <v/>
      </c>
      <c r="Q1489" s="9" t="str">
        <f ca="1">IFERROR(Tabela3[[#This Row],[Vida útil]]-Tabela3[[#This Row],[Idade]],"")</f>
        <v/>
      </c>
      <c r="R1489" s="8" t="str">
        <f ca="1">IFERROR(Tabela3[[#This Row],[Valor]]-(Tabela3[[#This Row],[Valor]]*(Tabela3[[#This Row],[Idade]]*VLOOKUP(Tabela3[[#This Row],[Categoria]],Cadastros!A:B,2,0))),"")</f>
        <v/>
      </c>
    </row>
    <row r="1490" spans="4:18" x14ac:dyDescent="0.25">
      <c r="D1490" s="5"/>
      <c r="N1490" s="6" t="str">
        <f>IFERROR(Tabela3[[#This Row],[Última revisão do bem]]+(VLOOKUP(Tabela3[[#This Row],[Categoria]],Cadastros!A:D,4,0)+365),"")</f>
        <v/>
      </c>
      <c r="O1490" s="7" t="str">
        <f ca="1">IF(Tabela3[[#This Row],[Data da compra]]&gt;0,(TODAY()-Tabela3[[#This Row],[Data da compra]])/365,"")</f>
        <v/>
      </c>
      <c r="P1490" s="7" t="str">
        <f>IFERROR(VLOOKUP(Tabela3[[#This Row],[Categoria]],Cadastros!A:C,3,0),"")</f>
        <v/>
      </c>
      <c r="Q1490" s="9" t="str">
        <f ca="1">IFERROR(Tabela3[[#This Row],[Vida útil]]-Tabela3[[#This Row],[Idade]],"")</f>
        <v/>
      </c>
      <c r="R1490" s="8" t="str">
        <f ca="1">IFERROR(Tabela3[[#This Row],[Valor]]-(Tabela3[[#This Row],[Valor]]*(Tabela3[[#This Row],[Idade]]*VLOOKUP(Tabela3[[#This Row],[Categoria]],Cadastros!A:B,2,0))),"")</f>
        <v/>
      </c>
    </row>
    <row r="1491" spans="4:18" x14ac:dyDescent="0.25">
      <c r="D1491" s="5"/>
      <c r="N1491" s="6" t="str">
        <f>IFERROR(Tabela3[[#This Row],[Última revisão do bem]]+(VLOOKUP(Tabela3[[#This Row],[Categoria]],Cadastros!A:D,4,0)+365),"")</f>
        <v/>
      </c>
      <c r="O1491" s="7" t="str">
        <f ca="1">IF(Tabela3[[#This Row],[Data da compra]]&gt;0,(TODAY()-Tabela3[[#This Row],[Data da compra]])/365,"")</f>
        <v/>
      </c>
      <c r="P1491" s="7" t="str">
        <f>IFERROR(VLOOKUP(Tabela3[[#This Row],[Categoria]],Cadastros!A:C,3,0),"")</f>
        <v/>
      </c>
      <c r="Q1491" s="9" t="str">
        <f ca="1">IFERROR(Tabela3[[#This Row],[Vida útil]]-Tabela3[[#This Row],[Idade]],"")</f>
        <v/>
      </c>
      <c r="R1491" s="8" t="str">
        <f ca="1">IFERROR(Tabela3[[#This Row],[Valor]]-(Tabela3[[#This Row],[Valor]]*(Tabela3[[#This Row],[Idade]]*VLOOKUP(Tabela3[[#This Row],[Categoria]],Cadastros!A:B,2,0))),"")</f>
        <v/>
      </c>
    </row>
    <row r="1492" spans="4:18" x14ac:dyDescent="0.25">
      <c r="D1492" s="5"/>
      <c r="N1492" s="6" t="str">
        <f>IFERROR(Tabela3[[#This Row],[Última revisão do bem]]+(VLOOKUP(Tabela3[[#This Row],[Categoria]],Cadastros!A:D,4,0)+365),"")</f>
        <v/>
      </c>
      <c r="O1492" s="7" t="str">
        <f ca="1">IF(Tabela3[[#This Row],[Data da compra]]&gt;0,(TODAY()-Tabela3[[#This Row],[Data da compra]])/365,"")</f>
        <v/>
      </c>
      <c r="P1492" s="7" t="str">
        <f>IFERROR(VLOOKUP(Tabela3[[#This Row],[Categoria]],Cadastros!A:C,3,0),"")</f>
        <v/>
      </c>
      <c r="Q1492" s="9" t="str">
        <f ca="1">IFERROR(Tabela3[[#This Row],[Vida útil]]-Tabela3[[#This Row],[Idade]],"")</f>
        <v/>
      </c>
      <c r="R1492" s="8" t="str">
        <f ca="1">IFERROR(Tabela3[[#This Row],[Valor]]-(Tabela3[[#This Row],[Valor]]*(Tabela3[[#This Row],[Idade]]*VLOOKUP(Tabela3[[#This Row],[Categoria]],Cadastros!A:B,2,0))),"")</f>
        <v/>
      </c>
    </row>
    <row r="1493" spans="4:18" x14ac:dyDescent="0.25">
      <c r="D1493" s="5"/>
      <c r="N1493" s="6" t="str">
        <f>IFERROR(Tabela3[[#This Row],[Última revisão do bem]]+(VLOOKUP(Tabela3[[#This Row],[Categoria]],Cadastros!A:D,4,0)+365),"")</f>
        <v/>
      </c>
      <c r="O1493" s="7" t="str">
        <f ca="1">IF(Tabela3[[#This Row],[Data da compra]]&gt;0,(TODAY()-Tabela3[[#This Row],[Data da compra]])/365,"")</f>
        <v/>
      </c>
      <c r="P1493" s="7" t="str">
        <f>IFERROR(VLOOKUP(Tabela3[[#This Row],[Categoria]],Cadastros!A:C,3,0),"")</f>
        <v/>
      </c>
      <c r="Q1493" s="9" t="str">
        <f ca="1">IFERROR(Tabela3[[#This Row],[Vida útil]]-Tabela3[[#This Row],[Idade]],"")</f>
        <v/>
      </c>
      <c r="R1493" s="8" t="str">
        <f ca="1">IFERROR(Tabela3[[#This Row],[Valor]]-(Tabela3[[#This Row],[Valor]]*(Tabela3[[#This Row],[Idade]]*VLOOKUP(Tabela3[[#This Row],[Categoria]],Cadastros!A:B,2,0))),"")</f>
        <v/>
      </c>
    </row>
    <row r="1494" spans="4:18" x14ac:dyDescent="0.25">
      <c r="D1494" s="5"/>
      <c r="N1494" s="6" t="str">
        <f>IFERROR(Tabela3[[#This Row],[Última revisão do bem]]+(VLOOKUP(Tabela3[[#This Row],[Categoria]],Cadastros!A:D,4,0)+365),"")</f>
        <v/>
      </c>
      <c r="O1494" s="7" t="str">
        <f ca="1">IF(Tabela3[[#This Row],[Data da compra]]&gt;0,(TODAY()-Tabela3[[#This Row],[Data da compra]])/365,"")</f>
        <v/>
      </c>
      <c r="P1494" s="7" t="str">
        <f>IFERROR(VLOOKUP(Tabela3[[#This Row],[Categoria]],Cadastros!A:C,3,0),"")</f>
        <v/>
      </c>
      <c r="Q1494" s="9" t="str">
        <f ca="1">IFERROR(Tabela3[[#This Row],[Vida útil]]-Tabela3[[#This Row],[Idade]],"")</f>
        <v/>
      </c>
      <c r="R1494" s="8" t="str">
        <f ca="1">IFERROR(Tabela3[[#This Row],[Valor]]-(Tabela3[[#This Row],[Valor]]*(Tabela3[[#This Row],[Idade]]*VLOOKUP(Tabela3[[#This Row],[Categoria]],Cadastros!A:B,2,0))),"")</f>
        <v/>
      </c>
    </row>
    <row r="1495" spans="4:18" x14ac:dyDescent="0.25">
      <c r="D1495" s="5"/>
      <c r="N1495" s="6" t="str">
        <f>IFERROR(Tabela3[[#This Row],[Última revisão do bem]]+(VLOOKUP(Tabela3[[#This Row],[Categoria]],Cadastros!A:D,4,0)+365),"")</f>
        <v/>
      </c>
      <c r="O1495" s="7" t="str">
        <f ca="1">IF(Tabela3[[#This Row],[Data da compra]]&gt;0,(TODAY()-Tabela3[[#This Row],[Data da compra]])/365,"")</f>
        <v/>
      </c>
      <c r="P1495" s="7" t="str">
        <f>IFERROR(VLOOKUP(Tabela3[[#This Row],[Categoria]],Cadastros!A:C,3,0),"")</f>
        <v/>
      </c>
      <c r="Q1495" s="9" t="str">
        <f ca="1">IFERROR(Tabela3[[#This Row],[Vida útil]]-Tabela3[[#This Row],[Idade]],"")</f>
        <v/>
      </c>
      <c r="R1495" s="8" t="str">
        <f ca="1">IFERROR(Tabela3[[#This Row],[Valor]]-(Tabela3[[#This Row],[Valor]]*(Tabela3[[#This Row],[Idade]]*VLOOKUP(Tabela3[[#This Row],[Categoria]],Cadastros!A:B,2,0))),"")</f>
        <v/>
      </c>
    </row>
    <row r="1496" spans="4:18" x14ac:dyDescent="0.25">
      <c r="D1496" s="5"/>
      <c r="N1496" s="6" t="str">
        <f>IFERROR(Tabela3[[#This Row],[Última revisão do bem]]+(VLOOKUP(Tabela3[[#This Row],[Categoria]],Cadastros!A:D,4,0)+365),"")</f>
        <v/>
      </c>
      <c r="O1496" s="7" t="str">
        <f ca="1">IF(Tabela3[[#This Row],[Data da compra]]&gt;0,(TODAY()-Tabela3[[#This Row],[Data da compra]])/365,"")</f>
        <v/>
      </c>
      <c r="P1496" s="7" t="str">
        <f>IFERROR(VLOOKUP(Tabela3[[#This Row],[Categoria]],Cadastros!A:C,3,0),"")</f>
        <v/>
      </c>
      <c r="Q1496" s="9" t="str">
        <f ca="1">IFERROR(Tabela3[[#This Row],[Vida útil]]-Tabela3[[#This Row],[Idade]],"")</f>
        <v/>
      </c>
      <c r="R1496" s="8" t="str">
        <f ca="1">IFERROR(Tabela3[[#This Row],[Valor]]-(Tabela3[[#This Row],[Valor]]*(Tabela3[[#This Row],[Idade]]*VLOOKUP(Tabela3[[#This Row],[Categoria]],Cadastros!A:B,2,0))),"")</f>
        <v/>
      </c>
    </row>
    <row r="1497" spans="4:18" x14ac:dyDescent="0.25">
      <c r="D1497" s="5"/>
      <c r="N1497" s="6" t="str">
        <f>IFERROR(Tabela3[[#This Row],[Última revisão do bem]]+(VLOOKUP(Tabela3[[#This Row],[Categoria]],Cadastros!A:D,4,0)+365),"")</f>
        <v/>
      </c>
      <c r="O1497" s="7" t="str">
        <f ca="1">IF(Tabela3[[#This Row],[Data da compra]]&gt;0,(TODAY()-Tabela3[[#This Row],[Data da compra]])/365,"")</f>
        <v/>
      </c>
      <c r="P1497" s="7" t="str">
        <f>IFERROR(VLOOKUP(Tabela3[[#This Row],[Categoria]],Cadastros!A:C,3,0),"")</f>
        <v/>
      </c>
      <c r="Q1497" s="9" t="str">
        <f ca="1">IFERROR(Tabela3[[#This Row],[Vida útil]]-Tabela3[[#This Row],[Idade]],"")</f>
        <v/>
      </c>
      <c r="R1497" s="8" t="str">
        <f ca="1">IFERROR(Tabela3[[#This Row],[Valor]]-(Tabela3[[#This Row],[Valor]]*(Tabela3[[#This Row],[Idade]]*VLOOKUP(Tabela3[[#This Row],[Categoria]],Cadastros!A:B,2,0))),"")</f>
        <v/>
      </c>
    </row>
    <row r="1498" spans="4:18" x14ac:dyDescent="0.25">
      <c r="D1498" s="5"/>
      <c r="N1498" s="6" t="str">
        <f>IFERROR(Tabela3[[#This Row],[Última revisão do bem]]+(VLOOKUP(Tabela3[[#This Row],[Categoria]],Cadastros!A:D,4,0)+365),"")</f>
        <v/>
      </c>
      <c r="O1498" s="7" t="str">
        <f ca="1">IF(Tabela3[[#This Row],[Data da compra]]&gt;0,(TODAY()-Tabela3[[#This Row],[Data da compra]])/365,"")</f>
        <v/>
      </c>
      <c r="P1498" s="7" t="str">
        <f>IFERROR(VLOOKUP(Tabela3[[#This Row],[Categoria]],Cadastros!A:C,3,0),"")</f>
        <v/>
      </c>
      <c r="Q1498" s="9" t="str">
        <f ca="1">IFERROR(Tabela3[[#This Row],[Vida útil]]-Tabela3[[#This Row],[Idade]],"")</f>
        <v/>
      </c>
      <c r="R1498" s="8" t="str">
        <f ca="1">IFERROR(Tabela3[[#This Row],[Valor]]-(Tabela3[[#This Row],[Valor]]*(Tabela3[[#This Row],[Idade]]*VLOOKUP(Tabela3[[#This Row],[Categoria]],Cadastros!A:B,2,0))),"")</f>
        <v/>
      </c>
    </row>
    <row r="1499" spans="4:18" x14ac:dyDescent="0.25">
      <c r="D1499" s="5"/>
      <c r="N1499" s="6" t="str">
        <f>IFERROR(Tabela3[[#This Row],[Última revisão do bem]]+(VLOOKUP(Tabela3[[#This Row],[Categoria]],Cadastros!A:D,4,0)+365),"")</f>
        <v/>
      </c>
      <c r="O1499" s="7" t="str">
        <f ca="1">IF(Tabela3[[#This Row],[Data da compra]]&gt;0,(TODAY()-Tabela3[[#This Row],[Data da compra]])/365,"")</f>
        <v/>
      </c>
      <c r="P1499" s="7" t="str">
        <f>IFERROR(VLOOKUP(Tabela3[[#This Row],[Categoria]],Cadastros!A:C,3,0),"")</f>
        <v/>
      </c>
      <c r="Q1499" s="9" t="str">
        <f ca="1">IFERROR(Tabela3[[#This Row],[Vida útil]]-Tabela3[[#This Row],[Idade]],"")</f>
        <v/>
      </c>
      <c r="R1499" s="8" t="str">
        <f ca="1">IFERROR(Tabela3[[#This Row],[Valor]]-(Tabela3[[#This Row],[Valor]]*(Tabela3[[#This Row],[Idade]]*VLOOKUP(Tabela3[[#This Row],[Categoria]],Cadastros!A:B,2,0))),"")</f>
        <v/>
      </c>
    </row>
    <row r="1500" spans="4:18" x14ac:dyDescent="0.25">
      <c r="D1500" s="22"/>
      <c r="N1500" s="6" t="str">
        <f>IFERROR(Tabela3[[#This Row],[Última revisão do bem]]+(VLOOKUP(Tabela3[[#This Row],[Categoria]],Cadastros!A:D,4,0)+365),"")</f>
        <v/>
      </c>
      <c r="O1500" s="7" t="str">
        <f ca="1">IF(Tabela3[[#This Row],[Data da compra]]&gt;0,(TODAY()-Tabela3[[#This Row],[Data da compra]])/365,"")</f>
        <v/>
      </c>
      <c r="P1500" s="7" t="str">
        <f>IFERROR(VLOOKUP(Tabela3[[#This Row],[Categoria]],Cadastros!A:C,3,0),"")</f>
        <v/>
      </c>
      <c r="Q1500" s="9" t="str">
        <f ca="1">IFERROR(Tabela3[[#This Row],[Vida útil]]-Tabela3[[#This Row],[Idade]],"")</f>
        <v/>
      </c>
      <c r="R1500" s="23" t="str">
        <f ca="1">IFERROR(Tabela3[[#This Row],[Valor]]-(Tabela3[[#This Row],[Valor]]*(Tabela3[[#This Row],[Idade]]*VLOOKUP(Tabela3[[#This Row],[Categoria]],Cadastros!A:B,2,0))),"")</f>
        <v/>
      </c>
    </row>
    <row r="1501" spans="4:18" x14ac:dyDescent="0.25">
      <c r="D1501" s="5"/>
      <c r="N1501" s="6" t="str">
        <f>IFERROR(Tabela3[[#This Row],[Última revisão do bem]]+(VLOOKUP(Tabela3[[#This Row],[Categoria]],Cadastros!A:D,4,0)+365),"")</f>
        <v/>
      </c>
      <c r="O1501" s="7" t="str">
        <f ca="1">IF(Tabela3[[#This Row],[Data da compra]]&gt;0,(TODAY()-Tabela3[[#This Row],[Data da compra]])/365,"")</f>
        <v/>
      </c>
      <c r="P1501" s="7" t="str">
        <f>IFERROR(VLOOKUP(Tabela3[[#This Row],[Categoria]],Cadastros!A:C,3,0),"")</f>
        <v/>
      </c>
      <c r="Q1501" s="9" t="str">
        <f ca="1">IFERROR(Tabela3[[#This Row],[Vida útil]]-Tabela3[[#This Row],[Idade]],"")</f>
        <v/>
      </c>
      <c r="R1501" s="8" t="str">
        <f ca="1">IFERROR(Tabela3[[#This Row],[Valor]]-(Tabela3[[#This Row],[Valor]]*(Tabela3[[#This Row],[Idade]]*VLOOKUP(Tabela3[[#This Row],[Categoria]],Cadastros!A:B,2,0))),"")</f>
        <v/>
      </c>
    </row>
    <row r="1502" spans="4:18" x14ac:dyDescent="0.25">
      <c r="D1502" s="5"/>
      <c r="N1502" s="6" t="str">
        <f>IFERROR(Tabela3[[#This Row],[Última revisão do bem]]+(VLOOKUP(Tabela3[[#This Row],[Categoria]],Cadastros!A:D,4,0)+365),"")</f>
        <v/>
      </c>
      <c r="O1502" s="7" t="str">
        <f ca="1">IF(Tabela3[[#This Row],[Data da compra]]&gt;0,(TODAY()-Tabela3[[#This Row],[Data da compra]])/365,"")</f>
        <v/>
      </c>
      <c r="P1502" s="7" t="str">
        <f>IFERROR(VLOOKUP(Tabela3[[#This Row],[Categoria]],Cadastros!A:C,3,0),"")</f>
        <v/>
      </c>
      <c r="Q1502" s="9" t="str">
        <f ca="1">IFERROR(Tabela3[[#This Row],[Vida útil]]-Tabela3[[#This Row],[Idade]],"")</f>
        <v/>
      </c>
      <c r="R1502" s="8" t="str">
        <f ca="1">IFERROR(Tabela3[[#This Row],[Valor]]-(Tabela3[[#This Row],[Valor]]*(Tabela3[[#This Row],[Idade]]*VLOOKUP(Tabela3[[#This Row],[Categoria]],Cadastros!A:B,2,0))),"")</f>
        <v/>
      </c>
    </row>
    <row r="1503" spans="4:18" x14ac:dyDescent="0.25">
      <c r="D1503" s="5"/>
      <c r="N1503" s="6" t="str">
        <f>IFERROR(Tabela3[[#This Row],[Última revisão do bem]]+(VLOOKUP(Tabela3[[#This Row],[Categoria]],Cadastros!A:D,4,0)+365),"")</f>
        <v/>
      </c>
      <c r="O1503" s="7" t="str">
        <f ca="1">IF(Tabela3[[#This Row],[Data da compra]]&gt;0,(TODAY()-Tabela3[[#This Row],[Data da compra]])/365,"")</f>
        <v/>
      </c>
      <c r="P1503" s="7" t="str">
        <f>IFERROR(VLOOKUP(Tabela3[[#This Row],[Categoria]],Cadastros!A:C,3,0),"")</f>
        <v/>
      </c>
      <c r="Q1503" s="9" t="str">
        <f ca="1">IFERROR(Tabela3[[#This Row],[Vida útil]]-Tabela3[[#This Row],[Idade]],"")</f>
        <v/>
      </c>
      <c r="R1503" s="8" t="str">
        <f ca="1">IFERROR(Tabela3[[#This Row],[Valor]]-(Tabela3[[#This Row],[Valor]]*(Tabela3[[#This Row],[Idade]]*VLOOKUP(Tabela3[[#This Row],[Categoria]],Cadastros!A:B,2,0))),"")</f>
        <v/>
      </c>
    </row>
    <row r="1504" spans="4:18" x14ac:dyDescent="0.25">
      <c r="D1504" s="5"/>
      <c r="N1504" s="6" t="str">
        <f>IFERROR(Tabela3[[#This Row],[Última revisão do bem]]+(VLOOKUP(Tabela3[[#This Row],[Categoria]],Cadastros!A:D,4,0)+365),"")</f>
        <v/>
      </c>
      <c r="O1504" s="7" t="str">
        <f ca="1">IF(Tabela3[[#This Row],[Data da compra]]&gt;0,(TODAY()-Tabela3[[#This Row],[Data da compra]])/365,"")</f>
        <v/>
      </c>
      <c r="P1504" s="7" t="str">
        <f>IFERROR(VLOOKUP(Tabela3[[#This Row],[Categoria]],Cadastros!A:C,3,0),"")</f>
        <v/>
      </c>
      <c r="Q1504" s="9" t="str">
        <f ca="1">IFERROR(Tabela3[[#This Row],[Vida útil]]-Tabela3[[#This Row],[Idade]],"")</f>
        <v/>
      </c>
      <c r="R1504" s="8" t="str">
        <f ca="1">IFERROR(Tabela3[[#This Row],[Valor]]-(Tabela3[[#This Row],[Valor]]*(Tabela3[[#This Row],[Idade]]*VLOOKUP(Tabela3[[#This Row],[Categoria]],Cadastros!A:B,2,0))),"")</f>
        <v/>
      </c>
    </row>
    <row r="1505" spans="4:18" x14ac:dyDescent="0.25">
      <c r="D1505" s="5"/>
      <c r="N1505" s="6" t="str">
        <f>IFERROR(Tabela3[[#This Row],[Última revisão do bem]]+(VLOOKUP(Tabela3[[#This Row],[Categoria]],Cadastros!A:D,4,0)+365),"")</f>
        <v/>
      </c>
      <c r="O1505" s="7" t="str">
        <f ca="1">IF(Tabela3[[#This Row],[Data da compra]]&gt;0,(TODAY()-Tabela3[[#This Row],[Data da compra]])/365,"")</f>
        <v/>
      </c>
      <c r="P1505" s="7" t="str">
        <f>IFERROR(VLOOKUP(Tabela3[[#This Row],[Categoria]],Cadastros!A:C,3,0),"")</f>
        <v/>
      </c>
      <c r="Q1505" s="9" t="str">
        <f ca="1">IFERROR(Tabela3[[#This Row],[Vida útil]]-Tabela3[[#This Row],[Idade]],"")</f>
        <v/>
      </c>
      <c r="R1505" s="8" t="str">
        <f ca="1">IFERROR(Tabela3[[#This Row],[Valor]]-(Tabela3[[#This Row],[Valor]]*(Tabela3[[#This Row],[Idade]]*VLOOKUP(Tabela3[[#This Row],[Categoria]],Cadastros!A:B,2,0))),"")</f>
        <v/>
      </c>
    </row>
    <row r="1506" spans="4:18" x14ac:dyDescent="0.25">
      <c r="D1506" s="5"/>
      <c r="N1506" s="6" t="str">
        <f>IFERROR(Tabela3[[#This Row],[Última revisão do bem]]+(VLOOKUP(Tabela3[[#This Row],[Categoria]],Cadastros!A:D,4,0)+365),"")</f>
        <v/>
      </c>
      <c r="O1506" s="7" t="str">
        <f ca="1">IF(Tabela3[[#This Row],[Data da compra]]&gt;0,(TODAY()-Tabela3[[#This Row],[Data da compra]])/365,"")</f>
        <v/>
      </c>
      <c r="P1506" s="7" t="str">
        <f>IFERROR(VLOOKUP(Tabela3[[#This Row],[Categoria]],Cadastros!A:C,3,0),"")</f>
        <v/>
      </c>
      <c r="Q1506" s="9" t="str">
        <f ca="1">IFERROR(Tabela3[[#This Row],[Vida útil]]-Tabela3[[#This Row],[Idade]],"")</f>
        <v/>
      </c>
      <c r="R1506" s="8" t="str">
        <f ca="1">IFERROR(Tabela3[[#This Row],[Valor]]-(Tabela3[[#This Row],[Valor]]*(Tabela3[[#This Row],[Idade]]*VLOOKUP(Tabela3[[#This Row],[Categoria]],Cadastros!A:B,2,0))),"")</f>
        <v/>
      </c>
    </row>
    <row r="1507" spans="4:18" x14ac:dyDescent="0.25">
      <c r="D1507" s="5"/>
      <c r="N1507" s="6" t="str">
        <f>IFERROR(Tabela3[[#This Row],[Última revisão do bem]]+(VLOOKUP(Tabela3[[#This Row],[Categoria]],Cadastros!A:D,4,0)+365),"")</f>
        <v/>
      </c>
      <c r="O1507" s="7" t="str">
        <f ca="1">IF(Tabela3[[#This Row],[Data da compra]]&gt;0,(TODAY()-Tabela3[[#This Row],[Data da compra]])/365,"")</f>
        <v/>
      </c>
      <c r="P1507" s="7" t="str">
        <f>IFERROR(VLOOKUP(Tabela3[[#This Row],[Categoria]],Cadastros!A:C,3,0),"")</f>
        <v/>
      </c>
      <c r="Q1507" s="9" t="str">
        <f ca="1">IFERROR(Tabela3[[#This Row],[Vida útil]]-Tabela3[[#This Row],[Idade]],"")</f>
        <v/>
      </c>
      <c r="R1507" s="8" t="str">
        <f ca="1">IFERROR(Tabela3[[#This Row],[Valor]]-(Tabela3[[#This Row],[Valor]]*(Tabela3[[#This Row],[Idade]]*VLOOKUP(Tabela3[[#This Row],[Categoria]],Cadastros!A:B,2,0))),"")</f>
        <v/>
      </c>
    </row>
    <row r="1508" spans="4:18" x14ac:dyDescent="0.25">
      <c r="D1508" s="5"/>
      <c r="N1508" s="6" t="str">
        <f>IFERROR(Tabela3[[#This Row],[Última revisão do bem]]+(VLOOKUP(Tabela3[[#This Row],[Categoria]],Cadastros!A:D,4,0)+365),"")</f>
        <v/>
      </c>
      <c r="O1508" s="7" t="str">
        <f ca="1">IF(Tabela3[[#This Row],[Data da compra]]&gt;0,(TODAY()-Tabela3[[#This Row],[Data da compra]])/365,"")</f>
        <v/>
      </c>
      <c r="P1508" s="7" t="str">
        <f>IFERROR(VLOOKUP(Tabela3[[#This Row],[Categoria]],Cadastros!A:C,3,0),"")</f>
        <v/>
      </c>
      <c r="Q1508" s="9" t="str">
        <f ca="1">IFERROR(Tabela3[[#This Row],[Vida útil]]-Tabela3[[#This Row],[Idade]],"")</f>
        <v/>
      </c>
      <c r="R1508" s="8" t="str">
        <f ca="1">IFERROR(Tabela3[[#This Row],[Valor]]-(Tabela3[[#This Row],[Valor]]*(Tabela3[[#This Row],[Idade]]*VLOOKUP(Tabela3[[#This Row],[Categoria]],Cadastros!A:B,2,0))),"")</f>
        <v/>
      </c>
    </row>
    <row r="1509" spans="4:18" x14ac:dyDescent="0.25">
      <c r="D1509" s="5"/>
      <c r="N1509" s="6" t="str">
        <f>IFERROR(Tabela3[[#This Row],[Última revisão do bem]]+(VLOOKUP(Tabela3[[#This Row],[Categoria]],Cadastros!A:D,4,0)+365),"")</f>
        <v/>
      </c>
      <c r="O1509" s="7" t="str">
        <f ca="1">IF(Tabela3[[#This Row],[Data da compra]]&gt;0,(TODAY()-Tabela3[[#This Row],[Data da compra]])/365,"")</f>
        <v/>
      </c>
      <c r="P1509" s="7" t="str">
        <f>IFERROR(VLOOKUP(Tabela3[[#This Row],[Categoria]],Cadastros!A:C,3,0),"")</f>
        <v/>
      </c>
      <c r="Q1509" s="9" t="str">
        <f ca="1">IFERROR(Tabela3[[#This Row],[Vida útil]]-Tabela3[[#This Row],[Idade]],"")</f>
        <v/>
      </c>
      <c r="R1509" s="8" t="str">
        <f ca="1">IFERROR(Tabela3[[#This Row],[Valor]]-(Tabela3[[#This Row],[Valor]]*(Tabela3[[#This Row],[Idade]]*VLOOKUP(Tabela3[[#This Row],[Categoria]],Cadastros!A:B,2,0))),"")</f>
        <v/>
      </c>
    </row>
    <row r="1510" spans="4:18" x14ac:dyDescent="0.25">
      <c r="D1510" s="5"/>
      <c r="N1510" s="6" t="str">
        <f>IFERROR(Tabela3[[#This Row],[Última revisão do bem]]+(VLOOKUP(Tabela3[[#This Row],[Categoria]],Cadastros!A:D,4,0)+365),"")</f>
        <v/>
      </c>
      <c r="O1510" s="7" t="str">
        <f ca="1">IF(Tabela3[[#This Row],[Data da compra]]&gt;0,(TODAY()-Tabela3[[#This Row],[Data da compra]])/365,"")</f>
        <v/>
      </c>
      <c r="P1510" s="7" t="str">
        <f>IFERROR(VLOOKUP(Tabela3[[#This Row],[Categoria]],Cadastros!A:C,3,0),"")</f>
        <v/>
      </c>
      <c r="Q1510" s="9" t="str">
        <f ca="1">IFERROR(Tabela3[[#This Row],[Vida útil]]-Tabela3[[#This Row],[Idade]],"")</f>
        <v/>
      </c>
      <c r="R1510" s="8" t="str">
        <f ca="1">IFERROR(Tabela3[[#This Row],[Valor]]-(Tabela3[[#This Row],[Valor]]*(Tabela3[[#This Row],[Idade]]*VLOOKUP(Tabela3[[#This Row],[Categoria]],Cadastros!A:B,2,0))),"")</f>
        <v/>
      </c>
    </row>
    <row r="1511" spans="4:18" x14ac:dyDescent="0.25">
      <c r="D1511" s="5"/>
      <c r="N1511" s="6" t="str">
        <f>IFERROR(Tabela3[[#This Row],[Última revisão do bem]]+(VLOOKUP(Tabela3[[#This Row],[Categoria]],Cadastros!A:D,4,0)+365),"")</f>
        <v/>
      </c>
      <c r="O1511" s="7" t="str">
        <f ca="1">IF(Tabela3[[#This Row],[Data da compra]]&gt;0,(TODAY()-Tabela3[[#This Row],[Data da compra]])/365,"")</f>
        <v/>
      </c>
      <c r="P1511" s="7" t="str">
        <f>IFERROR(VLOOKUP(Tabela3[[#This Row],[Categoria]],Cadastros!A:C,3,0),"")</f>
        <v/>
      </c>
      <c r="Q1511" s="9" t="str">
        <f ca="1">IFERROR(Tabela3[[#This Row],[Vida útil]]-Tabela3[[#This Row],[Idade]],"")</f>
        <v/>
      </c>
      <c r="R1511" s="8" t="str">
        <f ca="1">IFERROR(Tabela3[[#This Row],[Valor]]-(Tabela3[[#This Row],[Valor]]*(Tabela3[[#This Row],[Idade]]*VLOOKUP(Tabela3[[#This Row],[Categoria]],Cadastros!A:B,2,0))),"")</f>
        <v/>
      </c>
    </row>
    <row r="1512" spans="4:18" x14ac:dyDescent="0.25">
      <c r="D1512" s="5"/>
      <c r="N1512" s="6" t="str">
        <f>IFERROR(Tabela3[[#This Row],[Última revisão do bem]]+(VLOOKUP(Tabela3[[#This Row],[Categoria]],Cadastros!A:D,4,0)+365),"")</f>
        <v/>
      </c>
      <c r="O1512" s="7" t="str">
        <f ca="1">IF(Tabela3[[#This Row],[Data da compra]]&gt;0,(TODAY()-Tabela3[[#This Row],[Data da compra]])/365,"")</f>
        <v/>
      </c>
      <c r="P1512" s="7" t="str">
        <f>IFERROR(VLOOKUP(Tabela3[[#This Row],[Categoria]],Cadastros!A:C,3,0),"")</f>
        <v/>
      </c>
      <c r="Q1512" s="9" t="str">
        <f ca="1">IFERROR(Tabela3[[#This Row],[Vida útil]]-Tabela3[[#This Row],[Idade]],"")</f>
        <v/>
      </c>
      <c r="R1512" s="8" t="str">
        <f ca="1">IFERROR(Tabela3[[#This Row],[Valor]]-(Tabela3[[#This Row],[Valor]]*(Tabela3[[#This Row],[Idade]]*VLOOKUP(Tabela3[[#This Row],[Categoria]],Cadastros!A:B,2,0))),"")</f>
        <v/>
      </c>
    </row>
    <row r="1513" spans="4:18" x14ac:dyDescent="0.25">
      <c r="D1513" s="5"/>
      <c r="N1513" s="6" t="str">
        <f>IFERROR(Tabela3[[#This Row],[Última revisão do bem]]+(VLOOKUP(Tabela3[[#This Row],[Categoria]],Cadastros!A:D,4,0)+365),"")</f>
        <v/>
      </c>
      <c r="O1513" s="7" t="str">
        <f ca="1">IF(Tabela3[[#This Row],[Data da compra]]&gt;0,(TODAY()-Tabela3[[#This Row],[Data da compra]])/365,"")</f>
        <v/>
      </c>
      <c r="P1513" s="7" t="str">
        <f>IFERROR(VLOOKUP(Tabela3[[#This Row],[Categoria]],Cadastros!A:C,3,0),"")</f>
        <v/>
      </c>
      <c r="Q1513" s="9" t="str">
        <f ca="1">IFERROR(Tabela3[[#This Row],[Vida útil]]-Tabela3[[#This Row],[Idade]],"")</f>
        <v/>
      </c>
      <c r="R1513" s="8" t="str">
        <f ca="1">IFERROR(Tabela3[[#This Row],[Valor]]-(Tabela3[[#This Row],[Valor]]*(Tabela3[[#This Row],[Idade]]*VLOOKUP(Tabela3[[#This Row],[Categoria]],Cadastros!A:B,2,0))),"")</f>
        <v/>
      </c>
    </row>
    <row r="1514" spans="4:18" x14ac:dyDescent="0.25">
      <c r="D1514" s="5"/>
      <c r="N1514" s="6" t="str">
        <f>IFERROR(Tabela3[[#This Row],[Última revisão do bem]]+(VLOOKUP(Tabela3[[#This Row],[Categoria]],Cadastros!A:D,4,0)+365),"")</f>
        <v/>
      </c>
      <c r="O1514" s="7" t="str">
        <f ca="1">IF(Tabela3[[#This Row],[Data da compra]]&gt;0,(TODAY()-Tabela3[[#This Row],[Data da compra]])/365,"")</f>
        <v/>
      </c>
      <c r="P1514" s="7" t="str">
        <f>IFERROR(VLOOKUP(Tabela3[[#This Row],[Categoria]],Cadastros!A:C,3,0),"")</f>
        <v/>
      </c>
      <c r="Q1514" s="9" t="str">
        <f ca="1">IFERROR(Tabela3[[#This Row],[Vida útil]]-Tabela3[[#This Row],[Idade]],"")</f>
        <v/>
      </c>
      <c r="R1514" s="8" t="str">
        <f ca="1">IFERROR(Tabela3[[#This Row],[Valor]]-(Tabela3[[#This Row],[Valor]]*(Tabela3[[#This Row],[Idade]]*VLOOKUP(Tabela3[[#This Row],[Categoria]],Cadastros!A:B,2,0))),"")</f>
        <v/>
      </c>
    </row>
    <row r="1515" spans="4:18" x14ac:dyDescent="0.25">
      <c r="D1515" s="5"/>
      <c r="N1515" s="6" t="str">
        <f>IFERROR(Tabela3[[#This Row],[Última revisão do bem]]+(VLOOKUP(Tabela3[[#This Row],[Categoria]],Cadastros!A:D,4,0)+365),"")</f>
        <v/>
      </c>
      <c r="O1515" s="7" t="str">
        <f ca="1">IF(Tabela3[[#This Row],[Data da compra]]&gt;0,(TODAY()-Tabela3[[#This Row],[Data da compra]])/365,"")</f>
        <v/>
      </c>
      <c r="P1515" s="7" t="str">
        <f>IFERROR(VLOOKUP(Tabela3[[#This Row],[Categoria]],Cadastros!A:C,3,0),"")</f>
        <v/>
      </c>
      <c r="Q1515" s="9" t="str">
        <f ca="1">IFERROR(Tabela3[[#This Row],[Vida útil]]-Tabela3[[#This Row],[Idade]],"")</f>
        <v/>
      </c>
      <c r="R1515" s="8" t="str">
        <f ca="1">IFERROR(Tabela3[[#This Row],[Valor]]-(Tabela3[[#This Row],[Valor]]*(Tabela3[[#This Row],[Idade]]*VLOOKUP(Tabela3[[#This Row],[Categoria]],Cadastros!A:B,2,0))),"")</f>
        <v/>
      </c>
    </row>
    <row r="1516" spans="4:18" x14ac:dyDescent="0.25">
      <c r="D1516" s="5"/>
      <c r="N1516" s="6" t="str">
        <f>IFERROR(Tabela3[[#This Row],[Última revisão do bem]]+(VLOOKUP(Tabela3[[#This Row],[Categoria]],Cadastros!A:D,4,0)+365),"")</f>
        <v/>
      </c>
      <c r="O1516" s="7" t="str">
        <f ca="1">IF(Tabela3[[#This Row],[Data da compra]]&gt;0,(TODAY()-Tabela3[[#This Row],[Data da compra]])/365,"")</f>
        <v/>
      </c>
      <c r="P1516" s="7" t="str">
        <f>IFERROR(VLOOKUP(Tabela3[[#This Row],[Categoria]],Cadastros!A:C,3,0),"")</f>
        <v/>
      </c>
      <c r="Q1516" s="9" t="str">
        <f ca="1">IFERROR(Tabela3[[#This Row],[Vida útil]]-Tabela3[[#This Row],[Idade]],"")</f>
        <v/>
      </c>
      <c r="R1516" s="8" t="str">
        <f ca="1">IFERROR(Tabela3[[#This Row],[Valor]]-(Tabela3[[#This Row],[Valor]]*(Tabela3[[#This Row],[Idade]]*VLOOKUP(Tabela3[[#This Row],[Categoria]],Cadastros!A:B,2,0))),"")</f>
        <v/>
      </c>
    </row>
    <row r="1517" spans="4:18" x14ac:dyDescent="0.25">
      <c r="D1517" s="5"/>
      <c r="N1517" s="6" t="str">
        <f>IFERROR(Tabela3[[#This Row],[Última revisão do bem]]+(VLOOKUP(Tabela3[[#This Row],[Categoria]],Cadastros!A:D,4,0)+365),"")</f>
        <v/>
      </c>
      <c r="O1517" s="7" t="str">
        <f ca="1">IF(Tabela3[[#This Row],[Data da compra]]&gt;0,(TODAY()-Tabela3[[#This Row],[Data da compra]])/365,"")</f>
        <v/>
      </c>
      <c r="P1517" s="7" t="str">
        <f>IFERROR(VLOOKUP(Tabela3[[#This Row],[Categoria]],Cadastros!A:C,3,0),"")</f>
        <v/>
      </c>
      <c r="Q1517" s="9" t="str">
        <f ca="1">IFERROR(Tabela3[[#This Row],[Vida útil]]-Tabela3[[#This Row],[Idade]],"")</f>
        <v/>
      </c>
      <c r="R1517" s="8" t="str">
        <f ca="1">IFERROR(Tabela3[[#This Row],[Valor]]-(Tabela3[[#This Row],[Valor]]*(Tabela3[[#This Row],[Idade]]*VLOOKUP(Tabela3[[#This Row],[Categoria]],Cadastros!A:B,2,0))),"")</f>
        <v/>
      </c>
    </row>
    <row r="1518" spans="4:18" x14ac:dyDescent="0.25">
      <c r="D1518" s="22"/>
      <c r="N1518" s="6" t="str">
        <f>IFERROR(Tabela3[[#This Row],[Última revisão do bem]]+(VLOOKUP(Tabela3[[#This Row],[Categoria]],Cadastros!A:D,4,0)+365),"")</f>
        <v/>
      </c>
      <c r="O1518" s="7" t="str">
        <f ca="1">IF(Tabela3[[#This Row],[Data da compra]]&gt;0,(TODAY()-Tabela3[[#This Row],[Data da compra]])/365,"")</f>
        <v/>
      </c>
      <c r="P1518" s="7" t="str">
        <f>IFERROR(VLOOKUP(Tabela3[[#This Row],[Categoria]],Cadastros!A:C,3,0),"")</f>
        <v/>
      </c>
      <c r="Q1518" s="9" t="str">
        <f ca="1">IFERROR(Tabela3[[#This Row],[Vida útil]]-Tabela3[[#This Row],[Idade]],"")</f>
        <v/>
      </c>
      <c r="R1518" s="23" t="str">
        <f ca="1">IFERROR(Tabela3[[#This Row],[Valor]]-(Tabela3[[#This Row],[Valor]]*(Tabela3[[#This Row],[Idade]]*VLOOKUP(Tabela3[[#This Row],[Categoria]],Cadastros!A:B,2,0))),"")</f>
        <v/>
      </c>
    </row>
    <row r="1519" spans="4:18" x14ac:dyDescent="0.25">
      <c r="D1519" s="5"/>
      <c r="N1519" s="6" t="str">
        <f>IFERROR(Tabela3[[#This Row],[Última revisão do bem]]+(VLOOKUP(Tabela3[[#This Row],[Categoria]],Cadastros!A:D,4,0)+365),"")</f>
        <v/>
      </c>
      <c r="O1519" s="7" t="str">
        <f ca="1">IF(Tabela3[[#This Row],[Data da compra]]&gt;0,(TODAY()-Tabela3[[#This Row],[Data da compra]])/365,"")</f>
        <v/>
      </c>
      <c r="P1519" s="7" t="str">
        <f>IFERROR(VLOOKUP(Tabela3[[#This Row],[Categoria]],Cadastros!A:C,3,0),"")</f>
        <v/>
      </c>
      <c r="Q1519" s="9" t="str">
        <f ca="1">IFERROR(Tabela3[[#This Row],[Vida útil]]-Tabela3[[#This Row],[Idade]],"")</f>
        <v/>
      </c>
      <c r="R1519" s="8" t="str">
        <f ca="1">IFERROR(Tabela3[[#This Row],[Valor]]-(Tabela3[[#This Row],[Valor]]*(Tabela3[[#This Row],[Idade]]*VLOOKUP(Tabela3[[#This Row],[Categoria]],Cadastros!A:B,2,0))),"")</f>
        <v/>
      </c>
    </row>
    <row r="1520" spans="4:18" x14ac:dyDescent="0.25">
      <c r="D1520" s="5"/>
      <c r="N1520" s="6" t="str">
        <f>IFERROR(Tabela3[[#This Row],[Última revisão do bem]]+(VLOOKUP(Tabela3[[#This Row],[Categoria]],Cadastros!A:D,4,0)+365),"")</f>
        <v/>
      </c>
      <c r="O1520" s="7" t="str">
        <f ca="1">IF(Tabela3[[#This Row],[Data da compra]]&gt;0,(TODAY()-Tabela3[[#This Row],[Data da compra]])/365,"")</f>
        <v/>
      </c>
      <c r="P1520" s="7" t="str">
        <f>IFERROR(VLOOKUP(Tabela3[[#This Row],[Categoria]],Cadastros!A:C,3,0),"")</f>
        <v/>
      </c>
      <c r="Q1520" s="9" t="str">
        <f ca="1">IFERROR(Tabela3[[#This Row],[Vida útil]]-Tabela3[[#This Row],[Idade]],"")</f>
        <v/>
      </c>
      <c r="R1520" s="8" t="str">
        <f ca="1">IFERROR(Tabela3[[#This Row],[Valor]]-(Tabela3[[#This Row],[Valor]]*(Tabela3[[#This Row],[Idade]]*VLOOKUP(Tabela3[[#This Row],[Categoria]],Cadastros!A:B,2,0))),"")</f>
        <v/>
      </c>
    </row>
    <row r="1521" spans="4:18" x14ac:dyDescent="0.25">
      <c r="D1521" s="5"/>
      <c r="N1521" s="6" t="str">
        <f>IFERROR(Tabela3[[#This Row],[Última revisão do bem]]+(VLOOKUP(Tabela3[[#This Row],[Categoria]],Cadastros!A:D,4,0)+365),"")</f>
        <v/>
      </c>
      <c r="O1521" s="7" t="str">
        <f ca="1">IF(Tabela3[[#This Row],[Data da compra]]&gt;0,(TODAY()-Tabela3[[#This Row],[Data da compra]])/365,"")</f>
        <v/>
      </c>
      <c r="P1521" s="7" t="str">
        <f>IFERROR(VLOOKUP(Tabela3[[#This Row],[Categoria]],Cadastros!A:C,3,0),"")</f>
        <v/>
      </c>
      <c r="Q1521" s="9" t="str">
        <f ca="1">IFERROR(Tabela3[[#This Row],[Vida útil]]-Tabela3[[#This Row],[Idade]],"")</f>
        <v/>
      </c>
      <c r="R1521" s="8" t="str">
        <f ca="1">IFERROR(Tabela3[[#This Row],[Valor]]-(Tabela3[[#This Row],[Valor]]*(Tabela3[[#This Row],[Idade]]*VLOOKUP(Tabela3[[#This Row],[Categoria]],Cadastros!A:B,2,0))),"")</f>
        <v/>
      </c>
    </row>
    <row r="1522" spans="4:18" x14ac:dyDescent="0.25">
      <c r="D1522" s="5"/>
      <c r="N1522" s="6" t="str">
        <f>IFERROR(Tabela3[[#This Row],[Última revisão do bem]]+(VLOOKUP(Tabela3[[#This Row],[Categoria]],Cadastros!A:D,4,0)+365),"")</f>
        <v/>
      </c>
      <c r="O1522" s="7" t="str">
        <f ca="1">IF(Tabela3[[#This Row],[Data da compra]]&gt;0,(TODAY()-Tabela3[[#This Row],[Data da compra]])/365,"")</f>
        <v/>
      </c>
      <c r="P1522" s="7" t="str">
        <f>IFERROR(VLOOKUP(Tabela3[[#This Row],[Categoria]],Cadastros!A:C,3,0),"")</f>
        <v/>
      </c>
      <c r="Q1522" s="9" t="str">
        <f ca="1">IFERROR(Tabela3[[#This Row],[Vida útil]]-Tabela3[[#This Row],[Idade]],"")</f>
        <v/>
      </c>
      <c r="R1522" s="8" t="str">
        <f ca="1">IFERROR(Tabela3[[#This Row],[Valor]]-(Tabela3[[#This Row],[Valor]]*(Tabela3[[#This Row],[Idade]]*VLOOKUP(Tabela3[[#This Row],[Categoria]],Cadastros!A:B,2,0))),"")</f>
        <v/>
      </c>
    </row>
    <row r="1523" spans="4:18" x14ac:dyDescent="0.25">
      <c r="D1523" s="5"/>
      <c r="N1523" s="6" t="str">
        <f>IFERROR(Tabela3[[#This Row],[Última revisão do bem]]+(VLOOKUP(Tabela3[[#This Row],[Categoria]],Cadastros!A:D,4,0)+365),"")</f>
        <v/>
      </c>
      <c r="O1523" s="7" t="str">
        <f ca="1">IF(Tabela3[[#This Row],[Data da compra]]&gt;0,(TODAY()-Tabela3[[#This Row],[Data da compra]])/365,"")</f>
        <v/>
      </c>
      <c r="P1523" s="7" t="str">
        <f>IFERROR(VLOOKUP(Tabela3[[#This Row],[Categoria]],Cadastros!A:C,3,0),"")</f>
        <v/>
      </c>
      <c r="Q1523" s="9" t="str">
        <f ca="1">IFERROR(Tabela3[[#This Row],[Vida útil]]-Tabela3[[#This Row],[Idade]],"")</f>
        <v/>
      </c>
      <c r="R1523" s="8" t="str">
        <f ca="1">IFERROR(Tabela3[[#This Row],[Valor]]-(Tabela3[[#This Row],[Valor]]*(Tabela3[[#This Row],[Idade]]*VLOOKUP(Tabela3[[#This Row],[Categoria]],Cadastros!A:B,2,0))),"")</f>
        <v/>
      </c>
    </row>
    <row r="1524" spans="4:18" x14ac:dyDescent="0.25">
      <c r="D1524" s="5"/>
      <c r="N1524" s="6" t="str">
        <f>IFERROR(Tabela3[[#This Row],[Última revisão do bem]]+(VLOOKUP(Tabela3[[#This Row],[Categoria]],Cadastros!A:D,4,0)+365),"")</f>
        <v/>
      </c>
      <c r="O1524" s="7" t="str">
        <f ca="1">IF(Tabela3[[#This Row],[Data da compra]]&gt;0,(TODAY()-Tabela3[[#This Row],[Data da compra]])/365,"")</f>
        <v/>
      </c>
      <c r="P1524" s="7" t="str">
        <f>IFERROR(VLOOKUP(Tabela3[[#This Row],[Categoria]],Cadastros!A:C,3,0),"")</f>
        <v/>
      </c>
      <c r="Q1524" s="9" t="str">
        <f ca="1">IFERROR(Tabela3[[#This Row],[Vida útil]]-Tabela3[[#This Row],[Idade]],"")</f>
        <v/>
      </c>
      <c r="R1524" s="8" t="str">
        <f ca="1">IFERROR(Tabela3[[#This Row],[Valor]]-(Tabela3[[#This Row],[Valor]]*(Tabela3[[#This Row],[Idade]]*VLOOKUP(Tabela3[[#This Row],[Categoria]],Cadastros!A:B,2,0))),"")</f>
        <v/>
      </c>
    </row>
    <row r="1525" spans="4:18" x14ac:dyDescent="0.25">
      <c r="D1525" s="5"/>
      <c r="N1525" s="6" t="str">
        <f>IFERROR(Tabela3[[#This Row],[Última revisão do bem]]+(VLOOKUP(Tabela3[[#This Row],[Categoria]],Cadastros!A:D,4,0)+365),"")</f>
        <v/>
      </c>
      <c r="O1525" s="7" t="str">
        <f ca="1">IF(Tabela3[[#This Row],[Data da compra]]&gt;0,(TODAY()-Tabela3[[#This Row],[Data da compra]])/365,"")</f>
        <v/>
      </c>
      <c r="P1525" s="7" t="str">
        <f>IFERROR(VLOOKUP(Tabela3[[#This Row],[Categoria]],Cadastros!A:C,3,0),"")</f>
        <v/>
      </c>
      <c r="Q1525" s="9" t="str">
        <f ca="1">IFERROR(Tabela3[[#This Row],[Vida útil]]-Tabela3[[#This Row],[Idade]],"")</f>
        <v/>
      </c>
      <c r="R1525" s="8" t="str">
        <f ca="1">IFERROR(Tabela3[[#This Row],[Valor]]-(Tabela3[[#This Row],[Valor]]*(Tabela3[[#This Row],[Idade]]*VLOOKUP(Tabela3[[#This Row],[Categoria]],Cadastros!A:B,2,0))),"")</f>
        <v/>
      </c>
    </row>
    <row r="1526" spans="4:18" x14ac:dyDescent="0.25">
      <c r="D1526" s="5"/>
      <c r="N1526" s="6" t="str">
        <f>IFERROR(Tabela3[[#This Row],[Última revisão do bem]]+(VLOOKUP(Tabela3[[#This Row],[Categoria]],Cadastros!A:D,4,0)+365),"")</f>
        <v/>
      </c>
      <c r="O1526" s="7" t="str">
        <f ca="1">IF(Tabela3[[#This Row],[Data da compra]]&gt;0,(TODAY()-Tabela3[[#This Row],[Data da compra]])/365,"")</f>
        <v/>
      </c>
      <c r="P1526" s="7" t="str">
        <f>IFERROR(VLOOKUP(Tabela3[[#This Row],[Categoria]],Cadastros!A:C,3,0),"")</f>
        <v/>
      </c>
      <c r="Q1526" s="9" t="str">
        <f ca="1">IFERROR(Tabela3[[#This Row],[Vida útil]]-Tabela3[[#This Row],[Idade]],"")</f>
        <v/>
      </c>
      <c r="R1526" s="8" t="str">
        <f ca="1">IFERROR(Tabela3[[#This Row],[Valor]]-(Tabela3[[#This Row],[Valor]]*(Tabela3[[#This Row],[Idade]]*VLOOKUP(Tabela3[[#This Row],[Categoria]],Cadastros!A:B,2,0))),"")</f>
        <v/>
      </c>
    </row>
    <row r="1527" spans="4:18" x14ac:dyDescent="0.25">
      <c r="D1527" s="5"/>
      <c r="N1527" s="6" t="str">
        <f>IFERROR(Tabela3[[#This Row],[Última revisão do bem]]+(VLOOKUP(Tabela3[[#This Row],[Categoria]],Cadastros!A:D,4,0)+365),"")</f>
        <v/>
      </c>
      <c r="O1527" s="7" t="str">
        <f ca="1">IF(Tabela3[[#This Row],[Data da compra]]&gt;0,(TODAY()-Tabela3[[#This Row],[Data da compra]])/365,"")</f>
        <v/>
      </c>
      <c r="P1527" s="7" t="str">
        <f>IFERROR(VLOOKUP(Tabela3[[#This Row],[Categoria]],Cadastros!A:C,3,0),"")</f>
        <v/>
      </c>
      <c r="Q1527" s="9" t="str">
        <f ca="1">IFERROR(Tabela3[[#This Row],[Vida útil]]-Tabela3[[#This Row],[Idade]],"")</f>
        <v/>
      </c>
      <c r="R1527" s="8" t="str">
        <f ca="1">IFERROR(Tabela3[[#This Row],[Valor]]-(Tabela3[[#This Row],[Valor]]*(Tabela3[[#This Row],[Idade]]*VLOOKUP(Tabela3[[#This Row],[Categoria]],Cadastros!A:B,2,0))),"")</f>
        <v/>
      </c>
    </row>
    <row r="1528" spans="4:18" x14ac:dyDescent="0.25">
      <c r="D1528" s="5"/>
      <c r="N1528" s="6" t="str">
        <f>IFERROR(Tabela3[[#This Row],[Última revisão do bem]]+(VLOOKUP(Tabela3[[#This Row],[Categoria]],Cadastros!A:D,4,0)+365),"")</f>
        <v/>
      </c>
      <c r="O1528" s="7" t="str">
        <f ca="1">IF(Tabela3[[#This Row],[Data da compra]]&gt;0,(TODAY()-Tabela3[[#This Row],[Data da compra]])/365,"")</f>
        <v/>
      </c>
      <c r="P1528" s="7" t="str">
        <f>IFERROR(VLOOKUP(Tabela3[[#This Row],[Categoria]],Cadastros!A:C,3,0),"")</f>
        <v/>
      </c>
      <c r="Q1528" s="9" t="str">
        <f ca="1">IFERROR(Tabela3[[#This Row],[Vida útil]]-Tabela3[[#This Row],[Idade]],"")</f>
        <v/>
      </c>
      <c r="R1528" s="8" t="str">
        <f ca="1">IFERROR(Tabela3[[#This Row],[Valor]]-(Tabela3[[#This Row],[Valor]]*(Tabela3[[#This Row],[Idade]]*VLOOKUP(Tabela3[[#This Row],[Categoria]],Cadastros!A:B,2,0))),"")</f>
        <v/>
      </c>
    </row>
    <row r="1529" spans="4:18" x14ac:dyDescent="0.25">
      <c r="D1529" s="5"/>
      <c r="N1529" s="6" t="str">
        <f>IFERROR(Tabela3[[#This Row],[Última revisão do bem]]+(VLOOKUP(Tabela3[[#This Row],[Categoria]],Cadastros!A:D,4,0)+365),"")</f>
        <v/>
      </c>
      <c r="O1529" s="7" t="str">
        <f ca="1">IF(Tabela3[[#This Row],[Data da compra]]&gt;0,(TODAY()-Tabela3[[#This Row],[Data da compra]])/365,"")</f>
        <v/>
      </c>
      <c r="P1529" s="7" t="str">
        <f>IFERROR(VLOOKUP(Tabela3[[#This Row],[Categoria]],Cadastros!A:C,3,0),"")</f>
        <v/>
      </c>
      <c r="Q1529" s="9" t="str">
        <f ca="1">IFERROR(Tabela3[[#This Row],[Vida útil]]-Tabela3[[#This Row],[Idade]],"")</f>
        <v/>
      </c>
      <c r="R1529" s="8" t="str">
        <f ca="1">IFERROR(Tabela3[[#This Row],[Valor]]-(Tabela3[[#This Row],[Valor]]*(Tabela3[[#This Row],[Idade]]*VLOOKUP(Tabela3[[#This Row],[Categoria]],Cadastros!A:B,2,0))),"")</f>
        <v/>
      </c>
    </row>
    <row r="1530" spans="4:18" x14ac:dyDescent="0.25">
      <c r="D1530" s="5"/>
      <c r="N1530" s="6" t="str">
        <f>IFERROR(Tabela3[[#This Row],[Última revisão do bem]]+(VLOOKUP(Tabela3[[#This Row],[Categoria]],Cadastros!A:D,4,0)+365),"")</f>
        <v/>
      </c>
      <c r="O1530" s="7" t="str">
        <f ca="1">IF(Tabela3[[#This Row],[Data da compra]]&gt;0,(TODAY()-Tabela3[[#This Row],[Data da compra]])/365,"")</f>
        <v/>
      </c>
      <c r="P1530" s="7" t="str">
        <f>IFERROR(VLOOKUP(Tabela3[[#This Row],[Categoria]],Cadastros!A:C,3,0),"")</f>
        <v/>
      </c>
      <c r="Q1530" s="9" t="str">
        <f ca="1">IFERROR(Tabela3[[#This Row],[Vida útil]]-Tabela3[[#This Row],[Idade]],"")</f>
        <v/>
      </c>
      <c r="R1530" s="8" t="str">
        <f ca="1">IFERROR(Tabela3[[#This Row],[Valor]]-(Tabela3[[#This Row],[Valor]]*(Tabela3[[#This Row],[Idade]]*VLOOKUP(Tabela3[[#This Row],[Categoria]],Cadastros!A:B,2,0))),"")</f>
        <v/>
      </c>
    </row>
    <row r="1531" spans="4:18" x14ac:dyDescent="0.25">
      <c r="D1531" s="5"/>
      <c r="N1531" s="6" t="str">
        <f>IFERROR(Tabela3[[#This Row],[Última revisão do bem]]+(VLOOKUP(Tabela3[[#This Row],[Categoria]],Cadastros!A:D,4,0)+365),"")</f>
        <v/>
      </c>
      <c r="O1531" s="7" t="str">
        <f ca="1">IF(Tabela3[[#This Row],[Data da compra]]&gt;0,(TODAY()-Tabela3[[#This Row],[Data da compra]])/365,"")</f>
        <v/>
      </c>
      <c r="P1531" s="7" t="str">
        <f>IFERROR(VLOOKUP(Tabela3[[#This Row],[Categoria]],Cadastros!A:C,3,0),"")</f>
        <v/>
      </c>
      <c r="Q1531" s="9" t="str">
        <f ca="1">IFERROR(Tabela3[[#This Row],[Vida útil]]-Tabela3[[#This Row],[Idade]],"")</f>
        <v/>
      </c>
      <c r="R1531" s="8" t="str">
        <f ca="1">IFERROR(Tabela3[[#This Row],[Valor]]-(Tabela3[[#This Row],[Valor]]*(Tabela3[[#This Row],[Idade]]*VLOOKUP(Tabela3[[#This Row],[Categoria]],Cadastros!A:B,2,0))),"")</f>
        <v/>
      </c>
    </row>
    <row r="1532" spans="4:18" x14ac:dyDescent="0.25">
      <c r="D1532" s="5"/>
      <c r="N1532" s="6" t="str">
        <f>IFERROR(Tabela3[[#This Row],[Última revisão do bem]]+(VLOOKUP(Tabela3[[#This Row],[Categoria]],Cadastros!A:D,4,0)+365),"")</f>
        <v/>
      </c>
      <c r="O1532" s="7" t="str">
        <f ca="1">IF(Tabela3[[#This Row],[Data da compra]]&gt;0,(TODAY()-Tabela3[[#This Row],[Data da compra]])/365,"")</f>
        <v/>
      </c>
      <c r="P1532" s="7" t="str">
        <f>IFERROR(VLOOKUP(Tabela3[[#This Row],[Categoria]],Cadastros!A:C,3,0),"")</f>
        <v/>
      </c>
      <c r="Q1532" s="9" t="str">
        <f ca="1">IFERROR(Tabela3[[#This Row],[Vida útil]]-Tabela3[[#This Row],[Idade]],"")</f>
        <v/>
      </c>
      <c r="R1532" s="8" t="str">
        <f ca="1">IFERROR(Tabela3[[#This Row],[Valor]]-(Tabela3[[#This Row],[Valor]]*(Tabela3[[#This Row],[Idade]]*VLOOKUP(Tabela3[[#This Row],[Categoria]],Cadastros!A:B,2,0))),"")</f>
        <v/>
      </c>
    </row>
    <row r="1533" spans="4:18" x14ac:dyDescent="0.25">
      <c r="D1533" s="5"/>
      <c r="N1533" s="6" t="str">
        <f>IFERROR(Tabela3[[#This Row],[Última revisão do bem]]+(VLOOKUP(Tabela3[[#This Row],[Categoria]],Cadastros!A:D,4,0)+365),"")</f>
        <v/>
      </c>
      <c r="O1533" s="7" t="str">
        <f ca="1">IF(Tabela3[[#This Row],[Data da compra]]&gt;0,(TODAY()-Tabela3[[#This Row],[Data da compra]])/365,"")</f>
        <v/>
      </c>
      <c r="P1533" s="7" t="str">
        <f>IFERROR(VLOOKUP(Tabela3[[#This Row],[Categoria]],Cadastros!A:C,3,0),"")</f>
        <v/>
      </c>
      <c r="Q1533" s="9" t="str">
        <f ca="1">IFERROR(Tabela3[[#This Row],[Vida útil]]-Tabela3[[#This Row],[Idade]],"")</f>
        <v/>
      </c>
      <c r="R1533" s="8" t="str">
        <f ca="1">IFERROR(Tabela3[[#This Row],[Valor]]-(Tabela3[[#This Row],[Valor]]*(Tabela3[[#This Row],[Idade]]*VLOOKUP(Tabela3[[#This Row],[Categoria]],Cadastros!A:B,2,0))),"")</f>
        <v/>
      </c>
    </row>
    <row r="1534" spans="4:18" x14ac:dyDescent="0.25">
      <c r="D1534" s="5"/>
      <c r="N1534" s="6" t="str">
        <f>IFERROR(Tabela3[[#This Row],[Última revisão do bem]]+(VLOOKUP(Tabela3[[#This Row],[Categoria]],Cadastros!A:D,4,0)+365),"")</f>
        <v/>
      </c>
      <c r="O1534" s="7" t="str">
        <f ca="1">IF(Tabela3[[#This Row],[Data da compra]]&gt;0,(TODAY()-Tabela3[[#This Row],[Data da compra]])/365,"")</f>
        <v/>
      </c>
      <c r="P1534" s="7" t="str">
        <f>IFERROR(VLOOKUP(Tabela3[[#This Row],[Categoria]],Cadastros!A:C,3,0),"")</f>
        <v/>
      </c>
      <c r="Q1534" s="9" t="str">
        <f ca="1">IFERROR(Tabela3[[#This Row],[Vida útil]]-Tabela3[[#This Row],[Idade]],"")</f>
        <v/>
      </c>
      <c r="R1534" s="8" t="str">
        <f ca="1">IFERROR(Tabela3[[#This Row],[Valor]]-(Tabela3[[#This Row],[Valor]]*(Tabela3[[#This Row],[Idade]]*VLOOKUP(Tabela3[[#This Row],[Categoria]],Cadastros!A:B,2,0))),"")</f>
        <v/>
      </c>
    </row>
    <row r="1535" spans="4:18" x14ac:dyDescent="0.25">
      <c r="D1535" s="5"/>
      <c r="N1535" s="6" t="str">
        <f>IFERROR(Tabela3[[#This Row],[Última revisão do bem]]+(VLOOKUP(Tabela3[[#This Row],[Categoria]],Cadastros!A:D,4,0)+365),"")</f>
        <v/>
      </c>
      <c r="O1535" s="7" t="str">
        <f ca="1">IF(Tabela3[[#This Row],[Data da compra]]&gt;0,(TODAY()-Tabela3[[#This Row],[Data da compra]])/365,"")</f>
        <v/>
      </c>
      <c r="P1535" s="7" t="str">
        <f>IFERROR(VLOOKUP(Tabela3[[#This Row],[Categoria]],Cadastros!A:C,3,0),"")</f>
        <v/>
      </c>
      <c r="Q1535" s="9" t="str">
        <f ca="1">IFERROR(Tabela3[[#This Row],[Vida útil]]-Tabela3[[#This Row],[Idade]],"")</f>
        <v/>
      </c>
      <c r="R1535" s="8" t="str">
        <f ca="1">IFERROR(Tabela3[[#This Row],[Valor]]-(Tabela3[[#This Row],[Valor]]*(Tabela3[[#This Row],[Idade]]*VLOOKUP(Tabela3[[#This Row],[Categoria]],Cadastros!A:B,2,0))),"")</f>
        <v/>
      </c>
    </row>
    <row r="1536" spans="4:18" x14ac:dyDescent="0.25">
      <c r="D1536" s="22"/>
      <c r="N1536" s="6" t="str">
        <f>IFERROR(Tabela3[[#This Row],[Última revisão do bem]]+(VLOOKUP(Tabela3[[#This Row],[Categoria]],Cadastros!A:D,4,0)+365),"")</f>
        <v/>
      </c>
      <c r="O1536" s="7" t="str">
        <f ca="1">IF(Tabela3[[#This Row],[Data da compra]]&gt;0,(TODAY()-Tabela3[[#This Row],[Data da compra]])/365,"")</f>
        <v/>
      </c>
      <c r="P1536" s="7" t="str">
        <f>IFERROR(VLOOKUP(Tabela3[[#This Row],[Categoria]],Cadastros!A:C,3,0),"")</f>
        <v/>
      </c>
      <c r="Q1536" s="9" t="str">
        <f ca="1">IFERROR(Tabela3[[#This Row],[Vida útil]]-Tabela3[[#This Row],[Idade]],"")</f>
        <v/>
      </c>
      <c r="R1536" s="23" t="str">
        <f ca="1">IFERROR(Tabela3[[#This Row],[Valor]]-(Tabela3[[#This Row],[Valor]]*(Tabela3[[#This Row],[Idade]]*VLOOKUP(Tabela3[[#This Row],[Categoria]],Cadastros!A:B,2,0))),"")</f>
        <v/>
      </c>
    </row>
    <row r="1537" spans="4:18" x14ac:dyDescent="0.25">
      <c r="D1537" s="5"/>
      <c r="N1537" s="6" t="str">
        <f>IFERROR(Tabela3[[#This Row],[Última revisão do bem]]+(VLOOKUP(Tabela3[[#This Row],[Categoria]],Cadastros!A:D,4,0)+365),"")</f>
        <v/>
      </c>
      <c r="O1537" s="7" t="str">
        <f ca="1">IF(Tabela3[[#This Row],[Data da compra]]&gt;0,(TODAY()-Tabela3[[#This Row],[Data da compra]])/365,"")</f>
        <v/>
      </c>
      <c r="P1537" s="7" t="str">
        <f>IFERROR(VLOOKUP(Tabela3[[#This Row],[Categoria]],Cadastros!A:C,3,0),"")</f>
        <v/>
      </c>
      <c r="Q1537" s="9" t="str">
        <f ca="1">IFERROR(Tabela3[[#This Row],[Vida útil]]-Tabela3[[#This Row],[Idade]],"")</f>
        <v/>
      </c>
      <c r="R1537" s="8" t="str">
        <f ca="1">IFERROR(Tabela3[[#This Row],[Valor]]-(Tabela3[[#This Row],[Valor]]*(Tabela3[[#This Row],[Idade]]*VLOOKUP(Tabela3[[#This Row],[Categoria]],Cadastros!A:B,2,0))),"")</f>
        <v/>
      </c>
    </row>
    <row r="1538" spans="4:18" x14ac:dyDescent="0.25">
      <c r="D1538" s="5"/>
      <c r="N1538" s="6" t="str">
        <f>IFERROR(Tabela3[[#This Row],[Última revisão do bem]]+(VLOOKUP(Tabela3[[#This Row],[Categoria]],Cadastros!A:D,4,0)+365),"")</f>
        <v/>
      </c>
      <c r="O1538" s="7" t="str">
        <f ca="1">IF(Tabela3[[#This Row],[Data da compra]]&gt;0,(TODAY()-Tabela3[[#This Row],[Data da compra]])/365,"")</f>
        <v/>
      </c>
      <c r="P1538" s="7" t="str">
        <f>IFERROR(VLOOKUP(Tabela3[[#This Row],[Categoria]],Cadastros!A:C,3,0),"")</f>
        <v/>
      </c>
      <c r="Q1538" s="9" t="str">
        <f ca="1">IFERROR(Tabela3[[#This Row],[Vida útil]]-Tabela3[[#This Row],[Idade]],"")</f>
        <v/>
      </c>
      <c r="R1538" s="8" t="str">
        <f ca="1">IFERROR(Tabela3[[#This Row],[Valor]]-(Tabela3[[#This Row],[Valor]]*(Tabela3[[#This Row],[Idade]]*VLOOKUP(Tabela3[[#This Row],[Categoria]],Cadastros!A:B,2,0))),"")</f>
        <v/>
      </c>
    </row>
    <row r="1539" spans="4:18" x14ac:dyDescent="0.25">
      <c r="D1539" s="5"/>
      <c r="N1539" s="6" t="str">
        <f>IFERROR(Tabela3[[#This Row],[Última revisão do bem]]+(VLOOKUP(Tabela3[[#This Row],[Categoria]],Cadastros!A:D,4,0)+365),"")</f>
        <v/>
      </c>
      <c r="O1539" s="7" t="str">
        <f ca="1">IF(Tabela3[[#This Row],[Data da compra]]&gt;0,(TODAY()-Tabela3[[#This Row],[Data da compra]])/365,"")</f>
        <v/>
      </c>
      <c r="P1539" s="7" t="str">
        <f>IFERROR(VLOOKUP(Tabela3[[#This Row],[Categoria]],Cadastros!A:C,3,0),"")</f>
        <v/>
      </c>
      <c r="Q1539" s="9" t="str">
        <f ca="1">IFERROR(Tabela3[[#This Row],[Vida útil]]-Tabela3[[#This Row],[Idade]],"")</f>
        <v/>
      </c>
      <c r="R1539" s="8" t="str">
        <f ca="1">IFERROR(Tabela3[[#This Row],[Valor]]-(Tabela3[[#This Row],[Valor]]*(Tabela3[[#This Row],[Idade]]*VLOOKUP(Tabela3[[#This Row],[Categoria]],Cadastros!A:B,2,0))),"")</f>
        <v/>
      </c>
    </row>
    <row r="1540" spans="4:18" x14ac:dyDescent="0.25">
      <c r="D1540" s="5"/>
      <c r="N1540" s="6" t="str">
        <f>IFERROR(Tabela3[[#This Row],[Última revisão do bem]]+(VLOOKUP(Tabela3[[#This Row],[Categoria]],Cadastros!A:D,4,0)+365),"")</f>
        <v/>
      </c>
      <c r="O1540" s="7" t="str">
        <f ca="1">IF(Tabela3[[#This Row],[Data da compra]]&gt;0,(TODAY()-Tabela3[[#This Row],[Data da compra]])/365,"")</f>
        <v/>
      </c>
      <c r="P1540" s="7" t="str">
        <f>IFERROR(VLOOKUP(Tabela3[[#This Row],[Categoria]],Cadastros!A:C,3,0),"")</f>
        <v/>
      </c>
      <c r="Q1540" s="9" t="str">
        <f ca="1">IFERROR(Tabela3[[#This Row],[Vida útil]]-Tabela3[[#This Row],[Idade]],"")</f>
        <v/>
      </c>
      <c r="R1540" s="8" t="str">
        <f ca="1">IFERROR(Tabela3[[#This Row],[Valor]]-(Tabela3[[#This Row],[Valor]]*(Tabela3[[#This Row],[Idade]]*VLOOKUP(Tabela3[[#This Row],[Categoria]],Cadastros!A:B,2,0))),"")</f>
        <v/>
      </c>
    </row>
    <row r="1541" spans="4:18" x14ac:dyDescent="0.25">
      <c r="D1541" s="5"/>
      <c r="N1541" s="6" t="str">
        <f>IFERROR(Tabela3[[#This Row],[Última revisão do bem]]+(VLOOKUP(Tabela3[[#This Row],[Categoria]],Cadastros!A:D,4,0)+365),"")</f>
        <v/>
      </c>
      <c r="O1541" s="7" t="str">
        <f ca="1">IF(Tabela3[[#This Row],[Data da compra]]&gt;0,(TODAY()-Tabela3[[#This Row],[Data da compra]])/365,"")</f>
        <v/>
      </c>
      <c r="P1541" s="7" t="str">
        <f>IFERROR(VLOOKUP(Tabela3[[#This Row],[Categoria]],Cadastros!A:C,3,0),"")</f>
        <v/>
      </c>
      <c r="Q1541" s="9" t="str">
        <f ca="1">IFERROR(Tabela3[[#This Row],[Vida útil]]-Tabela3[[#This Row],[Idade]],"")</f>
        <v/>
      </c>
      <c r="R1541" s="8" t="str">
        <f ca="1">IFERROR(Tabela3[[#This Row],[Valor]]-(Tabela3[[#This Row],[Valor]]*(Tabela3[[#This Row],[Idade]]*VLOOKUP(Tabela3[[#This Row],[Categoria]],Cadastros!A:B,2,0))),"")</f>
        <v/>
      </c>
    </row>
    <row r="1542" spans="4:18" x14ac:dyDescent="0.25">
      <c r="D1542" s="5"/>
      <c r="N1542" s="6" t="str">
        <f>IFERROR(Tabela3[[#This Row],[Última revisão do bem]]+(VLOOKUP(Tabela3[[#This Row],[Categoria]],Cadastros!A:D,4,0)+365),"")</f>
        <v/>
      </c>
      <c r="O1542" s="7" t="str">
        <f ca="1">IF(Tabela3[[#This Row],[Data da compra]]&gt;0,(TODAY()-Tabela3[[#This Row],[Data da compra]])/365,"")</f>
        <v/>
      </c>
      <c r="P1542" s="7" t="str">
        <f>IFERROR(VLOOKUP(Tabela3[[#This Row],[Categoria]],Cadastros!A:C,3,0),"")</f>
        <v/>
      </c>
      <c r="Q1542" s="9" t="str">
        <f ca="1">IFERROR(Tabela3[[#This Row],[Vida útil]]-Tabela3[[#This Row],[Idade]],"")</f>
        <v/>
      </c>
      <c r="R1542" s="8" t="str">
        <f ca="1">IFERROR(Tabela3[[#This Row],[Valor]]-(Tabela3[[#This Row],[Valor]]*(Tabela3[[#This Row],[Idade]]*VLOOKUP(Tabela3[[#This Row],[Categoria]],Cadastros!A:B,2,0))),"")</f>
        <v/>
      </c>
    </row>
    <row r="1543" spans="4:18" x14ac:dyDescent="0.25">
      <c r="D1543" s="5"/>
      <c r="N1543" s="6" t="str">
        <f>IFERROR(Tabela3[[#This Row],[Última revisão do bem]]+(VLOOKUP(Tabela3[[#This Row],[Categoria]],Cadastros!A:D,4,0)+365),"")</f>
        <v/>
      </c>
      <c r="O1543" s="7" t="str">
        <f ca="1">IF(Tabela3[[#This Row],[Data da compra]]&gt;0,(TODAY()-Tabela3[[#This Row],[Data da compra]])/365,"")</f>
        <v/>
      </c>
      <c r="P1543" s="7" t="str">
        <f>IFERROR(VLOOKUP(Tabela3[[#This Row],[Categoria]],Cadastros!A:C,3,0),"")</f>
        <v/>
      </c>
      <c r="Q1543" s="9" t="str">
        <f ca="1">IFERROR(Tabela3[[#This Row],[Vida útil]]-Tabela3[[#This Row],[Idade]],"")</f>
        <v/>
      </c>
      <c r="R1543" s="8" t="str">
        <f ca="1">IFERROR(Tabela3[[#This Row],[Valor]]-(Tabela3[[#This Row],[Valor]]*(Tabela3[[#This Row],[Idade]]*VLOOKUP(Tabela3[[#This Row],[Categoria]],Cadastros!A:B,2,0))),"")</f>
        <v/>
      </c>
    </row>
    <row r="1544" spans="4:18" x14ac:dyDescent="0.25">
      <c r="D1544" s="5"/>
      <c r="N1544" s="6" t="str">
        <f>IFERROR(Tabela3[[#This Row],[Última revisão do bem]]+(VLOOKUP(Tabela3[[#This Row],[Categoria]],Cadastros!A:D,4,0)+365),"")</f>
        <v/>
      </c>
      <c r="O1544" s="7" t="str">
        <f ca="1">IF(Tabela3[[#This Row],[Data da compra]]&gt;0,(TODAY()-Tabela3[[#This Row],[Data da compra]])/365,"")</f>
        <v/>
      </c>
      <c r="P1544" s="7" t="str">
        <f>IFERROR(VLOOKUP(Tabela3[[#This Row],[Categoria]],Cadastros!A:C,3,0),"")</f>
        <v/>
      </c>
      <c r="Q1544" s="9" t="str">
        <f ca="1">IFERROR(Tabela3[[#This Row],[Vida útil]]-Tabela3[[#This Row],[Idade]],"")</f>
        <v/>
      </c>
      <c r="R1544" s="8" t="str">
        <f ca="1">IFERROR(Tabela3[[#This Row],[Valor]]-(Tabela3[[#This Row],[Valor]]*(Tabela3[[#This Row],[Idade]]*VLOOKUP(Tabela3[[#This Row],[Categoria]],Cadastros!A:B,2,0))),"")</f>
        <v/>
      </c>
    </row>
    <row r="1545" spans="4:18" x14ac:dyDescent="0.25">
      <c r="D1545" s="5"/>
      <c r="N1545" s="6" t="str">
        <f>IFERROR(Tabela3[[#This Row],[Última revisão do bem]]+(VLOOKUP(Tabela3[[#This Row],[Categoria]],Cadastros!A:D,4,0)+365),"")</f>
        <v/>
      </c>
      <c r="O1545" s="7" t="str">
        <f ca="1">IF(Tabela3[[#This Row],[Data da compra]]&gt;0,(TODAY()-Tabela3[[#This Row],[Data da compra]])/365,"")</f>
        <v/>
      </c>
      <c r="P1545" s="7" t="str">
        <f>IFERROR(VLOOKUP(Tabela3[[#This Row],[Categoria]],Cadastros!A:C,3,0),"")</f>
        <v/>
      </c>
      <c r="Q1545" s="9" t="str">
        <f ca="1">IFERROR(Tabela3[[#This Row],[Vida útil]]-Tabela3[[#This Row],[Idade]],"")</f>
        <v/>
      </c>
      <c r="R1545" s="8" t="str">
        <f ca="1">IFERROR(Tabela3[[#This Row],[Valor]]-(Tabela3[[#This Row],[Valor]]*(Tabela3[[#This Row],[Idade]]*VLOOKUP(Tabela3[[#This Row],[Categoria]],Cadastros!A:B,2,0))),"")</f>
        <v/>
      </c>
    </row>
    <row r="1546" spans="4:18" x14ac:dyDescent="0.25">
      <c r="D1546" s="5"/>
      <c r="N1546" s="6" t="str">
        <f>IFERROR(Tabela3[[#This Row],[Última revisão do bem]]+(VLOOKUP(Tabela3[[#This Row],[Categoria]],Cadastros!A:D,4,0)+365),"")</f>
        <v/>
      </c>
      <c r="O1546" s="7" t="str">
        <f ca="1">IF(Tabela3[[#This Row],[Data da compra]]&gt;0,(TODAY()-Tabela3[[#This Row],[Data da compra]])/365,"")</f>
        <v/>
      </c>
      <c r="P1546" s="7" t="str">
        <f>IFERROR(VLOOKUP(Tabela3[[#This Row],[Categoria]],Cadastros!A:C,3,0),"")</f>
        <v/>
      </c>
      <c r="Q1546" s="9" t="str">
        <f ca="1">IFERROR(Tabela3[[#This Row],[Vida útil]]-Tabela3[[#This Row],[Idade]],"")</f>
        <v/>
      </c>
      <c r="R1546" s="8" t="str">
        <f ca="1">IFERROR(Tabela3[[#This Row],[Valor]]-(Tabela3[[#This Row],[Valor]]*(Tabela3[[#This Row],[Idade]]*VLOOKUP(Tabela3[[#This Row],[Categoria]],Cadastros!A:B,2,0))),"")</f>
        <v/>
      </c>
    </row>
    <row r="1547" spans="4:18" x14ac:dyDescent="0.25">
      <c r="D1547" s="5"/>
      <c r="N1547" s="6" t="str">
        <f>IFERROR(Tabela3[[#This Row],[Última revisão do bem]]+(VLOOKUP(Tabela3[[#This Row],[Categoria]],Cadastros!A:D,4,0)+365),"")</f>
        <v/>
      </c>
      <c r="O1547" s="7" t="str">
        <f ca="1">IF(Tabela3[[#This Row],[Data da compra]]&gt;0,(TODAY()-Tabela3[[#This Row],[Data da compra]])/365,"")</f>
        <v/>
      </c>
      <c r="P1547" s="7" t="str">
        <f>IFERROR(VLOOKUP(Tabela3[[#This Row],[Categoria]],Cadastros!A:C,3,0),"")</f>
        <v/>
      </c>
      <c r="Q1547" s="9" t="str">
        <f ca="1">IFERROR(Tabela3[[#This Row],[Vida útil]]-Tabela3[[#This Row],[Idade]],"")</f>
        <v/>
      </c>
      <c r="R1547" s="8" t="str">
        <f ca="1">IFERROR(Tabela3[[#This Row],[Valor]]-(Tabela3[[#This Row],[Valor]]*(Tabela3[[#This Row],[Idade]]*VLOOKUP(Tabela3[[#This Row],[Categoria]],Cadastros!A:B,2,0))),"")</f>
        <v/>
      </c>
    </row>
    <row r="1548" spans="4:18" x14ac:dyDescent="0.25">
      <c r="D1548" s="5"/>
      <c r="N1548" s="6" t="str">
        <f>IFERROR(Tabela3[[#This Row],[Última revisão do bem]]+(VLOOKUP(Tabela3[[#This Row],[Categoria]],Cadastros!A:D,4,0)+365),"")</f>
        <v/>
      </c>
      <c r="O1548" s="7" t="str">
        <f ca="1">IF(Tabela3[[#This Row],[Data da compra]]&gt;0,(TODAY()-Tabela3[[#This Row],[Data da compra]])/365,"")</f>
        <v/>
      </c>
      <c r="P1548" s="7" t="str">
        <f>IFERROR(VLOOKUP(Tabela3[[#This Row],[Categoria]],Cadastros!A:C,3,0),"")</f>
        <v/>
      </c>
      <c r="Q1548" s="9" t="str">
        <f ca="1">IFERROR(Tabela3[[#This Row],[Vida útil]]-Tabela3[[#This Row],[Idade]],"")</f>
        <v/>
      </c>
      <c r="R1548" s="8" t="str">
        <f ca="1">IFERROR(Tabela3[[#This Row],[Valor]]-(Tabela3[[#This Row],[Valor]]*(Tabela3[[#This Row],[Idade]]*VLOOKUP(Tabela3[[#This Row],[Categoria]],Cadastros!A:B,2,0))),"")</f>
        <v/>
      </c>
    </row>
    <row r="1549" spans="4:18" x14ac:dyDescent="0.25">
      <c r="D1549" s="5"/>
      <c r="N1549" s="6" t="str">
        <f>IFERROR(Tabela3[[#This Row],[Última revisão do bem]]+(VLOOKUP(Tabela3[[#This Row],[Categoria]],Cadastros!A:D,4,0)+365),"")</f>
        <v/>
      </c>
      <c r="O1549" s="7" t="str">
        <f ca="1">IF(Tabela3[[#This Row],[Data da compra]]&gt;0,(TODAY()-Tabela3[[#This Row],[Data da compra]])/365,"")</f>
        <v/>
      </c>
      <c r="P1549" s="7" t="str">
        <f>IFERROR(VLOOKUP(Tabela3[[#This Row],[Categoria]],Cadastros!A:C,3,0),"")</f>
        <v/>
      </c>
      <c r="Q1549" s="9" t="str">
        <f ca="1">IFERROR(Tabela3[[#This Row],[Vida útil]]-Tabela3[[#This Row],[Idade]],"")</f>
        <v/>
      </c>
      <c r="R1549" s="8" t="str">
        <f ca="1">IFERROR(Tabela3[[#This Row],[Valor]]-(Tabela3[[#This Row],[Valor]]*(Tabela3[[#This Row],[Idade]]*VLOOKUP(Tabela3[[#This Row],[Categoria]],Cadastros!A:B,2,0))),"")</f>
        <v/>
      </c>
    </row>
    <row r="1550" spans="4:18" x14ac:dyDescent="0.25">
      <c r="D1550" s="5"/>
      <c r="N1550" s="6" t="str">
        <f>IFERROR(Tabela3[[#This Row],[Última revisão do bem]]+(VLOOKUP(Tabela3[[#This Row],[Categoria]],Cadastros!A:D,4,0)+365),"")</f>
        <v/>
      </c>
      <c r="O1550" s="7" t="str">
        <f ca="1">IF(Tabela3[[#This Row],[Data da compra]]&gt;0,(TODAY()-Tabela3[[#This Row],[Data da compra]])/365,"")</f>
        <v/>
      </c>
      <c r="P1550" s="7" t="str">
        <f>IFERROR(VLOOKUP(Tabela3[[#This Row],[Categoria]],Cadastros!A:C,3,0),"")</f>
        <v/>
      </c>
      <c r="Q1550" s="9" t="str">
        <f ca="1">IFERROR(Tabela3[[#This Row],[Vida útil]]-Tabela3[[#This Row],[Idade]],"")</f>
        <v/>
      </c>
      <c r="R1550" s="8" t="str">
        <f ca="1">IFERROR(Tabela3[[#This Row],[Valor]]-(Tabela3[[#This Row],[Valor]]*(Tabela3[[#This Row],[Idade]]*VLOOKUP(Tabela3[[#This Row],[Categoria]],Cadastros!A:B,2,0))),"")</f>
        <v/>
      </c>
    </row>
    <row r="1551" spans="4:18" x14ac:dyDescent="0.25">
      <c r="D1551" s="5"/>
      <c r="N1551" s="6" t="str">
        <f>IFERROR(Tabela3[[#This Row],[Última revisão do bem]]+(VLOOKUP(Tabela3[[#This Row],[Categoria]],Cadastros!A:D,4,0)+365),"")</f>
        <v/>
      </c>
      <c r="O1551" s="7" t="str">
        <f ca="1">IF(Tabela3[[#This Row],[Data da compra]]&gt;0,(TODAY()-Tabela3[[#This Row],[Data da compra]])/365,"")</f>
        <v/>
      </c>
      <c r="P1551" s="7" t="str">
        <f>IFERROR(VLOOKUP(Tabela3[[#This Row],[Categoria]],Cadastros!A:C,3,0),"")</f>
        <v/>
      </c>
      <c r="Q1551" s="9" t="str">
        <f ca="1">IFERROR(Tabela3[[#This Row],[Vida útil]]-Tabela3[[#This Row],[Idade]],"")</f>
        <v/>
      </c>
      <c r="R1551" s="8" t="str">
        <f ca="1">IFERROR(Tabela3[[#This Row],[Valor]]-(Tabela3[[#This Row],[Valor]]*(Tabela3[[#This Row],[Idade]]*VLOOKUP(Tabela3[[#This Row],[Categoria]],Cadastros!A:B,2,0))),"")</f>
        <v/>
      </c>
    </row>
    <row r="1552" spans="4:18" x14ac:dyDescent="0.25">
      <c r="D1552" s="5"/>
      <c r="N1552" s="6" t="str">
        <f>IFERROR(Tabela3[[#This Row],[Última revisão do bem]]+(VLOOKUP(Tabela3[[#This Row],[Categoria]],Cadastros!A:D,4,0)+365),"")</f>
        <v/>
      </c>
      <c r="O1552" s="7" t="str">
        <f ca="1">IF(Tabela3[[#This Row],[Data da compra]]&gt;0,(TODAY()-Tabela3[[#This Row],[Data da compra]])/365,"")</f>
        <v/>
      </c>
      <c r="P1552" s="7" t="str">
        <f>IFERROR(VLOOKUP(Tabela3[[#This Row],[Categoria]],Cadastros!A:C,3,0),"")</f>
        <v/>
      </c>
      <c r="Q1552" s="9" t="str">
        <f ca="1">IFERROR(Tabela3[[#This Row],[Vida útil]]-Tabela3[[#This Row],[Idade]],"")</f>
        <v/>
      </c>
      <c r="R1552" s="8" t="str">
        <f ca="1">IFERROR(Tabela3[[#This Row],[Valor]]-(Tabela3[[#This Row],[Valor]]*(Tabela3[[#This Row],[Idade]]*VLOOKUP(Tabela3[[#This Row],[Categoria]],Cadastros!A:B,2,0))),"")</f>
        <v/>
      </c>
    </row>
    <row r="1553" spans="4:18" x14ac:dyDescent="0.25">
      <c r="D1553" s="5"/>
      <c r="N1553" s="6" t="str">
        <f>IFERROR(Tabela3[[#This Row],[Última revisão do bem]]+(VLOOKUP(Tabela3[[#This Row],[Categoria]],Cadastros!A:D,4,0)+365),"")</f>
        <v/>
      </c>
      <c r="O1553" s="7" t="str">
        <f ca="1">IF(Tabela3[[#This Row],[Data da compra]]&gt;0,(TODAY()-Tabela3[[#This Row],[Data da compra]])/365,"")</f>
        <v/>
      </c>
      <c r="P1553" s="7" t="str">
        <f>IFERROR(VLOOKUP(Tabela3[[#This Row],[Categoria]],Cadastros!A:C,3,0),"")</f>
        <v/>
      </c>
      <c r="Q1553" s="9" t="str">
        <f ca="1">IFERROR(Tabela3[[#This Row],[Vida útil]]-Tabela3[[#This Row],[Idade]],"")</f>
        <v/>
      </c>
      <c r="R1553" s="8" t="str">
        <f ca="1">IFERROR(Tabela3[[#This Row],[Valor]]-(Tabela3[[#This Row],[Valor]]*(Tabela3[[#This Row],[Idade]]*VLOOKUP(Tabela3[[#This Row],[Categoria]],Cadastros!A:B,2,0))),"")</f>
        <v/>
      </c>
    </row>
    <row r="1554" spans="4:18" x14ac:dyDescent="0.25">
      <c r="D1554" s="22"/>
      <c r="N1554" s="6" t="str">
        <f>IFERROR(Tabela3[[#This Row],[Última revisão do bem]]+(VLOOKUP(Tabela3[[#This Row],[Categoria]],Cadastros!A:D,4,0)+365),"")</f>
        <v/>
      </c>
      <c r="O1554" s="7" t="str">
        <f ca="1">IF(Tabela3[[#This Row],[Data da compra]]&gt;0,(TODAY()-Tabela3[[#This Row],[Data da compra]])/365,"")</f>
        <v/>
      </c>
      <c r="P1554" s="7" t="str">
        <f>IFERROR(VLOOKUP(Tabela3[[#This Row],[Categoria]],Cadastros!A:C,3,0),"")</f>
        <v/>
      </c>
      <c r="Q1554" s="9" t="str">
        <f ca="1">IFERROR(Tabela3[[#This Row],[Vida útil]]-Tabela3[[#This Row],[Idade]],"")</f>
        <v/>
      </c>
      <c r="R1554" s="23" t="str">
        <f ca="1">IFERROR(Tabela3[[#This Row],[Valor]]-(Tabela3[[#This Row],[Valor]]*(Tabela3[[#This Row],[Idade]]*VLOOKUP(Tabela3[[#This Row],[Categoria]],Cadastros!A:B,2,0))),"")</f>
        <v/>
      </c>
    </row>
    <row r="1555" spans="4:18" x14ac:dyDescent="0.25">
      <c r="D1555" s="5"/>
      <c r="N1555" s="6" t="str">
        <f>IFERROR(Tabela3[[#This Row],[Última revisão do bem]]+(VLOOKUP(Tabela3[[#This Row],[Categoria]],Cadastros!A:D,4,0)+365),"")</f>
        <v/>
      </c>
      <c r="O1555" s="7" t="str">
        <f ca="1">IF(Tabela3[[#This Row],[Data da compra]]&gt;0,(TODAY()-Tabela3[[#This Row],[Data da compra]])/365,"")</f>
        <v/>
      </c>
      <c r="P1555" s="7" t="str">
        <f>IFERROR(VLOOKUP(Tabela3[[#This Row],[Categoria]],Cadastros!A:C,3,0),"")</f>
        <v/>
      </c>
      <c r="Q1555" s="9" t="str">
        <f ca="1">IFERROR(Tabela3[[#This Row],[Vida útil]]-Tabela3[[#This Row],[Idade]],"")</f>
        <v/>
      </c>
      <c r="R1555" s="8" t="str">
        <f ca="1">IFERROR(Tabela3[[#This Row],[Valor]]-(Tabela3[[#This Row],[Valor]]*(Tabela3[[#This Row],[Idade]]*VLOOKUP(Tabela3[[#This Row],[Categoria]],Cadastros!A:B,2,0))),"")</f>
        <v/>
      </c>
    </row>
    <row r="1556" spans="4:18" x14ac:dyDescent="0.25">
      <c r="D1556" s="5"/>
      <c r="N1556" s="6" t="str">
        <f>IFERROR(Tabela3[[#This Row],[Última revisão do bem]]+(VLOOKUP(Tabela3[[#This Row],[Categoria]],Cadastros!A:D,4,0)+365),"")</f>
        <v/>
      </c>
      <c r="O1556" s="7" t="str">
        <f ca="1">IF(Tabela3[[#This Row],[Data da compra]]&gt;0,(TODAY()-Tabela3[[#This Row],[Data da compra]])/365,"")</f>
        <v/>
      </c>
      <c r="P1556" s="7" t="str">
        <f>IFERROR(VLOOKUP(Tabela3[[#This Row],[Categoria]],Cadastros!A:C,3,0),"")</f>
        <v/>
      </c>
      <c r="Q1556" s="9" t="str">
        <f ca="1">IFERROR(Tabela3[[#This Row],[Vida útil]]-Tabela3[[#This Row],[Idade]],"")</f>
        <v/>
      </c>
      <c r="R1556" s="8" t="str">
        <f ca="1">IFERROR(Tabela3[[#This Row],[Valor]]-(Tabela3[[#This Row],[Valor]]*(Tabela3[[#This Row],[Idade]]*VLOOKUP(Tabela3[[#This Row],[Categoria]],Cadastros!A:B,2,0))),"")</f>
        <v/>
      </c>
    </row>
    <row r="1557" spans="4:18" x14ac:dyDescent="0.25">
      <c r="D1557" s="5"/>
      <c r="N1557" s="6" t="str">
        <f>IFERROR(Tabela3[[#This Row],[Última revisão do bem]]+(VLOOKUP(Tabela3[[#This Row],[Categoria]],Cadastros!A:D,4,0)+365),"")</f>
        <v/>
      </c>
      <c r="O1557" s="7" t="str">
        <f ca="1">IF(Tabela3[[#This Row],[Data da compra]]&gt;0,(TODAY()-Tabela3[[#This Row],[Data da compra]])/365,"")</f>
        <v/>
      </c>
      <c r="P1557" s="7" t="str">
        <f>IFERROR(VLOOKUP(Tabela3[[#This Row],[Categoria]],Cadastros!A:C,3,0),"")</f>
        <v/>
      </c>
      <c r="Q1557" s="9" t="str">
        <f ca="1">IFERROR(Tabela3[[#This Row],[Vida útil]]-Tabela3[[#This Row],[Idade]],"")</f>
        <v/>
      </c>
      <c r="R1557" s="8" t="str">
        <f ca="1">IFERROR(Tabela3[[#This Row],[Valor]]-(Tabela3[[#This Row],[Valor]]*(Tabela3[[#This Row],[Idade]]*VLOOKUP(Tabela3[[#This Row],[Categoria]],Cadastros!A:B,2,0))),"")</f>
        <v/>
      </c>
    </row>
    <row r="1558" spans="4:18" x14ac:dyDescent="0.25">
      <c r="D1558" s="5"/>
      <c r="N1558" s="6" t="str">
        <f>IFERROR(Tabela3[[#This Row],[Última revisão do bem]]+(VLOOKUP(Tabela3[[#This Row],[Categoria]],Cadastros!A:D,4,0)+365),"")</f>
        <v/>
      </c>
      <c r="O1558" s="7" t="str">
        <f ca="1">IF(Tabela3[[#This Row],[Data da compra]]&gt;0,(TODAY()-Tabela3[[#This Row],[Data da compra]])/365,"")</f>
        <v/>
      </c>
      <c r="P1558" s="7" t="str">
        <f>IFERROR(VLOOKUP(Tabela3[[#This Row],[Categoria]],Cadastros!A:C,3,0),"")</f>
        <v/>
      </c>
      <c r="Q1558" s="9" t="str">
        <f ca="1">IFERROR(Tabela3[[#This Row],[Vida útil]]-Tabela3[[#This Row],[Idade]],"")</f>
        <v/>
      </c>
      <c r="R1558" s="8" t="str">
        <f ca="1">IFERROR(Tabela3[[#This Row],[Valor]]-(Tabela3[[#This Row],[Valor]]*(Tabela3[[#This Row],[Idade]]*VLOOKUP(Tabela3[[#This Row],[Categoria]],Cadastros!A:B,2,0))),"")</f>
        <v/>
      </c>
    </row>
    <row r="1559" spans="4:18" x14ac:dyDescent="0.25">
      <c r="D1559" s="5"/>
      <c r="N1559" s="6" t="str">
        <f>IFERROR(Tabela3[[#This Row],[Última revisão do bem]]+(VLOOKUP(Tabela3[[#This Row],[Categoria]],Cadastros!A:D,4,0)+365),"")</f>
        <v/>
      </c>
      <c r="O1559" s="7" t="str">
        <f ca="1">IF(Tabela3[[#This Row],[Data da compra]]&gt;0,(TODAY()-Tabela3[[#This Row],[Data da compra]])/365,"")</f>
        <v/>
      </c>
      <c r="P1559" s="7" t="str">
        <f>IFERROR(VLOOKUP(Tabela3[[#This Row],[Categoria]],Cadastros!A:C,3,0),"")</f>
        <v/>
      </c>
      <c r="Q1559" s="9" t="str">
        <f ca="1">IFERROR(Tabela3[[#This Row],[Vida útil]]-Tabela3[[#This Row],[Idade]],"")</f>
        <v/>
      </c>
      <c r="R1559" s="8" t="str">
        <f ca="1">IFERROR(Tabela3[[#This Row],[Valor]]-(Tabela3[[#This Row],[Valor]]*(Tabela3[[#This Row],[Idade]]*VLOOKUP(Tabela3[[#This Row],[Categoria]],Cadastros!A:B,2,0))),"")</f>
        <v/>
      </c>
    </row>
    <row r="1560" spans="4:18" x14ac:dyDescent="0.25">
      <c r="D1560" s="5"/>
      <c r="N1560" s="6" t="str">
        <f>IFERROR(Tabela3[[#This Row],[Última revisão do bem]]+(VLOOKUP(Tabela3[[#This Row],[Categoria]],Cadastros!A:D,4,0)+365),"")</f>
        <v/>
      </c>
      <c r="O1560" s="7" t="str">
        <f ca="1">IF(Tabela3[[#This Row],[Data da compra]]&gt;0,(TODAY()-Tabela3[[#This Row],[Data da compra]])/365,"")</f>
        <v/>
      </c>
      <c r="P1560" s="7" t="str">
        <f>IFERROR(VLOOKUP(Tabela3[[#This Row],[Categoria]],Cadastros!A:C,3,0),"")</f>
        <v/>
      </c>
      <c r="Q1560" s="9" t="str">
        <f ca="1">IFERROR(Tabela3[[#This Row],[Vida útil]]-Tabela3[[#This Row],[Idade]],"")</f>
        <v/>
      </c>
      <c r="R1560" s="8" t="str">
        <f ca="1">IFERROR(Tabela3[[#This Row],[Valor]]-(Tabela3[[#This Row],[Valor]]*(Tabela3[[#This Row],[Idade]]*VLOOKUP(Tabela3[[#This Row],[Categoria]],Cadastros!A:B,2,0))),"")</f>
        <v/>
      </c>
    </row>
    <row r="1561" spans="4:18" x14ac:dyDescent="0.25">
      <c r="D1561" s="5"/>
      <c r="N1561" s="6" t="str">
        <f>IFERROR(Tabela3[[#This Row],[Última revisão do bem]]+(VLOOKUP(Tabela3[[#This Row],[Categoria]],Cadastros!A:D,4,0)+365),"")</f>
        <v/>
      </c>
      <c r="O1561" s="7" t="str">
        <f ca="1">IF(Tabela3[[#This Row],[Data da compra]]&gt;0,(TODAY()-Tabela3[[#This Row],[Data da compra]])/365,"")</f>
        <v/>
      </c>
      <c r="P1561" s="7" t="str">
        <f>IFERROR(VLOOKUP(Tabela3[[#This Row],[Categoria]],Cadastros!A:C,3,0),"")</f>
        <v/>
      </c>
      <c r="Q1561" s="9" t="str">
        <f ca="1">IFERROR(Tabela3[[#This Row],[Vida útil]]-Tabela3[[#This Row],[Idade]],"")</f>
        <v/>
      </c>
      <c r="R1561" s="8" t="str">
        <f ca="1">IFERROR(Tabela3[[#This Row],[Valor]]-(Tabela3[[#This Row],[Valor]]*(Tabela3[[#This Row],[Idade]]*VLOOKUP(Tabela3[[#This Row],[Categoria]],Cadastros!A:B,2,0))),"")</f>
        <v/>
      </c>
    </row>
    <row r="1562" spans="4:18" x14ac:dyDescent="0.25">
      <c r="D1562" s="5"/>
      <c r="N1562" s="6" t="str">
        <f>IFERROR(Tabela3[[#This Row],[Última revisão do bem]]+(VLOOKUP(Tabela3[[#This Row],[Categoria]],Cadastros!A:D,4,0)+365),"")</f>
        <v/>
      </c>
      <c r="O1562" s="7" t="str">
        <f ca="1">IF(Tabela3[[#This Row],[Data da compra]]&gt;0,(TODAY()-Tabela3[[#This Row],[Data da compra]])/365,"")</f>
        <v/>
      </c>
      <c r="P1562" s="7" t="str">
        <f>IFERROR(VLOOKUP(Tabela3[[#This Row],[Categoria]],Cadastros!A:C,3,0),"")</f>
        <v/>
      </c>
      <c r="Q1562" s="9" t="str">
        <f ca="1">IFERROR(Tabela3[[#This Row],[Vida útil]]-Tabela3[[#This Row],[Idade]],"")</f>
        <v/>
      </c>
      <c r="R1562" s="8" t="str">
        <f ca="1">IFERROR(Tabela3[[#This Row],[Valor]]-(Tabela3[[#This Row],[Valor]]*(Tabela3[[#This Row],[Idade]]*VLOOKUP(Tabela3[[#This Row],[Categoria]],Cadastros!A:B,2,0))),"")</f>
        <v/>
      </c>
    </row>
    <row r="1563" spans="4:18" x14ac:dyDescent="0.25">
      <c r="D1563" s="5"/>
      <c r="N1563" s="6" t="str">
        <f>IFERROR(Tabela3[[#This Row],[Última revisão do bem]]+(VLOOKUP(Tabela3[[#This Row],[Categoria]],Cadastros!A:D,4,0)+365),"")</f>
        <v/>
      </c>
      <c r="O1563" s="7" t="str">
        <f ca="1">IF(Tabela3[[#This Row],[Data da compra]]&gt;0,(TODAY()-Tabela3[[#This Row],[Data da compra]])/365,"")</f>
        <v/>
      </c>
      <c r="P1563" s="7" t="str">
        <f>IFERROR(VLOOKUP(Tabela3[[#This Row],[Categoria]],Cadastros!A:C,3,0),"")</f>
        <v/>
      </c>
      <c r="Q1563" s="9" t="str">
        <f ca="1">IFERROR(Tabela3[[#This Row],[Vida útil]]-Tabela3[[#This Row],[Idade]],"")</f>
        <v/>
      </c>
      <c r="R1563" s="8" t="str">
        <f ca="1">IFERROR(Tabela3[[#This Row],[Valor]]-(Tabela3[[#This Row],[Valor]]*(Tabela3[[#This Row],[Idade]]*VLOOKUP(Tabela3[[#This Row],[Categoria]],Cadastros!A:B,2,0))),"")</f>
        <v/>
      </c>
    </row>
    <row r="1564" spans="4:18" x14ac:dyDescent="0.25">
      <c r="D1564" s="5"/>
      <c r="N1564" s="6" t="str">
        <f>IFERROR(Tabela3[[#This Row],[Última revisão do bem]]+(VLOOKUP(Tabela3[[#This Row],[Categoria]],Cadastros!A:D,4,0)+365),"")</f>
        <v/>
      </c>
      <c r="O1564" s="7" t="str">
        <f ca="1">IF(Tabela3[[#This Row],[Data da compra]]&gt;0,(TODAY()-Tabela3[[#This Row],[Data da compra]])/365,"")</f>
        <v/>
      </c>
      <c r="P1564" s="7" t="str">
        <f>IFERROR(VLOOKUP(Tabela3[[#This Row],[Categoria]],Cadastros!A:C,3,0),"")</f>
        <v/>
      </c>
      <c r="Q1564" s="9" t="str">
        <f ca="1">IFERROR(Tabela3[[#This Row],[Vida útil]]-Tabela3[[#This Row],[Idade]],"")</f>
        <v/>
      </c>
      <c r="R1564" s="8" t="str">
        <f ca="1">IFERROR(Tabela3[[#This Row],[Valor]]-(Tabela3[[#This Row],[Valor]]*(Tabela3[[#This Row],[Idade]]*VLOOKUP(Tabela3[[#This Row],[Categoria]],Cadastros!A:B,2,0))),"")</f>
        <v/>
      </c>
    </row>
    <row r="1565" spans="4:18" x14ac:dyDescent="0.25">
      <c r="D1565" s="5"/>
      <c r="N1565" s="6" t="str">
        <f>IFERROR(Tabela3[[#This Row],[Última revisão do bem]]+(VLOOKUP(Tabela3[[#This Row],[Categoria]],Cadastros!A:D,4,0)+365),"")</f>
        <v/>
      </c>
      <c r="O1565" s="7" t="str">
        <f ca="1">IF(Tabela3[[#This Row],[Data da compra]]&gt;0,(TODAY()-Tabela3[[#This Row],[Data da compra]])/365,"")</f>
        <v/>
      </c>
      <c r="P1565" s="7" t="str">
        <f>IFERROR(VLOOKUP(Tabela3[[#This Row],[Categoria]],Cadastros!A:C,3,0),"")</f>
        <v/>
      </c>
      <c r="Q1565" s="9" t="str">
        <f ca="1">IFERROR(Tabela3[[#This Row],[Vida útil]]-Tabela3[[#This Row],[Idade]],"")</f>
        <v/>
      </c>
      <c r="R1565" s="8" t="str">
        <f ca="1">IFERROR(Tabela3[[#This Row],[Valor]]-(Tabela3[[#This Row],[Valor]]*(Tabela3[[#This Row],[Idade]]*VLOOKUP(Tabela3[[#This Row],[Categoria]],Cadastros!A:B,2,0))),"")</f>
        <v/>
      </c>
    </row>
    <row r="1566" spans="4:18" x14ac:dyDescent="0.25">
      <c r="D1566" s="5"/>
      <c r="N1566" s="6" t="str">
        <f>IFERROR(Tabela3[[#This Row],[Última revisão do bem]]+(VLOOKUP(Tabela3[[#This Row],[Categoria]],Cadastros!A:D,4,0)+365),"")</f>
        <v/>
      </c>
      <c r="O1566" s="7" t="str">
        <f ca="1">IF(Tabela3[[#This Row],[Data da compra]]&gt;0,(TODAY()-Tabela3[[#This Row],[Data da compra]])/365,"")</f>
        <v/>
      </c>
      <c r="P1566" s="7" t="str">
        <f>IFERROR(VLOOKUP(Tabela3[[#This Row],[Categoria]],Cadastros!A:C,3,0),"")</f>
        <v/>
      </c>
      <c r="Q1566" s="9" t="str">
        <f ca="1">IFERROR(Tabela3[[#This Row],[Vida útil]]-Tabela3[[#This Row],[Idade]],"")</f>
        <v/>
      </c>
      <c r="R1566" s="8" t="str">
        <f ca="1">IFERROR(Tabela3[[#This Row],[Valor]]-(Tabela3[[#This Row],[Valor]]*(Tabela3[[#This Row],[Idade]]*VLOOKUP(Tabela3[[#This Row],[Categoria]],Cadastros!A:B,2,0))),"")</f>
        <v/>
      </c>
    </row>
    <row r="1567" spans="4:18" x14ac:dyDescent="0.25">
      <c r="D1567" s="5"/>
      <c r="N1567" s="6" t="str">
        <f>IFERROR(Tabela3[[#This Row],[Última revisão do bem]]+(VLOOKUP(Tabela3[[#This Row],[Categoria]],Cadastros!A:D,4,0)+365),"")</f>
        <v/>
      </c>
      <c r="O1567" s="7" t="str">
        <f ca="1">IF(Tabela3[[#This Row],[Data da compra]]&gt;0,(TODAY()-Tabela3[[#This Row],[Data da compra]])/365,"")</f>
        <v/>
      </c>
      <c r="P1567" s="7" t="str">
        <f>IFERROR(VLOOKUP(Tabela3[[#This Row],[Categoria]],Cadastros!A:C,3,0),"")</f>
        <v/>
      </c>
      <c r="Q1567" s="9" t="str">
        <f ca="1">IFERROR(Tabela3[[#This Row],[Vida útil]]-Tabela3[[#This Row],[Idade]],"")</f>
        <v/>
      </c>
      <c r="R1567" s="8" t="str">
        <f ca="1">IFERROR(Tabela3[[#This Row],[Valor]]-(Tabela3[[#This Row],[Valor]]*(Tabela3[[#This Row],[Idade]]*VLOOKUP(Tabela3[[#This Row],[Categoria]],Cadastros!A:B,2,0))),"")</f>
        <v/>
      </c>
    </row>
    <row r="1568" spans="4:18" x14ac:dyDescent="0.25">
      <c r="D1568" s="5"/>
      <c r="N1568" s="6" t="str">
        <f>IFERROR(Tabela3[[#This Row],[Última revisão do bem]]+(VLOOKUP(Tabela3[[#This Row],[Categoria]],Cadastros!A:D,4,0)+365),"")</f>
        <v/>
      </c>
      <c r="O1568" s="7" t="str">
        <f ca="1">IF(Tabela3[[#This Row],[Data da compra]]&gt;0,(TODAY()-Tabela3[[#This Row],[Data da compra]])/365,"")</f>
        <v/>
      </c>
      <c r="P1568" s="7" t="str">
        <f>IFERROR(VLOOKUP(Tabela3[[#This Row],[Categoria]],Cadastros!A:C,3,0),"")</f>
        <v/>
      </c>
      <c r="Q1568" s="9" t="str">
        <f ca="1">IFERROR(Tabela3[[#This Row],[Vida útil]]-Tabela3[[#This Row],[Idade]],"")</f>
        <v/>
      </c>
      <c r="R1568" s="8" t="str">
        <f ca="1">IFERROR(Tabela3[[#This Row],[Valor]]-(Tabela3[[#This Row],[Valor]]*(Tabela3[[#This Row],[Idade]]*VLOOKUP(Tabela3[[#This Row],[Categoria]],Cadastros!A:B,2,0))),"")</f>
        <v/>
      </c>
    </row>
    <row r="1569" spans="4:18" x14ac:dyDescent="0.25">
      <c r="D1569" s="5"/>
      <c r="N1569" s="6" t="str">
        <f>IFERROR(Tabela3[[#This Row],[Última revisão do bem]]+(VLOOKUP(Tabela3[[#This Row],[Categoria]],Cadastros!A:D,4,0)+365),"")</f>
        <v/>
      </c>
      <c r="O1569" s="7" t="str">
        <f ca="1">IF(Tabela3[[#This Row],[Data da compra]]&gt;0,(TODAY()-Tabela3[[#This Row],[Data da compra]])/365,"")</f>
        <v/>
      </c>
      <c r="P1569" s="7" t="str">
        <f>IFERROR(VLOOKUP(Tabela3[[#This Row],[Categoria]],Cadastros!A:C,3,0),"")</f>
        <v/>
      </c>
      <c r="Q1569" s="9" t="str">
        <f ca="1">IFERROR(Tabela3[[#This Row],[Vida útil]]-Tabela3[[#This Row],[Idade]],"")</f>
        <v/>
      </c>
      <c r="R1569" s="8" t="str">
        <f ca="1">IFERROR(Tabela3[[#This Row],[Valor]]-(Tabela3[[#This Row],[Valor]]*(Tabela3[[#This Row],[Idade]]*VLOOKUP(Tabela3[[#This Row],[Categoria]],Cadastros!A:B,2,0))),"")</f>
        <v/>
      </c>
    </row>
    <row r="1570" spans="4:18" x14ac:dyDescent="0.25">
      <c r="D1570" s="5"/>
      <c r="N1570" s="6" t="str">
        <f>IFERROR(Tabela3[[#This Row],[Última revisão do bem]]+(VLOOKUP(Tabela3[[#This Row],[Categoria]],Cadastros!A:D,4,0)+365),"")</f>
        <v/>
      </c>
      <c r="O1570" s="7" t="str">
        <f ca="1">IF(Tabela3[[#This Row],[Data da compra]]&gt;0,(TODAY()-Tabela3[[#This Row],[Data da compra]])/365,"")</f>
        <v/>
      </c>
      <c r="P1570" s="7" t="str">
        <f>IFERROR(VLOOKUP(Tabela3[[#This Row],[Categoria]],Cadastros!A:C,3,0),"")</f>
        <v/>
      </c>
      <c r="Q1570" s="9" t="str">
        <f ca="1">IFERROR(Tabela3[[#This Row],[Vida útil]]-Tabela3[[#This Row],[Idade]],"")</f>
        <v/>
      </c>
      <c r="R1570" s="8" t="str">
        <f ca="1">IFERROR(Tabela3[[#This Row],[Valor]]-(Tabela3[[#This Row],[Valor]]*(Tabela3[[#This Row],[Idade]]*VLOOKUP(Tabela3[[#This Row],[Categoria]],Cadastros!A:B,2,0))),"")</f>
        <v/>
      </c>
    </row>
    <row r="1571" spans="4:18" x14ac:dyDescent="0.25">
      <c r="D1571" s="5"/>
      <c r="N1571" s="6" t="str">
        <f>IFERROR(Tabela3[[#This Row],[Última revisão do bem]]+(VLOOKUP(Tabela3[[#This Row],[Categoria]],Cadastros!A:D,4,0)+365),"")</f>
        <v/>
      </c>
      <c r="O1571" s="7" t="str">
        <f ca="1">IF(Tabela3[[#This Row],[Data da compra]]&gt;0,(TODAY()-Tabela3[[#This Row],[Data da compra]])/365,"")</f>
        <v/>
      </c>
      <c r="P1571" s="7" t="str">
        <f>IFERROR(VLOOKUP(Tabela3[[#This Row],[Categoria]],Cadastros!A:C,3,0),"")</f>
        <v/>
      </c>
      <c r="Q1571" s="9" t="str">
        <f ca="1">IFERROR(Tabela3[[#This Row],[Vida útil]]-Tabela3[[#This Row],[Idade]],"")</f>
        <v/>
      </c>
      <c r="R1571" s="8" t="str">
        <f ca="1">IFERROR(Tabela3[[#This Row],[Valor]]-(Tabela3[[#This Row],[Valor]]*(Tabela3[[#This Row],[Idade]]*VLOOKUP(Tabela3[[#This Row],[Categoria]],Cadastros!A:B,2,0))),"")</f>
        <v/>
      </c>
    </row>
    <row r="1572" spans="4:18" x14ac:dyDescent="0.25">
      <c r="D1572" s="22"/>
      <c r="N1572" s="6" t="str">
        <f>IFERROR(Tabela3[[#This Row],[Última revisão do bem]]+(VLOOKUP(Tabela3[[#This Row],[Categoria]],Cadastros!A:D,4,0)+365),"")</f>
        <v/>
      </c>
      <c r="O1572" s="7" t="str">
        <f ca="1">IF(Tabela3[[#This Row],[Data da compra]]&gt;0,(TODAY()-Tabela3[[#This Row],[Data da compra]])/365,"")</f>
        <v/>
      </c>
      <c r="P1572" s="7" t="str">
        <f>IFERROR(VLOOKUP(Tabela3[[#This Row],[Categoria]],Cadastros!A:C,3,0),"")</f>
        <v/>
      </c>
      <c r="Q1572" s="9" t="str">
        <f ca="1">IFERROR(Tabela3[[#This Row],[Vida útil]]-Tabela3[[#This Row],[Idade]],"")</f>
        <v/>
      </c>
      <c r="R1572" s="23" t="str">
        <f ca="1">IFERROR(Tabela3[[#This Row],[Valor]]-(Tabela3[[#This Row],[Valor]]*(Tabela3[[#This Row],[Idade]]*VLOOKUP(Tabela3[[#This Row],[Categoria]],Cadastros!A:B,2,0))),"")</f>
        <v/>
      </c>
    </row>
    <row r="1573" spans="4:18" x14ac:dyDescent="0.25">
      <c r="D1573" s="5"/>
      <c r="N1573" s="6" t="str">
        <f>IFERROR(Tabela3[[#This Row],[Última revisão do bem]]+(VLOOKUP(Tabela3[[#This Row],[Categoria]],Cadastros!A:D,4,0)+365),"")</f>
        <v/>
      </c>
      <c r="O1573" s="7" t="str">
        <f ca="1">IF(Tabela3[[#This Row],[Data da compra]]&gt;0,(TODAY()-Tabela3[[#This Row],[Data da compra]])/365,"")</f>
        <v/>
      </c>
      <c r="P1573" s="7" t="str">
        <f>IFERROR(VLOOKUP(Tabela3[[#This Row],[Categoria]],Cadastros!A:C,3,0),"")</f>
        <v/>
      </c>
      <c r="Q1573" s="9" t="str">
        <f ca="1">IFERROR(Tabela3[[#This Row],[Vida útil]]-Tabela3[[#This Row],[Idade]],"")</f>
        <v/>
      </c>
      <c r="R1573" s="8" t="str">
        <f ca="1">IFERROR(Tabela3[[#This Row],[Valor]]-(Tabela3[[#This Row],[Valor]]*(Tabela3[[#This Row],[Idade]]*VLOOKUP(Tabela3[[#This Row],[Categoria]],Cadastros!A:B,2,0))),"")</f>
        <v/>
      </c>
    </row>
    <row r="1574" spans="4:18" x14ac:dyDescent="0.25">
      <c r="D1574" s="5"/>
      <c r="N1574" s="6" t="str">
        <f>IFERROR(Tabela3[[#This Row],[Última revisão do bem]]+(VLOOKUP(Tabela3[[#This Row],[Categoria]],Cadastros!A:D,4,0)+365),"")</f>
        <v/>
      </c>
      <c r="O1574" s="7" t="str">
        <f ca="1">IF(Tabela3[[#This Row],[Data da compra]]&gt;0,(TODAY()-Tabela3[[#This Row],[Data da compra]])/365,"")</f>
        <v/>
      </c>
      <c r="P1574" s="7" t="str">
        <f>IFERROR(VLOOKUP(Tabela3[[#This Row],[Categoria]],Cadastros!A:C,3,0),"")</f>
        <v/>
      </c>
      <c r="Q1574" s="9" t="str">
        <f ca="1">IFERROR(Tabela3[[#This Row],[Vida útil]]-Tabela3[[#This Row],[Idade]],"")</f>
        <v/>
      </c>
      <c r="R1574" s="8" t="str">
        <f ca="1">IFERROR(Tabela3[[#This Row],[Valor]]-(Tabela3[[#This Row],[Valor]]*(Tabela3[[#This Row],[Idade]]*VLOOKUP(Tabela3[[#This Row],[Categoria]],Cadastros!A:B,2,0))),"")</f>
        <v/>
      </c>
    </row>
    <row r="1575" spans="4:18" x14ac:dyDescent="0.25">
      <c r="D1575" s="5"/>
      <c r="N1575" s="6" t="str">
        <f>IFERROR(Tabela3[[#This Row],[Última revisão do bem]]+(VLOOKUP(Tabela3[[#This Row],[Categoria]],Cadastros!A:D,4,0)+365),"")</f>
        <v/>
      </c>
      <c r="O1575" s="7" t="str">
        <f ca="1">IF(Tabela3[[#This Row],[Data da compra]]&gt;0,(TODAY()-Tabela3[[#This Row],[Data da compra]])/365,"")</f>
        <v/>
      </c>
      <c r="P1575" s="7" t="str">
        <f>IFERROR(VLOOKUP(Tabela3[[#This Row],[Categoria]],Cadastros!A:C,3,0),"")</f>
        <v/>
      </c>
      <c r="Q1575" s="9" t="str">
        <f ca="1">IFERROR(Tabela3[[#This Row],[Vida útil]]-Tabela3[[#This Row],[Idade]],"")</f>
        <v/>
      </c>
      <c r="R1575" s="8" t="str">
        <f ca="1">IFERROR(Tabela3[[#This Row],[Valor]]-(Tabela3[[#This Row],[Valor]]*(Tabela3[[#This Row],[Idade]]*VLOOKUP(Tabela3[[#This Row],[Categoria]],Cadastros!A:B,2,0))),"")</f>
        <v/>
      </c>
    </row>
    <row r="1576" spans="4:18" x14ac:dyDescent="0.25">
      <c r="D1576" s="5"/>
      <c r="N1576" s="6" t="str">
        <f>IFERROR(Tabela3[[#This Row],[Última revisão do bem]]+(VLOOKUP(Tabela3[[#This Row],[Categoria]],Cadastros!A:D,4,0)+365),"")</f>
        <v/>
      </c>
      <c r="O1576" s="7" t="str">
        <f ca="1">IF(Tabela3[[#This Row],[Data da compra]]&gt;0,(TODAY()-Tabela3[[#This Row],[Data da compra]])/365,"")</f>
        <v/>
      </c>
      <c r="P1576" s="7" t="str">
        <f>IFERROR(VLOOKUP(Tabela3[[#This Row],[Categoria]],Cadastros!A:C,3,0),"")</f>
        <v/>
      </c>
      <c r="Q1576" s="9" t="str">
        <f ca="1">IFERROR(Tabela3[[#This Row],[Vida útil]]-Tabela3[[#This Row],[Idade]],"")</f>
        <v/>
      </c>
      <c r="R1576" s="8" t="str">
        <f ca="1">IFERROR(Tabela3[[#This Row],[Valor]]-(Tabela3[[#This Row],[Valor]]*(Tabela3[[#This Row],[Idade]]*VLOOKUP(Tabela3[[#This Row],[Categoria]],Cadastros!A:B,2,0))),"")</f>
        <v/>
      </c>
    </row>
    <row r="1577" spans="4:18" x14ac:dyDescent="0.25">
      <c r="D1577" s="5"/>
      <c r="N1577" s="6" t="str">
        <f>IFERROR(Tabela3[[#This Row],[Última revisão do bem]]+(VLOOKUP(Tabela3[[#This Row],[Categoria]],Cadastros!A:D,4,0)+365),"")</f>
        <v/>
      </c>
      <c r="O1577" s="7" t="str">
        <f ca="1">IF(Tabela3[[#This Row],[Data da compra]]&gt;0,(TODAY()-Tabela3[[#This Row],[Data da compra]])/365,"")</f>
        <v/>
      </c>
      <c r="P1577" s="7" t="str">
        <f>IFERROR(VLOOKUP(Tabela3[[#This Row],[Categoria]],Cadastros!A:C,3,0),"")</f>
        <v/>
      </c>
      <c r="Q1577" s="9" t="str">
        <f ca="1">IFERROR(Tabela3[[#This Row],[Vida útil]]-Tabela3[[#This Row],[Idade]],"")</f>
        <v/>
      </c>
      <c r="R1577" s="8" t="str">
        <f ca="1">IFERROR(Tabela3[[#This Row],[Valor]]-(Tabela3[[#This Row],[Valor]]*(Tabela3[[#This Row],[Idade]]*VLOOKUP(Tabela3[[#This Row],[Categoria]],Cadastros!A:B,2,0))),"")</f>
        <v/>
      </c>
    </row>
    <row r="1578" spans="4:18" x14ac:dyDescent="0.25">
      <c r="D1578" s="5"/>
      <c r="N1578" s="6" t="str">
        <f>IFERROR(Tabela3[[#This Row],[Última revisão do bem]]+(VLOOKUP(Tabela3[[#This Row],[Categoria]],Cadastros!A:D,4,0)+365),"")</f>
        <v/>
      </c>
      <c r="O1578" s="7" t="str">
        <f ca="1">IF(Tabela3[[#This Row],[Data da compra]]&gt;0,(TODAY()-Tabela3[[#This Row],[Data da compra]])/365,"")</f>
        <v/>
      </c>
      <c r="P1578" s="7" t="str">
        <f>IFERROR(VLOOKUP(Tabela3[[#This Row],[Categoria]],Cadastros!A:C,3,0),"")</f>
        <v/>
      </c>
      <c r="Q1578" s="9" t="str">
        <f ca="1">IFERROR(Tabela3[[#This Row],[Vida útil]]-Tabela3[[#This Row],[Idade]],"")</f>
        <v/>
      </c>
      <c r="R1578" s="8" t="str">
        <f ca="1">IFERROR(Tabela3[[#This Row],[Valor]]-(Tabela3[[#This Row],[Valor]]*(Tabela3[[#This Row],[Idade]]*VLOOKUP(Tabela3[[#This Row],[Categoria]],Cadastros!A:B,2,0))),"")</f>
        <v/>
      </c>
    </row>
    <row r="1579" spans="4:18" x14ac:dyDescent="0.25">
      <c r="D1579" s="5"/>
      <c r="N1579" s="6" t="str">
        <f>IFERROR(Tabela3[[#This Row],[Última revisão do bem]]+(VLOOKUP(Tabela3[[#This Row],[Categoria]],Cadastros!A:D,4,0)+365),"")</f>
        <v/>
      </c>
      <c r="O1579" s="7" t="str">
        <f ca="1">IF(Tabela3[[#This Row],[Data da compra]]&gt;0,(TODAY()-Tabela3[[#This Row],[Data da compra]])/365,"")</f>
        <v/>
      </c>
      <c r="P1579" s="7" t="str">
        <f>IFERROR(VLOOKUP(Tabela3[[#This Row],[Categoria]],Cadastros!A:C,3,0),"")</f>
        <v/>
      </c>
      <c r="Q1579" s="9" t="str">
        <f ca="1">IFERROR(Tabela3[[#This Row],[Vida útil]]-Tabela3[[#This Row],[Idade]],"")</f>
        <v/>
      </c>
      <c r="R1579" s="8" t="str">
        <f ca="1">IFERROR(Tabela3[[#This Row],[Valor]]-(Tabela3[[#This Row],[Valor]]*(Tabela3[[#This Row],[Idade]]*VLOOKUP(Tabela3[[#This Row],[Categoria]],Cadastros!A:B,2,0))),"")</f>
        <v/>
      </c>
    </row>
    <row r="1580" spans="4:18" x14ac:dyDescent="0.25">
      <c r="D1580" s="5"/>
      <c r="N1580" s="6" t="str">
        <f>IFERROR(Tabela3[[#This Row],[Última revisão do bem]]+(VLOOKUP(Tabela3[[#This Row],[Categoria]],Cadastros!A:D,4,0)+365),"")</f>
        <v/>
      </c>
      <c r="O1580" s="7" t="str">
        <f ca="1">IF(Tabela3[[#This Row],[Data da compra]]&gt;0,(TODAY()-Tabela3[[#This Row],[Data da compra]])/365,"")</f>
        <v/>
      </c>
      <c r="P1580" s="7" t="str">
        <f>IFERROR(VLOOKUP(Tabela3[[#This Row],[Categoria]],Cadastros!A:C,3,0),"")</f>
        <v/>
      </c>
      <c r="Q1580" s="9" t="str">
        <f ca="1">IFERROR(Tabela3[[#This Row],[Vida útil]]-Tabela3[[#This Row],[Idade]],"")</f>
        <v/>
      </c>
      <c r="R1580" s="8" t="str">
        <f ca="1">IFERROR(Tabela3[[#This Row],[Valor]]-(Tabela3[[#This Row],[Valor]]*(Tabela3[[#This Row],[Idade]]*VLOOKUP(Tabela3[[#This Row],[Categoria]],Cadastros!A:B,2,0))),"")</f>
        <v/>
      </c>
    </row>
    <row r="1581" spans="4:18" x14ac:dyDescent="0.25">
      <c r="D1581" s="5"/>
      <c r="N1581" s="6" t="str">
        <f>IFERROR(Tabela3[[#This Row],[Última revisão do bem]]+(VLOOKUP(Tabela3[[#This Row],[Categoria]],Cadastros!A:D,4,0)+365),"")</f>
        <v/>
      </c>
      <c r="O1581" s="7" t="str">
        <f ca="1">IF(Tabela3[[#This Row],[Data da compra]]&gt;0,(TODAY()-Tabela3[[#This Row],[Data da compra]])/365,"")</f>
        <v/>
      </c>
      <c r="P1581" s="7" t="str">
        <f>IFERROR(VLOOKUP(Tabela3[[#This Row],[Categoria]],Cadastros!A:C,3,0),"")</f>
        <v/>
      </c>
      <c r="Q1581" s="9" t="str">
        <f ca="1">IFERROR(Tabela3[[#This Row],[Vida útil]]-Tabela3[[#This Row],[Idade]],"")</f>
        <v/>
      </c>
      <c r="R1581" s="8" t="str">
        <f ca="1">IFERROR(Tabela3[[#This Row],[Valor]]-(Tabela3[[#This Row],[Valor]]*(Tabela3[[#This Row],[Idade]]*VLOOKUP(Tabela3[[#This Row],[Categoria]],Cadastros!A:B,2,0))),"")</f>
        <v/>
      </c>
    </row>
    <row r="1582" spans="4:18" x14ac:dyDescent="0.25">
      <c r="D1582" s="5"/>
      <c r="N1582" s="6" t="str">
        <f>IFERROR(Tabela3[[#This Row],[Última revisão do bem]]+(VLOOKUP(Tabela3[[#This Row],[Categoria]],Cadastros!A:D,4,0)+365),"")</f>
        <v/>
      </c>
      <c r="O1582" s="7" t="str">
        <f ca="1">IF(Tabela3[[#This Row],[Data da compra]]&gt;0,(TODAY()-Tabela3[[#This Row],[Data da compra]])/365,"")</f>
        <v/>
      </c>
      <c r="P1582" s="7" t="str">
        <f>IFERROR(VLOOKUP(Tabela3[[#This Row],[Categoria]],Cadastros!A:C,3,0),"")</f>
        <v/>
      </c>
      <c r="Q1582" s="9" t="str">
        <f ca="1">IFERROR(Tabela3[[#This Row],[Vida útil]]-Tabela3[[#This Row],[Idade]],"")</f>
        <v/>
      </c>
      <c r="R1582" s="8" t="str">
        <f ca="1">IFERROR(Tabela3[[#This Row],[Valor]]-(Tabela3[[#This Row],[Valor]]*(Tabela3[[#This Row],[Idade]]*VLOOKUP(Tabela3[[#This Row],[Categoria]],Cadastros!A:B,2,0))),"")</f>
        <v/>
      </c>
    </row>
    <row r="1583" spans="4:18" x14ac:dyDescent="0.25">
      <c r="D1583" s="5"/>
      <c r="N1583" s="6" t="str">
        <f>IFERROR(Tabela3[[#This Row],[Última revisão do bem]]+(VLOOKUP(Tabela3[[#This Row],[Categoria]],Cadastros!A:D,4,0)+365),"")</f>
        <v/>
      </c>
      <c r="O1583" s="7" t="str">
        <f ca="1">IF(Tabela3[[#This Row],[Data da compra]]&gt;0,(TODAY()-Tabela3[[#This Row],[Data da compra]])/365,"")</f>
        <v/>
      </c>
      <c r="P1583" s="7" t="str">
        <f>IFERROR(VLOOKUP(Tabela3[[#This Row],[Categoria]],Cadastros!A:C,3,0),"")</f>
        <v/>
      </c>
      <c r="Q1583" s="9" t="str">
        <f ca="1">IFERROR(Tabela3[[#This Row],[Vida útil]]-Tabela3[[#This Row],[Idade]],"")</f>
        <v/>
      </c>
      <c r="R1583" s="8" t="str">
        <f ca="1">IFERROR(Tabela3[[#This Row],[Valor]]-(Tabela3[[#This Row],[Valor]]*(Tabela3[[#This Row],[Idade]]*VLOOKUP(Tabela3[[#This Row],[Categoria]],Cadastros!A:B,2,0))),"")</f>
        <v/>
      </c>
    </row>
    <row r="1584" spans="4:18" x14ac:dyDescent="0.25">
      <c r="D1584" s="5"/>
      <c r="N1584" s="6" t="str">
        <f>IFERROR(Tabela3[[#This Row],[Última revisão do bem]]+(VLOOKUP(Tabela3[[#This Row],[Categoria]],Cadastros!A:D,4,0)+365),"")</f>
        <v/>
      </c>
      <c r="O1584" s="7" t="str">
        <f ca="1">IF(Tabela3[[#This Row],[Data da compra]]&gt;0,(TODAY()-Tabela3[[#This Row],[Data da compra]])/365,"")</f>
        <v/>
      </c>
      <c r="P1584" s="7" t="str">
        <f>IFERROR(VLOOKUP(Tabela3[[#This Row],[Categoria]],Cadastros!A:C,3,0),"")</f>
        <v/>
      </c>
      <c r="Q1584" s="9" t="str">
        <f ca="1">IFERROR(Tabela3[[#This Row],[Vida útil]]-Tabela3[[#This Row],[Idade]],"")</f>
        <v/>
      </c>
      <c r="R1584" s="8" t="str">
        <f ca="1">IFERROR(Tabela3[[#This Row],[Valor]]-(Tabela3[[#This Row],[Valor]]*(Tabela3[[#This Row],[Idade]]*VLOOKUP(Tabela3[[#This Row],[Categoria]],Cadastros!A:B,2,0))),"")</f>
        <v/>
      </c>
    </row>
    <row r="1585" spans="4:18" x14ac:dyDescent="0.25">
      <c r="D1585" s="5"/>
      <c r="N1585" s="6" t="str">
        <f>IFERROR(Tabela3[[#This Row],[Última revisão do bem]]+(VLOOKUP(Tabela3[[#This Row],[Categoria]],Cadastros!A:D,4,0)+365),"")</f>
        <v/>
      </c>
      <c r="O1585" s="7" t="str">
        <f ca="1">IF(Tabela3[[#This Row],[Data da compra]]&gt;0,(TODAY()-Tabela3[[#This Row],[Data da compra]])/365,"")</f>
        <v/>
      </c>
      <c r="P1585" s="7" t="str">
        <f>IFERROR(VLOOKUP(Tabela3[[#This Row],[Categoria]],Cadastros!A:C,3,0),"")</f>
        <v/>
      </c>
      <c r="Q1585" s="9" t="str">
        <f ca="1">IFERROR(Tabela3[[#This Row],[Vida útil]]-Tabela3[[#This Row],[Idade]],"")</f>
        <v/>
      </c>
      <c r="R1585" s="8" t="str">
        <f ca="1">IFERROR(Tabela3[[#This Row],[Valor]]-(Tabela3[[#This Row],[Valor]]*(Tabela3[[#This Row],[Idade]]*VLOOKUP(Tabela3[[#This Row],[Categoria]],Cadastros!A:B,2,0))),"")</f>
        <v/>
      </c>
    </row>
    <row r="1586" spans="4:18" x14ac:dyDescent="0.25">
      <c r="D1586" s="5"/>
      <c r="N1586" s="6" t="str">
        <f>IFERROR(Tabela3[[#This Row],[Última revisão do bem]]+(VLOOKUP(Tabela3[[#This Row],[Categoria]],Cadastros!A:D,4,0)+365),"")</f>
        <v/>
      </c>
      <c r="O1586" s="7" t="str">
        <f ca="1">IF(Tabela3[[#This Row],[Data da compra]]&gt;0,(TODAY()-Tabela3[[#This Row],[Data da compra]])/365,"")</f>
        <v/>
      </c>
      <c r="P1586" s="7" t="str">
        <f>IFERROR(VLOOKUP(Tabela3[[#This Row],[Categoria]],Cadastros!A:C,3,0),"")</f>
        <v/>
      </c>
      <c r="Q1586" s="9" t="str">
        <f ca="1">IFERROR(Tabela3[[#This Row],[Vida útil]]-Tabela3[[#This Row],[Idade]],"")</f>
        <v/>
      </c>
      <c r="R1586" s="8" t="str">
        <f ca="1">IFERROR(Tabela3[[#This Row],[Valor]]-(Tabela3[[#This Row],[Valor]]*(Tabela3[[#This Row],[Idade]]*VLOOKUP(Tabela3[[#This Row],[Categoria]],Cadastros!A:B,2,0))),"")</f>
        <v/>
      </c>
    </row>
    <row r="1587" spans="4:18" x14ac:dyDescent="0.25">
      <c r="D1587" s="5"/>
      <c r="N1587" s="6" t="str">
        <f>IFERROR(Tabela3[[#This Row],[Última revisão do bem]]+(VLOOKUP(Tabela3[[#This Row],[Categoria]],Cadastros!A:D,4,0)+365),"")</f>
        <v/>
      </c>
      <c r="O1587" s="7" t="str">
        <f ca="1">IF(Tabela3[[#This Row],[Data da compra]]&gt;0,(TODAY()-Tabela3[[#This Row],[Data da compra]])/365,"")</f>
        <v/>
      </c>
      <c r="P1587" s="7" t="str">
        <f>IFERROR(VLOOKUP(Tabela3[[#This Row],[Categoria]],Cadastros!A:C,3,0),"")</f>
        <v/>
      </c>
      <c r="Q1587" s="9" t="str">
        <f ca="1">IFERROR(Tabela3[[#This Row],[Vida útil]]-Tabela3[[#This Row],[Idade]],"")</f>
        <v/>
      </c>
      <c r="R1587" s="8" t="str">
        <f ca="1">IFERROR(Tabela3[[#This Row],[Valor]]-(Tabela3[[#This Row],[Valor]]*(Tabela3[[#This Row],[Idade]]*VLOOKUP(Tabela3[[#This Row],[Categoria]],Cadastros!A:B,2,0))),"")</f>
        <v/>
      </c>
    </row>
    <row r="1588" spans="4:18" x14ac:dyDescent="0.25">
      <c r="D1588" s="5"/>
      <c r="N1588" s="6" t="str">
        <f>IFERROR(Tabela3[[#This Row],[Última revisão do bem]]+(VLOOKUP(Tabela3[[#This Row],[Categoria]],Cadastros!A:D,4,0)+365),"")</f>
        <v/>
      </c>
      <c r="O1588" s="7" t="str">
        <f ca="1">IF(Tabela3[[#This Row],[Data da compra]]&gt;0,(TODAY()-Tabela3[[#This Row],[Data da compra]])/365,"")</f>
        <v/>
      </c>
      <c r="P1588" s="7" t="str">
        <f>IFERROR(VLOOKUP(Tabela3[[#This Row],[Categoria]],Cadastros!A:C,3,0),"")</f>
        <v/>
      </c>
      <c r="Q1588" s="9" t="str">
        <f ca="1">IFERROR(Tabela3[[#This Row],[Vida útil]]-Tabela3[[#This Row],[Idade]],"")</f>
        <v/>
      </c>
      <c r="R1588" s="8" t="str">
        <f ca="1">IFERROR(Tabela3[[#This Row],[Valor]]-(Tabela3[[#This Row],[Valor]]*(Tabela3[[#This Row],[Idade]]*VLOOKUP(Tabela3[[#This Row],[Categoria]],Cadastros!A:B,2,0))),"")</f>
        <v/>
      </c>
    </row>
    <row r="1589" spans="4:18" x14ac:dyDescent="0.25">
      <c r="D1589" s="5"/>
      <c r="N1589" s="6" t="str">
        <f>IFERROR(Tabela3[[#This Row],[Última revisão do bem]]+(VLOOKUP(Tabela3[[#This Row],[Categoria]],Cadastros!A:D,4,0)+365),"")</f>
        <v/>
      </c>
      <c r="O1589" s="7" t="str">
        <f ca="1">IF(Tabela3[[#This Row],[Data da compra]]&gt;0,(TODAY()-Tabela3[[#This Row],[Data da compra]])/365,"")</f>
        <v/>
      </c>
      <c r="P1589" s="7" t="str">
        <f>IFERROR(VLOOKUP(Tabela3[[#This Row],[Categoria]],Cadastros!A:C,3,0),"")</f>
        <v/>
      </c>
      <c r="Q1589" s="9" t="str">
        <f ca="1">IFERROR(Tabela3[[#This Row],[Vida útil]]-Tabela3[[#This Row],[Idade]],"")</f>
        <v/>
      </c>
      <c r="R1589" s="8" t="str">
        <f ca="1">IFERROR(Tabela3[[#This Row],[Valor]]-(Tabela3[[#This Row],[Valor]]*(Tabela3[[#This Row],[Idade]]*VLOOKUP(Tabela3[[#This Row],[Categoria]],Cadastros!A:B,2,0))),"")</f>
        <v/>
      </c>
    </row>
    <row r="1590" spans="4:18" x14ac:dyDescent="0.25">
      <c r="D1590" s="5"/>
      <c r="N1590" s="6" t="str">
        <f>IFERROR(Tabela3[[#This Row],[Última revisão do bem]]+(VLOOKUP(Tabela3[[#This Row],[Categoria]],Cadastros!A:D,4,0)+365),"")</f>
        <v/>
      </c>
      <c r="O1590" s="7" t="str">
        <f ca="1">IF(Tabela3[[#This Row],[Data da compra]]&gt;0,(TODAY()-Tabela3[[#This Row],[Data da compra]])/365,"")</f>
        <v/>
      </c>
      <c r="P1590" s="7" t="str">
        <f>IFERROR(VLOOKUP(Tabela3[[#This Row],[Categoria]],Cadastros!A:C,3,0),"")</f>
        <v/>
      </c>
      <c r="Q1590" s="9" t="str">
        <f ca="1">IFERROR(Tabela3[[#This Row],[Vida útil]]-Tabela3[[#This Row],[Idade]],"")</f>
        <v/>
      </c>
      <c r="R1590" s="8" t="str">
        <f ca="1">IFERROR(Tabela3[[#This Row],[Valor]]-(Tabela3[[#This Row],[Valor]]*(Tabela3[[#This Row],[Idade]]*VLOOKUP(Tabela3[[#This Row],[Categoria]],Cadastros!A:B,2,0))),"")</f>
        <v/>
      </c>
    </row>
    <row r="1591" spans="4:18" x14ac:dyDescent="0.25">
      <c r="D1591" s="5"/>
      <c r="N1591" s="6" t="str">
        <f>IFERROR(Tabela3[[#This Row],[Última revisão do bem]]+(VLOOKUP(Tabela3[[#This Row],[Categoria]],Cadastros!A:D,4,0)+365),"")</f>
        <v/>
      </c>
      <c r="O1591" s="7" t="str">
        <f ca="1">IF(Tabela3[[#This Row],[Data da compra]]&gt;0,(TODAY()-Tabela3[[#This Row],[Data da compra]])/365,"")</f>
        <v/>
      </c>
      <c r="P1591" s="7" t="str">
        <f>IFERROR(VLOOKUP(Tabela3[[#This Row],[Categoria]],Cadastros!A:C,3,0),"")</f>
        <v/>
      </c>
      <c r="Q1591" s="9" t="str">
        <f ca="1">IFERROR(Tabela3[[#This Row],[Vida útil]]-Tabela3[[#This Row],[Idade]],"")</f>
        <v/>
      </c>
      <c r="R1591" s="8" t="str">
        <f ca="1">IFERROR(Tabela3[[#This Row],[Valor]]-(Tabela3[[#This Row],[Valor]]*(Tabela3[[#This Row],[Idade]]*VLOOKUP(Tabela3[[#This Row],[Categoria]],Cadastros!A:B,2,0))),"")</f>
        <v/>
      </c>
    </row>
    <row r="1592" spans="4:18" x14ac:dyDescent="0.25">
      <c r="D1592" s="5"/>
      <c r="N1592" s="6" t="str">
        <f>IFERROR(Tabela3[[#This Row],[Última revisão do bem]]+(VLOOKUP(Tabela3[[#This Row],[Categoria]],Cadastros!A:D,4,0)+365),"")</f>
        <v/>
      </c>
      <c r="O1592" s="7" t="str">
        <f ca="1">IF(Tabela3[[#This Row],[Data da compra]]&gt;0,(TODAY()-Tabela3[[#This Row],[Data da compra]])/365,"")</f>
        <v/>
      </c>
      <c r="P1592" s="7" t="str">
        <f>IFERROR(VLOOKUP(Tabela3[[#This Row],[Categoria]],Cadastros!A:C,3,0),"")</f>
        <v/>
      </c>
      <c r="Q1592" s="9" t="str">
        <f ca="1">IFERROR(Tabela3[[#This Row],[Vida útil]]-Tabela3[[#This Row],[Idade]],"")</f>
        <v/>
      </c>
      <c r="R1592" s="8" t="str">
        <f ca="1">IFERROR(Tabela3[[#This Row],[Valor]]-(Tabela3[[#This Row],[Valor]]*(Tabela3[[#This Row],[Idade]]*VLOOKUP(Tabela3[[#This Row],[Categoria]],Cadastros!A:B,2,0))),"")</f>
        <v/>
      </c>
    </row>
    <row r="1593" spans="4:18" x14ac:dyDescent="0.25">
      <c r="D1593" s="5"/>
      <c r="N1593" s="6" t="str">
        <f>IFERROR(Tabela3[[#This Row],[Última revisão do bem]]+(VLOOKUP(Tabela3[[#This Row],[Categoria]],Cadastros!A:D,4,0)+365),"")</f>
        <v/>
      </c>
      <c r="O1593" s="7" t="str">
        <f ca="1">IF(Tabela3[[#This Row],[Data da compra]]&gt;0,(TODAY()-Tabela3[[#This Row],[Data da compra]])/365,"")</f>
        <v/>
      </c>
      <c r="P1593" s="7" t="str">
        <f>IFERROR(VLOOKUP(Tabela3[[#This Row],[Categoria]],Cadastros!A:C,3,0),"")</f>
        <v/>
      </c>
      <c r="Q1593" s="9" t="str">
        <f ca="1">IFERROR(Tabela3[[#This Row],[Vida útil]]-Tabela3[[#This Row],[Idade]],"")</f>
        <v/>
      </c>
      <c r="R1593" s="8" t="str">
        <f ca="1">IFERROR(Tabela3[[#This Row],[Valor]]-(Tabela3[[#This Row],[Valor]]*(Tabela3[[#This Row],[Idade]]*VLOOKUP(Tabela3[[#This Row],[Categoria]],Cadastros!A:B,2,0))),"")</f>
        <v/>
      </c>
    </row>
    <row r="1594" spans="4:18" x14ac:dyDescent="0.25">
      <c r="D1594" s="5"/>
      <c r="N1594" s="6" t="str">
        <f>IFERROR(Tabela3[[#This Row],[Última revisão do bem]]+(VLOOKUP(Tabela3[[#This Row],[Categoria]],Cadastros!A:D,4,0)+365),"")</f>
        <v/>
      </c>
      <c r="O1594" s="7" t="str">
        <f ca="1">IF(Tabela3[[#This Row],[Data da compra]]&gt;0,(TODAY()-Tabela3[[#This Row],[Data da compra]])/365,"")</f>
        <v/>
      </c>
      <c r="P1594" s="7" t="str">
        <f>IFERROR(VLOOKUP(Tabela3[[#This Row],[Categoria]],Cadastros!A:C,3,0),"")</f>
        <v/>
      </c>
      <c r="Q1594" s="9" t="str">
        <f ca="1">IFERROR(Tabela3[[#This Row],[Vida útil]]-Tabela3[[#This Row],[Idade]],"")</f>
        <v/>
      </c>
      <c r="R1594" s="8" t="str">
        <f ca="1">IFERROR(Tabela3[[#This Row],[Valor]]-(Tabela3[[#This Row],[Valor]]*(Tabela3[[#This Row],[Idade]]*VLOOKUP(Tabela3[[#This Row],[Categoria]],Cadastros!A:B,2,0))),"")</f>
        <v/>
      </c>
    </row>
    <row r="1595" spans="4:18" x14ac:dyDescent="0.25">
      <c r="D1595" s="5"/>
      <c r="N1595" s="6" t="str">
        <f>IFERROR(Tabela3[[#This Row],[Última revisão do bem]]+(VLOOKUP(Tabela3[[#This Row],[Categoria]],Cadastros!A:D,4,0)+365),"")</f>
        <v/>
      </c>
      <c r="O1595" s="7" t="str">
        <f ca="1">IF(Tabela3[[#This Row],[Data da compra]]&gt;0,(TODAY()-Tabela3[[#This Row],[Data da compra]])/365,"")</f>
        <v/>
      </c>
      <c r="P1595" s="7" t="str">
        <f>IFERROR(VLOOKUP(Tabela3[[#This Row],[Categoria]],Cadastros!A:C,3,0),"")</f>
        <v/>
      </c>
      <c r="Q1595" s="9" t="str">
        <f ca="1">IFERROR(Tabela3[[#This Row],[Vida útil]]-Tabela3[[#This Row],[Idade]],"")</f>
        <v/>
      </c>
      <c r="R1595" s="8" t="str">
        <f ca="1">IFERROR(Tabela3[[#This Row],[Valor]]-(Tabela3[[#This Row],[Valor]]*(Tabela3[[#This Row],[Idade]]*VLOOKUP(Tabela3[[#This Row],[Categoria]],Cadastros!A:B,2,0))),"")</f>
        <v/>
      </c>
    </row>
    <row r="1596" spans="4:18" x14ac:dyDescent="0.25">
      <c r="D1596" s="5"/>
      <c r="N1596" s="6" t="str">
        <f>IFERROR(Tabela3[[#This Row],[Última revisão do bem]]+(VLOOKUP(Tabela3[[#This Row],[Categoria]],Cadastros!A:D,4,0)+365),"")</f>
        <v/>
      </c>
      <c r="O1596" s="7" t="str">
        <f ca="1">IF(Tabela3[[#This Row],[Data da compra]]&gt;0,(TODAY()-Tabela3[[#This Row],[Data da compra]])/365,"")</f>
        <v/>
      </c>
      <c r="P1596" s="7" t="str">
        <f>IFERROR(VLOOKUP(Tabela3[[#This Row],[Categoria]],Cadastros!A:C,3,0),"")</f>
        <v/>
      </c>
      <c r="Q1596" s="9" t="str">
        <f ca="1">IFERROR(Tabela3[[#This Row],[Vida útil]]-Tabela3[[#This Row],[Idade]],"")</f>
        <v/>
      </c>
      <c r="R1596" s="8" t="str">
        <f ca="1">IFERROR(Tabela3[[#This Row],[Valor]]-(Tabela3[[#This Row],[Valor]]*(Tabela3[[#This Row],[Idade]]*VLOOKUP(Tabela3[[#This Row],[Categoria]],Cadastros!A:B,2,0))),"")</f>
        <v/>
      </c>
    </row>
    <row r="1597" spans="4:18" x14ac:dyDescent="0.25">
      <c r="D1597" s="5"/>
      <c r="N1597" s="6" t="str">
        <f>IFERROR(Tabela3[[#This Row],[Última revisão do bem]]+(VLOOKUP(Tabela3[[#This Row],[Categoria]],Cadastros!A:D,4,0)+365),"")</f>
        <v/>
      </c>
      <c r="O1597" s="7" t="str">
        <f ca="1">IF(Tabela3[[#This Row],[Data da compra]]&gt;0,(TODAY()-Tabela3[[#This Row],[Data da compra]])/365,"")</f>
        <v/>
      </c>
      <c r="P1597" s="7" t="str">
        <f>IFERROR(VLOOKUP(Tabela3[[#This Row],[Categoria]],Cadastros!A:C,3,0),"")</f>
        <v/>
      </c>
      <c r="Q1597" s="9" t="str">
        <f ca="1">IFERROR(Tabela3[[#This Row],[Vida útil]]-Tabela3[[#This Row],[Idade]],"")</f>
        <v/>
      </c>
      <c r="R1597" s="8" t="str">
        <f ca="1">IFERROR(Tabela3[[#This Row],[Valor]]-(Tabela3[[#This Row],[Valor]]*(Tabela3[[#This Row],[Idade]]*VLOOKUP(Tabela3[[#This Row],[Categoria]],Cadastros!A:B,2,0))),"")</f>
        <v/>
      </c>
    </row>
    <row r="1598" spans="4:18" x14ac:dyDescent="0.25">
      <c r="D1598" s="5"/>
      <c r="N1598" s="6" t="str">
        <f>IFERROR(Tabela3[[#This Row],[Última revisão do bem]]+(VLOOKUP(Tabela3[[#This Row],[Categoria]],Cadastros!A:D,4,0)+365),"")</f>
        <v/>
      </c>
      <c r="O1598" s="7" t="str">
        <f ca="1">IF(Tabela3[[#This Row],[Data da compra]]&gt;0,(TODAY()-Tabela3[[#This Row],[Data da compra]])/365,"")</f>
        <v/>
      </c>
      <c r="P1598" s="7" t="str">
        <f>IFERROR(VLOOKUP(Tabela3[[#This Row],[Categoria]],Cadastros!A:C,3,0),"")</f>
        <v/>
      </c>
      <c r="Q1598" s="9" t="str">
        <f ca="1">IFERROR(Tabela3[[#This Row],[Vida útil]]-Tabela3[[#This Row],[Idade]],"")</f>
        <v/>
      </c>
      <c r="R1598" s="8" t="str">
        <f ca="1">IFERROR(Tabela3[[#This Row],[Valor]]-(Tabela3[[#This Row],[Valor]]*(Tabela3[[#This Row],[Idade]]*VLOOKUP(Tabela3[[#This Row],[Categoria]],Cadastros!A:B,2,0))),"")</f>
        <v/>
      </c>
    </row>
    <row r="1599" spans="4:18" x14ac:dyDescent="0.25">
      <c r="D1599" s="5"/>
      <c r="N1599" s="6" t="str">
        <f>IFERROR(Tabela3[[#This Row],[Última revisão do bem]]+(VLOOKUP(Tabela3[[#This Row],[Categoria]],Cadastros!A:D,4,0)+365),"")</f>
        <v/>
      </c>
      <c r="O1599" s="7" t="str">
        <f ca="1">IF(Tabela3[[#This Row],[Data da compra]]&gt;0,(TODAY()-Tabela3[[#This Row],[Data da compra]])/365,"")</f>
        <v/>
      </c>
      <c r="P1599" s="7" t="str">
        <f>IFERROR(VLOOKUP(Tabela3[[#This Row],[Categoria]],Cadastros!A:C,3,0),"")</f>
        <v/>
      </c>
      <c r="Q1599" s="9" t="str">
        <f ca="1">IFERROR(Tabela3[[#This Row],[Vida útil]]-Tabela3[[#This Row],[Idade]],"")</f>
        <v/>
      </c>
      <c r="R1599" s="8" t="str">
        <f ca="1">IFERROR(Tabela3[[#This Row],[Valor]]-(Tabela3[[#This Row],[Valor]]*(Tabela3[[#This Row],[Idade]]*VLOOKUP(Tabela3[[#This Row],[Categoria]],Cadastros!A:B,2,0))),"")</f>
        <v/>
      </c>
    </row>
    <row r="1600" spans="4:18" x14ac:dyDescent="0.25">
      <c r="D1600" s="5"/>
      <c r="N1600" s="6" t="str">
        <f>IFERROR(Tabela3[[#This Row],[Última revisão do bem]]+(VLOOKUP(Tabela3[[#This Row],[Categoria]],Cadastros!A:D,4,0)+365),"")</f>
        <v/>
      </c>
      <c r="O1600" s="7" t="str">
        <f ca="1">IF(Tabela3[[#This Row],[Data da compra]]&gt;0,(TODAY()-Tabela3[[#This Row],[Data da compra]])/365,"")</f>
        <v/>
      </c>
      <c r="P1600" s="7" t="str">
        <f>IFERROR(VLOOKUP(Tabela3[[#This Row],[Categoria]],Cadastros!A:C,3,0),"")</f>
        <v/>
      </c>
      <c r="Q1600" s="9" t="str">
        <f ca="1">IFERROR(Tabela3[[#This Row],[Vida útil]]-Tabela3[[#This Row],[Idade]],"")</f>
        <v/>
      </c>
      <c r="R1600" s="8" t="str">
        <f ca="1">IFERROR(Tabela3[[#This Row],[Valor]]-(Tabela3[[#This Row],[Valor]]*(Tabela3[[#This Row],[Idade]]*VLOOKUP(Tabela3[[#This Row],[Categoria]],Cadastros!A:B,2,0))),"")</f>
        <v/>
      </c>
    </row>
    <row r="1601" spans="4:18" x14ac:dyDescent="0.25">
      <c r="D1601" s="5"/>
      <c r="N1601" s="6" t="str">
        <f>IFERROR(Tabela3[[#This Row],[Última revisão do bem]]+(VLOOKUP(Tabela3[[#This Row],[Categoria]],Cadastros!A:D,4,0)+365),"")</f>
        <v/>
      </c>
      <c r="O1601" s="7" t="str">
        <f ca="1">IF(Tabela3[[#This Row],[Data da compra]]&gt;0,(TODAY()-Tabela3[[#This Row],[Data da compra]])/365,"")</f>
        <v/>
      </c>
      <c r="P1601" s="7" t="str">
        <f>IFERROR(VLOOKUP(Tabela3[[#This Row],[Categoria]],Cadastros!A:C,3,0),"")</f>
        <v/>
      </c>
      <c r="Q1601" s="9" t="str">
        <f ca="1">IFERROR(Tabela3[[#This Row],[Vida útil]]-Tabela3[[#This Row],[Idade]],"")</f>
        <v/>
      </c>
      <c r="R1601" s="8" t="str">
        <f ca="1">IFERROR(Tabela3[[#This Row],[Valor]]-(Tabela3[[#This Row],[Valor]]*(Tabela3[[#This Row],[Idade]]*VLOOKUP(Tabela3[[#This Row],[Categoria]],Cadastros!A:B,2,0))),"")</f>
        <v/>
      </c>
    </row>
    <row r="1602" spans="4:18" x14ac:dyDescent="0.25">
      <c r="D1602" s="5"/>
      <c r="N1602" s="6" t="str">
        <f>IFERROR(Tabela3[[#This Row],[Última revisão do bem]]+(VLOOKUP(Tabela3[[#This Row],[Categoria]],Cadastros!A:D,4,0)+365),"")</f>
        <v/>
      </c>
      <c r="O1602" s="7" t="str">
        <f ca="1">IF(Tabela3[[#This Row],[Data da compra]]&gt;0,(TODAY()-Tabela3[[#This Row],[Data da compra]])/365,"")</f>
        <v/>
      </c>
      <c r="P1602" s="7" t="str">
        <f>IFERROR(VLOOKUP(Tabela3[[#This Row],[Categoria]],Cadastros!A:C,3,0),"")</f>
        <v/>
      </c>
      <c r="Q1602" s="9" t="str">
        <f ca="1">IFERROR(Tabela3[[#This Row],[Vida útil]]-Tabela3[[#This Row],[Idade]],"")</f>
        <v/>
      </c>
      <c r="R1602" s="8" t="str">
        <f ca="1">IFERROR(Tabela3[[#This Row],[Valor]]-(Tabela3[[#This Row],[Valor]]*(Tabela3[[#This Row],[Idade]]*VLOOKUP(Tabela3[[#This Row],[Categoria]],Cadastros!A:B,2,0))),"")</f>
        <v/>
      </c>
    </row>
    <row r="1603" spans="4:18" x14ac:dyDescent="0.25">
      <c r="D1603" s="5"/>
      <c r="N1603" s="6" t="str">
        <f>IFERROR(Tabela3[[#This Row],[Última revisão do bem]]+(VLOOKUP(Tabela3[[#This Row],[Categoria]],Cadastros!A:D,4,0)+365),"")</f>
        <v/>
      </c>
      <c r="O1603" s="7" t="str">
        <f ca="1">IF(Tabela3[[#This Row],[Data da compra]]&gt;0,(TODAY()-Tabela3[[#This Row],[Data da compra]])/365,"")</f>
        <v/>
      </c>
      <c r="P1603" s="7" t="str">
        <f>IFERROR(VLOOKUP(Tabela3[[#This Row],[Categoria]],Cadastros!A:C,3,0),"")</f>
        <v/>
      </c>
      <c r="Q1603" s="9" t="str">
        <f ca="1">IFERROR(Tabela3[[#This Row],[Vida útil]]-Tabela3[[#This Row],[Idade]],"")</f>
        <v/>
      </c>
      <c r="R1603" s="8" t="str">
        <f ca="1">IFERROR(Tabela3[[#This Row],[Valor]]-(Tabela3[[#This Row],[Valor]]*(Tabela3[[#This Row],[Idade]]*VLOOKUP(Tabela3[[#This Row],[Categoria]],Cadastros!A:B,2,0))),"")</f>
        <v/>
      </c>
    </row>
    <row r="1604" spans="4:18" x14ac:dyDescent="0.25">
      <c r="D1604" s="5"/>
      <c r="N1604" s="6" t="str">
        <f>IFERROR(Tabela3[[#This Row],[Última revisão do bem]]+(VLOOKUP(Tabela3[[#This Row],[Categoria]],Cadastros!A:D,4,0)+365),"")</f>
        <v/>
      </c>
      <c r="O1604" s="7" t="str">
        <f ca="1">IF(Tabela3[[#This Row],[Data da compra]]&gt;0,(TODAY()-Tabela3[[#This Row],[Data da compra]])/365,"")</f>
        <v/>
      </c>
      <c r="P1604" s="7" t="str">
        <f>IFERROR(VLOOKUP(Tabela3[[#This Row],[Categoria]],Cadastros!A:C,3,0),"")</f>
        <v/>
      </c>
      <c r="Q1604" s="9" t="str">
        <f ca="1">IFERROR(Tabela3[[#This Row],[Vida útil]]-Tabela3[[#This Row],[Idade]],"")</f>
        <v/>
      </c>
      <c r="R1604" s="8" t="str">
        <f ca="1">IFERROR(Tabela3[[#This Row],[Valor]]-(Tabela3[[#This Row],[Valor]]*(Tabela3[[#This Row],[Idade]]*VLOOKUP(Tabela3[[#This Row],[Categoria]],Cadastros!A:B,2,0))),"")</f>
        <v/>
      </c>
    </row>
    <row r="1605" spans="4:18" x14ac:dyDescent="0.25">
      <c r="D1605" s="5"/>
      <c r="N1605" s="6" t="str">
        <f>IFERROR(Tabela3[[#This Row],[Última revisão do bem]]+(VLOOKUP(Tabela3[[#This Row],[Categoria]],Cadastros!A:D,4,0)+365),"")</f>
        <v/>
      </c>
      <c r="O1605" s="7" t="str">
        <f ca="1">IF(Tabela3[[#This Row],[Data da compra]]&gt;0,(TODAY()-Tabela3[[#This Row],[Data da compra]])/365,"")</f>
        <v/>
      </c>
      <c r="P1605" s="7" t="str">
        <f>IFERROR(VLOOKUP(Tabela3[[#This Row],[Categoria]],Cadastros!A:C,3,0),"")</f>
        <v/>
      </c>
      <c r="Q1605" s="9" t="str">
        <f ca="1">IFERROR(Tabela3[[#This Row],[Vida útil]]-Tabela3[[#This Row],[Idade]],"")</f>
        <v/>
      </c>
      <c r="R1605" s="8" t="str">
        <f ca="1">IFERROR(Tabela3[[#This Row],[Valor]]-(Tabela3[[#This Row],[Valor]]*(Tabela3[[#This Row],[Idade]]*VLOOKUP(Tabela3[[#This Row],[Categoria]],Cadastros!A:B,2,0))),"")</f>
        <v/>
      </c>
    </row>
    <row r="1606" spans="4:18" x14ac:dyDescent="0.25">
      <c r="D1606" s="5"/>
      <c r="N1606" s="6" t="str">
        <f>IFERROR(Tabela3[[#This Row],[Última revisão do bem]]+(VLOOKUP(Tabela3[[#This Row],[Categoria]],Cadastros!A:D,4,0)+365),"")</f>
        <v/>
      </c>
      <c r="O1606" s="7" t="str">
        <f ca="1">IF(Tabela3[[#This Row],[Data da compra]]&gt;0,(TODAY()-Tabela3[[#This Row],[Data da compra]])/365,"")</f>
        <v/>
      </c>
      <c r="P1606" s="7" t="str">
        <f>IFERROR(VLOOKUP(Tabela3[[#This Row],[Categoria]],Cadastros!A:C,3,0),"")</f>
        <v/>
      </c>
      <c r="Q1606" s="9" t="str">
        <f ca="1">IFERROR(Tabela3[[#This Row],[Vida útil]]-Tabela3[[#This Row],[Idade]],"")</f>
        <v/>
      </c>
      <c r="R1606" s="8" t="str">
        <f ca="1">IFERROR(Tabela3[[#This Row],[Valor]]-(Tabela3[[#This Row],[Valor]]*(Tabela3[[#This Row],[Idade]]*VLOOKUP(Tabela3[[#This Row],[Categoria]],Cadastros!A:B,2,0))),"")</f>
        <v/>
      </c>
    </row>
    <row r="1607" spans="4:18" x14ac:dyDescent="0.25">
      <c r="D1607" s="5"/>
      <c r="N1607" s="6" t="str">
        <f>IFERROR(Tabela3[[#This Row],[Última revisão do bem]]+(VLOOKUP(Tabela3[[#This Row],[Categoria]],Cadastros!A:D,4,0)+365),"")</f>
        <v/>
      </c>
      <c r="O1607" s="7" t="str">
        <f ca="1">IF(Tabela3[[#This Row],[Data da compra]]&gt;0,(TODAY()-Tabela3[[#This Row],[Data da compra]])/365,"")</f>
        <v/>
      </c>
      <c r="P1607" s="7" t="str">
        <f>IFERROR(VLOOKUP(Tabela3[[#This Row],[Categoria]],Cadastros!A:C,3,0),"")</f>
        <v/>
      </c>
      <c r="Q1607" s="9" t="str">
        <f ca="1">IFERROR(Tabela3[[#This Row],[Vida útil]]-Tabela3[[#This Row],[Idade]],"")</f>
        <v/>
      </c>
      <c r="R1607" s="8" t="str">
        <f ca="1">IFERROR(Tabela3[[#This Row],[Valor]]-(Tabela3[[#This Row],[Valor]]*(Tabela3[[#This Row],[Idade]]*VLOOKUP(Tabela3[[#This Row],[Categoria]],Cadastros!A:B,2,0))),"")</f>
        <v/>
      </c>
    </row>
    <row r="1608" spans="4:18" x14ac:dyDescent="0.25">
      <c r="D1608" s="5"/>
      <c r="N1608" s="6" t="str">
        <f>IFERROR(Tabela3[[#This Row],[Última revisão do bem]]+(VLOOKUP(Tabela3[[#This Row],[Categoria]],Cadastros!A:D,4,0)+365),"")</f>
        <v/>
      </c>
      <c r="O1608" s="7" t="str">
        <f ca="1">IF(Tabela3[[#This Row],[Data da compra]]&gt;0,(TODAY()-Tabela3[[#This Row],[Data da compra]])/365,"")</f>
        <v/>
      </c>
      <c r="P1608" s="7" t="str">
        <f>IFERROR(VLOOKUP(Tabela3[[#This Row],[Categoria]],Cadastros!A:C,3,0),"")</f>
        <v/>
      </c>
      <c r="Q1608" s="9" t="str">
        <f ca="1">IFERROR(Tabela3[[#This Row],[Vida útil]]-Tabela3[[#This Row],[Idade]],"")</f>
        <v/>
      </c>
      <c r="R1608" s="8" t="str">
        <f ca="1">IFERROR(Tabela3[[#This Row],[Valor]]-(Tabela3[[#This Row],[Valor]]*(Tabela3[[#This Row],[Idade]]*VLOOKUP(Tabela3[[#This Row],[Categoria]],Cadastros!A:B,2,0))),"")</f>
        <v/>
      </c>
    </row>
    <row r="1609" spans="4:18" x14ac:dyDescent="0.25">
      <c r="D1609" s="5"/>
      <c r="N1609" s="6" t="str">
        <f>IFERROR(Tabela3[[#This Row],[Última revisão do bem]]+(VLOOKUP(Tabela3[[#This Row],[Categoria]],Cadastros!A:D,4,0)+365),"")</f>
        <v/>
      </c>
      <c r="O1609" s="7" t="str">
        <f ca="1">IF(Tabela3[[#This Row],[Data da compra]]&gt;0,(TODAY()-Tabela3[[#This Row],[Data da compra]])/365,"")</f>
        <v/>
      </c>
      <c r="P1609" s="7" t="str">
        <f>IFERROR(VLOOKUP(Tabela3[[#This Row],[Categoria]],Cadastros!A:C,3,0),"")</f>
        <v/>
      </c>
      <c r="Q1609" s="9" t="str">
        <f ca="1">IFERROR(Tabela3[[#This Row],[Vida útil]]-Tabela3[[#This Row],[Idade]],"")</f>
        <v/>
      </c>
      <c r="R1609" s="8" t="str">
        <f ca="1">IFERROR(Tabela3[[#This Row],[Valor]]-(Tabela3[[#This Row],[Valor]]*(Tabela3[[#This Row],[Idade]]*VLOOKUP(Tabela3[[#This Row],[Categoria]],Cadastros!A:B,2,0))),"")</f>
        <v/>
      </c>
    </row>
    <row r="1610" spans="4:18" x14ac:dyDescent="0.25">
      <c r="D1610" s="5"/>
      <c r="N1610" s="6" t="str">
        <f>IFERROR(Tabela3[[#This Row],[Última revisão do bem]]+(VLOOKUP(Tabela3[[#This Row],[Categoria]],Cadastros!A:D,4,0)+365),"")</f>
        <v/>
      </c>
      <c r="O1610" s="7" t="str">
        <f ca="1">IF(Tabela3[[#This Row],[Data da compra]]&gt;0,(TODAY()-Tabela3[[#This Row],[Data da compra]])/365,"")</f>
        <v/>
      </c>
      <c r="P1610" s="7" t="str">
        <f>IFERROR(VLOOKUP(Tabela3[[#This Row],[Categoria]],Cadastros!A:C,3,0),"")</f>
        <v/>
      </c>
      <c r="Q1610" s="9" t="str">
        <f ca="1">IFERROR(Tabela3[[#This Row],[Vida útil]]-Tabela3[[#This Row],[Idade]],"")</f>
        <v/>
      </c>
      <c r="R1610" s="8" t="str">
        <f ca="1">IFERROR(Tabela3[[#This Row],[Valor]]-(Tabela3[[#This Row],[Valor]]*(Tabela3[[#This Row],[Idade]]*VLOOKUP(Tabela3[[#This Row],[Categoria]],Cadastros!A:B,2,0))),"")</f>
        <v/>
      </c>
    </row>
    <row r="1611" spans="4:18" x14ac:dyDescent="0.25">
      <c r="D1611" s="5"/>
      <c r="N1611" s="6" t="str">
        <f>IFERROR(Tabela3[[#This Row],[Última revisão do bem]]+(VLOOKUP(Tabela3[[#This Row],[Categoria]],Cadastros!A:D,4,0)+365),"")</f>
        <v/>
      </c>
      <c r="O1611" s="7" t="str">
        <f ca="1">IF(Tabela3[[#This Row],[Data da compra]]&gt;0,(TODAY()-Tabela3[[#This Row],[Data da compra]])/365,"")</f>
        <v/>
      </c>
      <c r="P1611" s="7" t="str">
        <f>IFERROR(VLOOKUP(Tabela3[[#This Row],[Categoria]],Cadastros!A:C,3,0),"")</f>
        <v/>
      </c>
      <c r="Q1611" s="9" t="str">
        <f ca="1">IFERROR(Tabela3[[#This Row],[Vida útil]]-Tabela3[[#This Row],[Idade]],"")</f>
        <v/>
      </c>
      <c r="R1611" s="8" t="str">
        <f ca="1">IFERROR(Tabela3[[#This Row],[Valor]]-(Tabela3[[#This Row],[Valor]]*(Tabela3[[#This Row],[Idade]]*VLOOKUP(Tabela3[[#This Row],[Categoria]],Cadastros!A:B,2,0))),"")</f>
        <v/>
      </c>
    </row>
    <row r="1612" spans="4:18" x14ac:dyDescent="0.25">
      <c r="D1612" s="5"/>
      <c r="N1612" s="6" t="str">
        <f>IFERROR(Tabela3[[#This Row],[Última revisão do bem]]+(VLOOKUP(Tabela3[[#This Row],[Categoria]],Cadastros!A:D,4,0)+365),"")</f>
        <v/>
      </c>
      <c r="O1612" s="7" t="str">
        <f ca="1">IF(Tabela3[[#This Row],[Data da compra]]&gt;0,(TODAY()-Tabela3[[#This Row],[Data da compra]])/365,"")</f>
        <v/>
      </c>
      <c r="P1612" s="7" t="str">
        <f>IFERROR(VLOOKUP(Tabela3[[#This Row],[Categoria]],Cadastros!A:C,3,0),"")</f>
        <v/>
      </c>
      <c r="Q1612" s="9" t="str">
        <f ca="1">IFERROR(Tabela3[[#This Row],[Vida útil]]-Tabela3[[#This Row],[Idade]],"")</f>
        <v/>
      </c>
      <c r="R1612" s="8" t="str">
        <f ca="1">IFERROR(Tabela3[[#This Row],[Valor]]-(Tabela3[[#This Row],[Valor]]*(Tabela3[[#This Row],[Idade]]*VLOOKUP(Tabela3[[#This Row],[Categoria]],Cadastros!A:B,2,0))),"")</f>
        <v/>
      </c>
    </row>
    <row r="1613" spans="4:18" x14ac:dyDescent="0.25">
      <c r="D1613" s="5"/>
      <c r="N1613" s="6" t="str">
        <f>IFERROR(Tabela3[[#This Row],[Última revisão do bem]]+(VLOOKUP(Tabela3[[#This Row],[Categoria]],Cadastros!A:D,4,0)+365),"")</f>
        <v/>
      </c>
      <c r="O1613" s="7" t="str">
        <f ca="1">IF(Tabela3[[#This Row],[Data da compra]]&gt;0,(TODAY()-Tabela3[[#This Row],[Data da compra]])/365,"")</f>
        <v/>
      </c>
      <c r="P1613" s="7" t="str">
        <f>IFERROR(VLOOKUP(Tabela3[[#This Row],[Categoria]],Cadastros!A:C,3,0),"")</f>
        <v/>
      </c>
      <c r="Q1613" s="9" t="str">
        <f ca="1">IFERROR(Tabela3[[#This Row],[Vida útil]]-Tabela3[[#This Row],[Idade]],"")</f>
        <v/>
      </c>
      <c r="R1613" s="8" t="str">
        <f ca="1">IFERROR(Tabela3[[#This Row],[Valor]]-(Tabela3[[#This Row],[Valor]]*(Tabela3[[#This Row],[Idade]]*VLOOKUP(Tabela3[[#This Row],[Categoria]],Cadastros!A:B,2,0))),"")</f>
        <v/>
      </c>
    </row>
    <row r="1614" spans="4:18" x14ac:dyDescent="0.25">
      <c r="D1614" s="5"/>
      <c r="N1614" s="6" t="str">
        <f>IFERROR(Tabela3[[#This Row],[Última revisão do bem]]+(VLOOKUP(Tabela3[[#This Row],[Categoria]],Cadastros!A:D,4,0)+365),"")</f>
        <v/>
      </c>
      <c r="O1614" s="7" t="str">
        <f ca="1">IF(Tabela3[[#This Row],[Data da compra]]&gt;0,(TODAY()-Tabela3[[#This Row],[Data da compra]])/365,"")</f>
        <v/>
      </c>
      <c r="P1614" s="7" t="str">
        <f>IFERROR(VLOOKUP(Tabela3[[#This Row],[Categoria]],Cadastros!A:C,3,0),"")</f>
        <v/>
      </c>
      <c r="Q1614" s="9" t="str">
        <f ca="1">IFERROR(Tabela3[[#This Row],[Vida útil]]-Tabela3[[#This Row],[Idade]],"")</f>
        <v/>
      </c>
      <c r="R1614" s="8" t="str">
        <f ca="1">IFERROR(Tabela3[[#This Row],[Valor]]-(Tabela3[[#This Row],[Valor]]*(Tabela3[[#This Row],[Idade]]*VLOOKUP(Tabela3[[#This Row],[Categoria]],Cadastros!A:B,2,0))),"")</f>
        <v/>
      </c>
    </row>
    <row r="1615" spans="4:18" x14ac:dyDescent="0.25">
      <c r="D1615" s="5"/>
      <c r="N1615" s="6" t="str">
        <f>IFERROR(Tabela3[[#This Row],[Última revisão do bem]]+(VLOOKUP(Tabela3[[#This Row],[Categoria]],Cadastros!A:D,4,0)+365),"")</f>
        <v/>
      </c>
      <c r="O1615" s="7" t="str">
        <f ca="1">IF(Tabela3[[#This Row],[Data da compra]]&gt;0,(TODAY()-Tabela3[[#This Row],[Data da compra]])/365,"")</f>
        <v/>
      </c>
      <c r="P1615" s="7" t="str">
        <f>IFERROR(VLOOKUP(Tabela3[[#This Row],[Categoria]],Cadastros!A:C,3,0),"")</f>
        <v/>
      </c>
      <c r="Q1615" s="9" t="str">
        <f ca="1">IFERROR(Tabela3[[#This Row],[Vida útil]]-Tabela3[[#This Row],[Idade]],"")</f>
        <v/>
      </c>
      <c r="R1615" s="8" t="str">
        <f ca="1">IFERROR(Tabela3[[#This Row],[Valor]]-(Tabela3[[#This Row],[Valor]]*(Tabela3[[#This Row],[Idade]]*VLOOKUP(Tabela3[[#This Row],[Categoria]],Cadastros!A:B,2,0))),"")</f>
        <v/>
      </c>
    </row>
    <row r="1616" spans="4:18" x14ac:dyDescent="0.25">
      <c r="D1616" s="5"/>
      <c r="N1616" s="6" t="str">
        <f>IFERROR(Tabela3[[#This Row],[Última revisão do bem]]+(VLOOKUP(Tabela3[[#This Row],[Categoria]],Cadastros!A:D,4,0)+365),"")</f>
        <v/>
      </c>
      <c r="O1616" s="7" t="str">
        <f ca="1">IF(Tabela3[[#This Row],[Data da compra]]&gt;0,(TODAY()-Tabela3[[#This Row],[Data da compra]])/365,"")</f>
        <v/>
      </c>
      <c r="P1616" s="7" t="str">
        <f>IFERROR(VLOOKUP(Tabela3[[#This Row],[Categoria]],Cadastros!A:C,3,0),"")</f>
        <v/>
      </c>
      <c r="Q1616" s="9" t="str">
        <f ca="1">IFERROR(Tabela3[[#This Row],[Vida útil]]-Tabela3[[#This Row],[Idade]],"")</f>
        <v/>
      </c>
      <c r="R1616" s="8" t="str">
        <f ca="1">IFERROR(Tabela3[[#This Row],[Valor]]-(Tabela3[[#This Row],[Valor]]*(Tabela3[[#This Row],[Idade]]*VLOOKUP(Tabela3[[#This Row],[Categoria]],Cadastros!A:B,2,0))),"")</f>
        <v/>
      </c>
    </row>
    <row r="1617" spans="4:18" x14ac:dyDescent="0.25">
      <c r="D1617" s="5"/>
      <c r="N1617" s="6" t="str">
        <f>IFERROR(Tabela3[[#This Row],[Última revisão do bem]]+(VLOOKUP(Tabela3[[#This Row],[Categoria]],Cadastros!A:D,4,0)+365),"")</f>
        <v/>
      </c>
      <c r="O1617" s="7" t="str">
        <f ca="1">IF(Tabela3[[#This Row],[Data da compra]]&gt;0,(TODAY()-Tabela3[[#This Row],[Data da compra]])/365,"")</f>
        <v/>
      </c>
      <c r="P1617" s="7" t="str">
        <f>IFERROR(VLOOKUP(Tabela3[[#This Row],[Categoria]],Cadastros!A:C,3,0),"")</f>
        <v/>
      </c>
      <c r="Q1617" s="9" t="str">
        <f ca="1">IFERROR(Tabela3[[#This Row],[Vida útil]]-Tabela3[[#This Row],[Idade]],"")</f>
        <v/>
      </c>
      <c r="R1617" s="8" t="str">
        <f ca="1">IFERROR(Tabela3[[#This Row],[Valor]]-(Tabela3[[#This Row],[Valor]]*(Tabela3[[#This Row],[Idade]]*VLOOKUP(Tabela3[[#This Row],[Categoria]],Cadastros!A:B,2,0))),"")</f>
        <v/>
      </c>
    </row>
    <row r="1618" spans="4:18" x14ac:dyDescent="0.25">
      <c r="D1618" s="5"/>
      <c r="N1618" s="6" t="str">
        <f>IFERROR(Tabela3[[#This Row],[Última revisão do bem]]+(VLOOKUP(Tabela3[[#This Row],[Categoria]],Cadastros!A:D,4,0)+365),"")</f>
        <v/>
      </c>
      <c r="O1618" s="7" t="str">
        <f ca="1">IF(Tabela3[[#This Row],[Data da compra]]&gt;0,(TODAY()-Tabela3[[#This Row],[Data da compra]])/365,"")</f>
        <v/>
      </c>
      <c r="P1618" s="7" t="str">
        <f>IFERROR(VLOOKUP(Tabela3[[#This Row],[Categoria]],Cadastros!A:C,3,0),"")</f>
        <v/>
      </c>
      <c r="Q1618" s="9" t="str">
        <f ca="1">IFERROR(Tabela3[[#This Row],[Vida útil]]-Tabela3[[#This Row],[Idade]],"")</f>
        <v/>
      </c>
      <c r="R1618" s="8" t="str">
        <f ca="1">IFERROR(Tabela3[[#This Row],[Valor]]-(Tabela3[[#This Row],[Valor]]*(Tabela3[[#This Row],[Idade]]*VLOOKUP(Tabela3[[#This Row],[Categoria]],Cadastros!A:B,2,0))),"")</f>
        <v/>
      </c>
    </row>
    <row r="1619" spans="4:18" x14ac:dyDescent="0.25">
      <c r="D1619" s="5"/>
      <c r="N1619" s="6" t="str">
        <f>IFERROR(Tabela3[[#This Row],[Última revisão do bem]]+(VLOOKUP(Tabela3[[#This Row],[Categoria]],Cadastros!A:D,4,0)+365),"")</f>
        <v/>
      </c>
      <c r="O1619" s="7" t="str">
        <f ca="1">IF(Tabela3[[#This Row],[Data da compra]]&gt;0,(TODAY()-Tabela3[[#This Row],[Data da compra]])/365,"")</f>
        <v/>
      </c>
      <c r="P1619" s="7" t="str">
        <f>IFERROR(VLOOKUP(Tabela3[[#This Row],[Categoria]],Cadastros!A:C,3,0),"")</f>
        <v/>
      </c>
      <c r="Q1619" s="9" t="str">
        <f ca="1">IFERROR(Tabela3[[#This Row],[Vida útil]]-Tabela3[[#This Row],[Idade]],"")</f>
        <v/>
      </c>
      <c r="R1619" s="8" t="str">
        <f ca="1">IFERROR(Tabela3[[#This Row],[Valor]]-(Tabela3[[#This Row],[Valor]]*(Tabela3[[#This Row],[Idade]]*VLOOKUP(Tabela3[[#This Row],[Categoria]],Cadastros!A:B,2,0))),"")</f>
        <v/>
      </c>
    </row>
    <row r="1620" spans="4:18" x14ac:dyDescent="0.25">
      <c r="D1620" s="5"/>
      <c r="N1620" s="6" t="str">
        <f>IFERROR(Tabela3[[#This Row],[Última revisão do bem]]+(VLOOKUP(Tabela3[[#This Row],[Categoria]],Cadastros!A:D,4,0)+365),"")</f>
        <v/>
      </c>
      <c r="O1620" s="7" t="str">
        <f ca="1">IF(Tabela3[[#This Row],[Data da compra]]&gt;0,(TODAY()-Tabela3[[#This Row],[Data da compra]])/365,"")</f>
        <v/>
      </c>
      <c r="P1620" s="7" t="str">
        <f>IFERROR(VLOOKUP(Tabela3[[#This Row],[Categoria]],Cadastros!A:C,3,0),"")</f>
        <v/>
      </c>
      <c r="Q1620" s="9" t="str">
        <f ca="1">IFERROR(Tabela3[[#This Row],[Vida útil]]-Tabela3[[#This Row],[Idade]],"")</f>
        <v/>
      </c>
      <c r="R1620" s="8" t="str">
        <f ca="1">IFERROR(Tabela3[[#This Row],[Valor]]-(Tabela3[[#This Row],[Valor]]*(Tabela3[[#This Row],[Idade]]*VLOOKUP(Tabela3[[#This Row],[Categoria]],Cadastros!A:B,2,0))),"")</f>
        <v/>
      </c>
    </row>
    <row r="1621" spans="4:18" x14ac:dyDescent="0.25">
      <c r="D1621" s="5"/>
      <c r="N1621" s="6" t="str">
        <f>IFERROR(Tabela3[[#This Row],[Última revisão do bem]]+(VLOOKUP(Tabela3[[#This Row],[Categoria]],Cadastros!A:D,4,0)+365),"")</f>
        <v/>
      </c>
      <c r="O1621" s="7" t="str">
        <f ca="1">IF(Tabela3[[#This Row],[Data da compra]]&gt;0,(TODAY()-Tabela3[[#This Row],[Data da compra]])/365,"")</f>
        <v/>
      </c>
      <c r="P1621" s="7" t="str">
        <f>IFERROR(VLOOKUP(Tabela3[[#This Row],[Categoria]],Cadastros!A:C,3,0),"")</f>
        <v/>
      </c>
      <c r="Q1621" s="9" t="str">
        <f ca="1">IFERROR(Tabela3[[#This Row],[Vida útil]]-Tabela3[[#This Row],[Idade]],"")</f>
        <v/>
      </c>
      <c r="R1621" s="8" t="str">
        <f ca="1">IFERROR(Tabela3[[#This Row],[Valor]]-(Tabela3[[#This Row],[Valor]]*(Tabela3[[#This Row],[Idade]]*VLOOKUP(Tabela3[[#This Row],[Categoria]],Cadastros!A:B,2,0))),"")</f>
        <v/>
      </c>
    </row>
    <row r="1622" spans="4:18" x14ac:dyDescent="0.25">
      <c r="D1622" s="5"/>
      <c r="N1622" s="6" t="str">
        <f>IFERROR(Tabela3[[#This Row],[Última revisão do bem]]+(VLOOKUP(Tabela3[[#This Row],[Categoria]],Cadastros!A:D,4,0)+365),"")</f>
        <v/>
      </c>
      <c r="O1622" s="7" t="str">
        <f ca="1">IF(Tabela3[[#This Row],[Data da compra]]&gt;0,(TODAY()-Tabela3[[#This Row],[Data da compra]])/365,"")</f>
        <v/>
      </c>
      <c r="P1622" s="7" t="str">
        <f>IFERROR(VLOOKUP(Tabela3[[#This Row],[Categoria]],Cadastros!A:C,3,0),"")</f>
        <v/>
      </c>
      <c r="Q1622" s="9" t="str">
        <f ca="1">IFERROR(Tabela3[[#This Row],[Vida útil]]-Tabela3[[#This Row],[Idade]],"")</f>
        <v/>
      </c>
      <c r="R1622" s="8" t="str">
        <f ca="1">IFERROR(Tabela3[[#This Row],[Valor]]-(Tabela3[[#This Row],[Valor]]*(Tabela3[[#This Row],[Idade]]*VLOOKUP(Tabela3[[#This Row],[Categoria]],Cadastros!A:B,2,0))),"")</f>
        <v/>
      </c>
    </row>
    <row r="1623" spans="4:18" x14ac:dyDescent="0.25">
      <c r="D1623" s="5"/>
      <c r="N1623" s="6" t="str">
        <f>IFERROR(Tabela3[[#This Row],[Última revisão do bem]]+(VLOOKUP(Tabela3[[#This Row],[Categoria]],Cadastros!A:D,4,0)+365),"")</f>
        <v/>
      </c>
      <c r="O1623" s="7" t="str">
        <f ca="1">IF(Tabela3[[#This Row],[Data da compra]]&gt;0,(TODAY()-Tabela3[[#This Row],[Data da compra]])/365,"")</f>
        <v/>
      </c>
      <c r="P1623" s="7" t="str">
        <f>IFERROR(VLOOKUP(Tabela3[[#This Row],[Categoria]],Cadastros!A:C,3,0),"")</f>
        <v/>
      </c>
      <c r="Q1623" s="9" t="str">
        <f ca="1">IFERROR(Tabela3[[#This Row],[Vida útil]]-Tabela3[[#This Row],[Idade]],"")</f>
        <v/>
      </c>
      <c r="R1623" s="8" t="str">
        <f ca="1">IFERROR(Tabela3[[#This Row],[Valor]]-(Tabela3[[#This Row],[Valor]]*(Tabela3[[#This Row],[Idade]]*VLOOKUP(Tabela3[[#This Row],[Categoria]],Cadastros!A:B,2,0))),"")</f>
        <v/>
      </c>
    </row>
    <row r="1624" spans="4:18" x14ac:dyDescent="0.25">
      <c r="D1624" s="5"/>
      <c r="N1624" s="6" t="str">
        <f>IFERROR(Tabela3[[#This Row],[Última revisão do bem]]+(VLOOKUP(Tabela3[[#This Row],[Categoria]],Cadastros!A:D,4,0)+365),"")</f>
        <v/>
      </c>
      <c r="O1624" s="7" t="str">
        <f ca="1">IF(Tabela3[[#This Row],[Data da compra]]&gt;0,(TODAY()-Tabela3[[#This Row],[Data da compra]])/365,"")</f>
        <v/>
      </c>
      <c r="P1624" s="7" t="str">
        <f>IFERROR(VLOOKUP(Tabela3[[#This Row],[Categoria]],Cadastros!A:C,3,0),"")</f>
        <v/>
      </c>
      <c r="Q1624" s="9" t="str">
        <f ca="1">IFERROR(Tabela3[[#This Row],[Vida útil]]-Tabela3[[#This Row],[Idade]],"")</f>
        <v/>
      </c>
      <c r="R1624" s="8" t="str">
        <f ca="1">IFERROR(Tabela3[[#This Row],[Valor]]-(Tabela3[[#This Row],[Valor]]*(Tabela3[[#This Row],[Idade]]*VLOOKUP(Tabela3[[#This Row],[Categoria]],Cadastros!A:B,2,0))),"")</f>
        <v/>
      </c>
    </row>
    <row r="1625" spans="4:18" x14ac:dyDescent="0.25">
      <c r="D1625" s="5"/>
      <c r="N1625" s="6" t="str">
        <f>IFERROR(Tabela3[[#This Row],[Última revisão do bem]]+(VLOOKUP(Tabela3[[#This Row],[Categoria]],Cadastros!A:D,4,0)+365),"")</f>
        <v/>
      </c>
      <c r="O1625" s="7" t="str">
        <f ca="1">IF(Tabela3[[#This Row],[Data da compra]]&gt;0,(TODAY()-Tabela3[[#This Row],[Data da compra]])/365,"")</f>
        <v/>
      </c>
      <c r="P1625" s="7" t="str">
        <f>IFERROR(VLOOKUP(Tabela3[[#This Row],[Categoria]],Cadastros!A:C,3,0),"")</f>
        <v/>
      </c>
      <c r="Q1625" s="9" t="str">
        <f ca="1">IFERROR(Tabela3[[#This Row],[Vida útil]]-Tabela3[[#This Row],[Idade]],"")</f>
        <v/>
      </c>
      <c r="R1625" s="8" t="str">
        <f ca="1">IFERROR(Tabela3[[#This Row],[Valor]]-(Tabela3[[#This Row],[Valor]]*(Tabela3[[#This Row],[Idade]]*VLOOKUP(Tabela3[[#This Row],[Categoria]],Cadastros!A:B,2,0))),"")</f>
        <v/>
      </c>
    </row>
    <row r="1626" spans="4:18" x14ac:dyDescent="0.25">
      <c r="D1626" s="22"/>
      <c r="N1626" s="6" t="str">
        <f>IFERROR(Tabela3[[#This Row],[Última revisão do bem]]+(VLOOKUP(Tabela3[[#This Row],[Categoria]],Cadastros!A:D,4,0)+365),"")</f>
        <v/>
      </c>
      <c r="O1626" s="7" t="str">
        <f ca="1">IF(Tabela3[[#This Row],[Data da compra]]&gt;0,(TODAY()-Tabela3[[#This Row],[Data da compra]])/365,"")</f>
        <v/>
      </c>
      <c r="P1626" s="7" t="str">
        <f>IFERROR(VLOOKUP(Tabela3[[#This Row],[Categoria]],Cadastros!A:C,3,0),"")</f>
        <v/>
      </c>
      <c r="Q1626" s="9" t="str">
        <f ca="1">IFERROR(Tabela3[[#This Row],[Vida útil]]-Tabela3[[#This Row],[Idade]],"")</f>
        <v/>
      </c>
      <c r="R1626" s="23" t="str">
        <f ca="1">IFERROR(Tabela3[[#This Row],[Valor]]-(Tabela3[[#This Row],[Valor]]*(Tabela3[[#This Row],[Idade]]*VLOOKUP(Tabela3[[#This Row],[Categoria]],Cadastros!A:B,2,0))),"")</f>
        <v/>
      </c>
    </row>
    <row r="1627" spans="4:18" x14ac:dyDescent="0.25">
      <c r="D1627" s="5"/>
      <c r="N1627" s="6" t="str">
        <f>IFERROR(Tabela3[[#This Row],[Última revisão do bem]]+(VLOOKUP(Tabela3[[#This Row],[Categoria]],Cadastros!A:D,4,0)+365),"")</f>
        <v/>
      </c>
      <c r="O1627" s="7" t="str">
        <f ca="1">IF(Tabela3[[#This Row],[Data da compra]]&gt;0,(TODAY()-Tabela3[[#This Row],[Data da compra]])/365,"")</f>
        <v/>
      </c>
      <c r="P1627" s="7" t="str">
        <f>IFERROR(VLOOKUP(Tabela3[[#This Row],[Categoria]],Cadastros!A:C,3,0),"")</f>
        <v/>
      </c>
      <c r="Q1627" s="9" t="str">
        <f ca="1">IFERROR(Tabela3[[#This Row],[Vida útil]]-Tabela3[[#This Row],[Idade]],"")</f>
        <v/>
      </c>
      <c r="R1627" s="8" t="str">
        <f ca="1">IFERROR(Tabela3[[#This Row],[Valor]]-(Tabela3[[#This Row],[Valor]]*(Tabela3[[#This Row],[Idade]]*VLOOKUP(Tabela3[[#This Row],[Categoria]],Cadastros!A:B,2,0))),"")</f>
        <v/>
      </c>
    </row>
    <row r="1628" spans="4:18" x14ac:dyDescent="0.25">
      <c r="D1628" s="5"/>
      <c r="N1628" s="6" t="str">
        <f>IFERROR(Tabela3[[#This Row],[Última revisão do bem]]+(VLOOKUP(Tabela3[[#This Row],[Categoria]],Cadastros!A:D,4,0)+365),"")</f>
        <v/>
      </c>
      <c r="O1628" s="7" t="str">
        <f ca="1">IF(Tabela3[[#This Row],[Data da compra]]&gt;0,(TODAY()-Tabela3[[#This Row],[Data da compra]])/365,"")</f>
        <v/>
      </c>
      <c r="P1628" s="7" t="str">
        <f>IFERROR(VLOOKUP(Tabela3[[#This Row],[Categoria]],Cadastros!A:C,3,0),"")</f>
        <v/>
      </c>
      <c r="Q1628" s="9" t="str">
        <f ca="1">IFERROR(Tabela3[[#This Row],[Vida útil]]-Tabela3[[#This Row],[Idade]],"")</f>
        <v/>
      </c>
      <c r="R1628" s="8" t="str">
        <f ca="1">IFERROR(Tabela3[[#This Row],[Valor]]-(Tabela3[[#This Row],[Valor]]*(Tabela3[[#This Row],[Idade]]*VLOOKUP(Tabela3[[#This Row],[Categoria]],Cadastros!A:B,2,0))),"")</f>
        <v/>
      </c>
    </row>
    <row r="1629" spans="4:18" x14ac:dyDescent="0.25">
      <c r="D1629" s="5"/>
      <c r="N1629" s="6" t="str">
        <f>IFERROR(Tabela3[[#This Row],[Última revisão do bem]]+(VLOOKUP(Tabela3[[#This Row],[Categoria]],Cadastros!A:D,4,0)+365),"")</f>
        <v/>
      </c>
      <c r="O1629" s="7" t="str">
        <f ca="1">IF(Tabela3[[#This Row],[Data da compra]]&gt;0,(TODAY()-Tabela3[[#This Row],[Data da compra]])/365,"")</f>
        <v/>
      </c>
      <c r="P1629" s="7" t="str">
        <f>IFERROR(VLOOKUP(Tabela3[[#This Row],[Categoria]],Cadastros!A:C,3,0),"")</f>
        <v/>
      </c>
      <c r="Q1629" s="9" t="str">
        <f ca="1">IFERROR(Tabela3[[#This Row],[Vida útil]]-Tabela3[[#This Row],[Idade]],"")</f>
        <v/>
      </c>
      <c r="R1629" s="8" t="str">
        <f ca="1">IFERROR(Tabela3[[#This Row],[Valor]]-(Tabela3[[#This Row],[Valor]]*(Tabela3[[#This Row],[Idade]]*VLOOKUP(Tabela3[[#This Row],[Categoria]],Cadastros!A:B,2,0))),"")</f>
        <v/>
      </c>
    </row>
    <row r="1630" spans="4:18" x14ac:dyDescent="0.25">
      <c r="D1630" s="5"/>
      <c r="N1630" s="6" t="str">
        <f>IFERROR(Tabela3[[#This Row],[Última revisão do bem]]+(VLOOKUP(Tabela3[[#This Row],[Categoria]],Cadastros!A:D,4,0)+365),"")</f>
        <v/>
      </c>
      <c r="O1630" s="7" t="str">
        <f ca="1">IF(Tabela3[[#This Row],[Data da compra]]&gt;0,(TODAY()-Tabela3[[#This Row],[Data da compra]])/365,"")</f>
        <v/>
      </c>
      <c r="P1630" s="7" t="str">
        <f>IFERROR(VLOOKUP(Tabela3[[#This Row],[Categoria]],Cadastros!A:C,3,0),"")</f>
        <v/>
      </c>
      <c r="Q1630" s="9" t="str">
        <f ca="1">IFERROR(Tabela3[[#This Row],[Vida útil]]-Tabela3[[#This Row],[Idade]],"")</f>
        <v/>
      </c>
      <c r="R1630" s="8" t="str">
        <f ca="1">IFERROR(Tabela3[[#This Row],[Valor]]-(Tabela3[[#This Row],[Valor]]*(Tabela3[[#This Row],[Idade]]*VLOOKUP(Tabela3[[#This Row],[Categoria]],Cadastros!A:B,2,0))),"")</f>
        <v/>
      </c>
    </row>
    <row r="1631" spans="4:18" x14ac:dyDescent="0.25">
      <c r="D1631" s="5"/>
      <c r="N1631" s="6" t="str">
        <f>IFERROR(Tabela3[[#This Row],[Última revisão do bem]]+(VLOOKUP(Tabela3[[#This Row],[Categoria]],Cadastros!A:D,4,0)+365),"")</f>
        <v/>
      </c>
      <c r="O1631" s="7" t="str">
        <f ca="1">IF(Tabela3[[#This Row],[Data da compra]]&gt;0,(TODAY()-Tabela3[[#This Row],[Data da compra]])/365,"")</f>
        <v/>
      </c>
      <c r="P1631" s="7" t="str">
        <f>IFERROR(VLOOKUP(Tabela3[[#This Row],[Categoria]],Cadastros!A:C,3,0),"")</f>
        <v/>
      </c>
      <c r="Q1631" s="9" t="str">
        <f ca="1">IFERROR(Tabela3[[#This Row],[Vida útil]]-Tabela3[[#This Row],[Idade]],"")</f>
        <v/>
      </c>
      <c r="R1631" s="8" t="str">
        <f ca="1">IFERROR(Tabela3[[#This Row],[Valor]]-(Tabela3[[#This Row],[Valor]]*(Tabela3[[#This Row],[Idade]]*VLOOKUP(Tabela3[[#This Row],[Categoria]],Cadastros!A:B,2,0))),"")</f>
        <v/>
      </c>
    </row>
    <row r="1632" spans="4:18" x14ac:dyDescent="0.25">
      <c r="D1632" s="5"/>
      <c r="N1632" s="6" t="str">
        <f>IFERROR(Tabela3[[#This Row],[Última revisão do bem]]+(VLOOKUP(Tabela3[[#This Row],[Categoria]],Cadastros!A:D,4,0)+365),"")</f>
        <v/>
      </c>
      <c r="O1632" s="7" t="str">
        <f ca="1">IF(Tabela3[[#This Row],[Data da compra]]&gt;0,(TODAY()-Tabela3[[#This Row],[Data da compra]])/365,"")</f>
        <v/>
      </c>
      <c r="P1632" s="7" t="str">
        <f>IFERROR(VLOOKUP(Tabela3[[#This Row],[Categoria]],Cadastros!A:C,3,0),"")</f>
        <v/>
      </c>
      <c r="Q1632" s="9" t="str">
        <f ca="1">IFERROR(Tabela3[[#This Row],[Vida útil]]-Tabela3[[#This Row],[Idade]],"")</f>
        <v/>
      </c>
      <c r="R1632" s="8" t="str">
        <f ca="1">IFERROR(Tabela3[[#This Row],[Valor]]-(Tabela3[[#This Row],[Valor]]*(Tabela3[[#This Row],[Idade]]*VLOOKUP(Tabela3[[#This Row],[Categoria]],Cadastros!A:B,2,0))),"")</f>
        <v/>
      </c>
    </row>
    <row r="1633" spans="4:18" x14ac:dyDescent="0.25">
      <c r="D1633" s="5"/>
      <c r="N1633" s="6" t="str">
        <f>IFERROR(Tabela3[[#This Row],[Última revisão do bem]]+(VLOOKUP(Tabela3[[#This Row],[Categoria]],Cadastros!A:D,4,0)+365),"")</f>
        <v/>
      </c>
      <c r="O1633" s="7" t="str">
        <f ca="1">IF(Tabela3[[#This Row],[Data da compra]]&gt;0,(TODAY()-Tabela3[[#This Row],[Data da compra]])/365,"")</f>
        <v/>
      </c>
      <c r="P1633" s="7" t="str">
        <f>IFERROR(VLOOKUP(Tabela3[[#This Row],[Categoria]],Cadastros!A:C,3,0),"")</f>
        <v/>
      </c>
      <c r="Q1633" s="9" t="str">
        <f ca="1">IFERROR(Tabela3[[#This Row],[Vida útil]]-Tabela3[[#This Row],[Idade]],"")</f>
        <v/>
      </c>
      <c r="R1633" s="8" t="str">
        <f ca="1">IFERROR(Tabela3[[#This Row],[Valor]]-(Tabela3[[#This Row],[Valor]]*(Tabela3[[#This Row],[Idade]]*VLOOKUP(Tabela3[[#This Row],[Categoria]],Cadastros!A:B,2,0))),"")</f>
        <v/>
      </c>
    </row>
    <row r="1634" spans="4:18" x14ac:dyDescent="0.25">
      <c r="D1634" s="5"/>
      <c r="N1634" s="6" t="str">
        <f>IFERROR(Tabela3[[#This Row],[Última revisão do bem]]+(VLOOKUP(Tabela3[[#This Row],[Categoria]],Cadastros!A:D,4,0)+365),"")</f>
        <v/>
      </c>
      <c r="O1634" s="7" t="str">
        <f ca="1">IF(Tabela3[[#This Row],[Data da compra]]&gt;0,(TODAY()-Tabela3[[#This Row],[Data da compra]])/365,"")</f>
        <v/>
      </c>
      <c r="P1634" s="7" t="str">
        <f>IFERROR(VLOOKUP(Tabela3[[#This Row],[Categoria]],Cadastros!A:C,3,0),"")</f>
        <v/>
      </c>
      <c r="Q1634" s="9" t="str">
        <f ca="1">IFERROR(Tabela3[[#This Row],[Vida útil]]-Tabela3[[#This Row],[Idade]],"")</f>
        <v/>
      </c>
      <c r="R1634" s="8" t="str">
        <f ca="1">IFERROR(Tabela3[[#This Row],[Valor]]-(Tabela3[[#This Row],[Valor]]*(Tabela3[[#This Row],[Idade]]*VLOOKUP(Tabela3[[#This Row],[Categoria]],Cadastros!A:B,2,0))),"")</f>
        <v/>
      </c>
    </row>
    <row r="1635" spans="4:18" x14ac:dyDescent="0.25">
      <c r="D1635" s="5"/>
      <c r="N1635" s="6" t="str">
        <f>IFERROR(Tabela3[[#This Row],[Última revisão do bem]]+(VLOOKUP(Tabela3[[#This Row],[Categoria]],Cadastros!A:D,4,0)+365),"")</f>
        <v/>
      </c>
      <c r="O1635" s="7" t="str">
        <f ca="1">IF(Tabela3[[#This Row],[Data da compra]]&gt;0,(TODAY()-Tabela3[[#This Row],[Data da compra]])/365,"")</f>
        <v/>
      </c>
      <c r="P1635" s="7" t="str">
        <f>IFERROR(VLOOKUP(Tabela3[[#This Row],[Categoria]],Cadastros!A:C,3,0),"")</f>
        <v/>
      </c>
      <c r="Q1635" s="9" t="str">
        <f ca="1">IFERROR(Tabela3[[#This Row],[Vida útil]]-Tabela3[[#This Row],[Idade]],"")</f>
        <v/>
      </c>
      <c r="R1635" s="8" t="str">
        <f ca="1">IFERROR(Tabela3[[#This Row],[Valor]]-(Tabela3[[#This Row],[Valor]]*(Tabela3[[#This Row],[Idade]]*VLOOKUP(Tabela3[[#This Row],[Categoria]],Cadastros!A:B,2,0))),"")</f>
        <v/>
      </c>
    </row>
    <row r="1636" spans="4:18" x14ac:dyDescent="0.25">
      <c r="D1636" s="5"/>
      <c r="N1636" s="6" t="str">
        <f>IFERROR(Tabela3[[#This Row],[Última revisão do bem]]+(VLOOKUP(Tabela3[[#This Row],[Categoria]],Cadastros!A:D,4,0)+365),"")</f>
        <v/>
      </c>
      <c r="O1636" s="7" t="str">
        <f ca="1">IF(Tabela3[[#This Row],[Data da compra]]&gt;0,(TODAY()-Tabela3[[#This Row],[Data da compra]])/365,"")</f>
        <v/>
      </c>
      <c r="P1636" s="7" t="str">
        <f>IFERROR(VLOOKUP(Tabela3[[#This Row],[Categoria]],Cadastros!A:C,3,0),"")</f>
        <v/>
      </c>
      <c r="Q1636" s="9" t="str">
        <f ca="1">IFERROR(Tabela3[[#This Row],[Vida útil]]-Tabela3[[#This Row],[Idade]],"")</f>
        <v/>
      </c>
      <c r="R1636" s="8" t="str">
        <f ca="1">IFERROR(Tabela3[[#This Row],[Valor]]-(Tabela3[[#This Row],[Valor]]*(Tabela3[[#This Row],[Idade]]*VLOOKUP(Tabela3[[#This Row],[Categoria]],Cadastros!A:B,2,0))),"")</f>
        <v/>
      </c>
    </row>
    <row r="1637" spans="4:18" x14ac:dyDescent="0.25">
      <c r="D1637" s="5"/>
      <c r="N1637" s="6" t="str">
        <f>IFERROR(Tabela3[[#This Row],[Última revisão do bem]]+(VLOOKUP(Tabela3[[#This Row],[Categoria]],Cadastros!A:D,4,0)+365),"")</f>
        <v/>
      </c>
      <c r="O1637" s="7" t="str">
        <f ca="1">IF(Tabela3[[#This Row],[Data da compra]]&gt;0,(TODAY()-Tabela3[[#This Row],[Data da compra]])/365,"")</f>
        <v/>
      </c>
      <c r="P1637" s="7" t="str">
        <f>IFERROR(VLOOKUP(Tabela3[[#This Row],[Categoria]],Cadastros!A:C,3,0),"")</f>
        <v/>
      </c>
      <c r="Q1637" s="9" t="str">
        <f ca="1">IFERROR(Tabela3[[#This Row],[Vida útil]]-Tabela3[[#This Row],[Idade]],"")</f>
        <v/>
      </c>
      <c r="R1637" s="8" t="str">
        <f ca="1">IFERROR(Tabela3[[#This Row],[Valor]]-(Tabela3[[#This Row],[Valor]]*(Tabela3[[#This Row],[Idade]]*VLOOKUP(Tabela3[[#This Row],[Categoria]],Cadastros!A:B,2,0))),"")</f>
        <v/>
      </c>
    </row>
    <row r="1638" spans="4:18" x14ac:dyDescent="0.25">
      <c r="D1638" s="5"/>
      <c r="N1638" s="6" t="str">
        <f>IFERROR(Tabela3[[#This Row],[Última revisão do bem]]+(VLOOKUP(Tabela3[[#This Row],[Categoria]],Cadastros!A:D,4,0)+365),"")</f>
        <v/>
      </c>
      <c r="O1638" s="7" t="str">
        <f ca="1">IF(Tabela3[[#This Row],[Data da compra]]&gt;0,(TODAY()-Tabela3[[#This Row],[Data da compra]])/365,"")</f>
        <v/>
      </c>
      <c r="P1638" s="7" t="str">
        <f>IFERROR(VLOOKUP(Tabela3[[#This Row],[Categoria]],Cadastros!A:C,3,0),"")</f>
        <v/>
      </c>
      <c r="Q1638" s="9" t="str">
        <f ca="1">IFERROR(Tabela3[[#This Row],[Vida útil]]-Tabela3[[#This Row],[Idade]],"")</f>
        <v/>
      </c>
      <c r="R1638" s="8" t="str">
        <f ca="1">IFERROR(Tabela3[[#This Row],[Valor]]-(Tabela3[[#This Row],[Valor]]*(Tabela3[[#This Row],[Idade]]*VLOOKUP(Tabela3[[#This Row],[Categoria]],Cadastros!A:B,2,0))),"")</f>
        <v/>
      </c>
    </row>
    <row r="1639" spans="4:18" x14ac:dyDescent="0.25">
      <c r="D1639" s="5"/>
      <c r="N1639" s="6" t="str">
        <f>IFERROR(Tabela3[[#This Row],[Última revisão do bem]]+(VLOOKUP(Tabela3[[#This Row],[Categoria]],Cadastros!A:D,4,0)+365),"")</f>
        <v/>
      </c>
      <c r="O1639" s="7" t="str">
        <f ca="1">IF(Tabela3[[#This Row],[Data da compra]]&gt;0,(TODAY()-Tabela3[[#This Row],[Data da compra]])/365,"")</f>
        <v/>
      </c>
      <c r="P1639" s="7" t="str">
        <f>IFERROR(VLOOKUP(Tabela3[[#This Row],[Categoria]],Cadastros!A:C,3,0),"")</f>
        <v/>
      </c>
      <c r="Q1639" s="9" t="str">
        <f ca="1">IFERROR(Tabela3[[#This Row],[Vida útil]]-Tabela3[[#This Row],[Idade]],"")</f>
        <v/>
      </c>
      <c r="R1639" s="8" t="str">
        <f ca="1">IFERROR(Tabela3[[#This Row],[Valor]]-(Tabela3[[#This Row],[Valor]]*(Tabela3[[#This Row],[Idade]]*VLOOKUP(Tabela3[[#This Row],[Categoria]],Cadastros!A:B,2,0))),"")</f>
        <v/>
      </c>
    </row>
    <row r="1640" spans="4:18" x14ac:dyDescent="0.25">
      <c r="D1640" s="5"/>
      <c r="N1640" s="6" t="str">
        <f>IFERROR(Tabela3[[#This Row],[Última revisão do bem]]+(VLOOKUP(Tabela3[[#This Row],[Categoria]],Cadastros!A:D,4,0)+365),"")</f>
        <v/>
      </c>
      <c r="O1640" s="7" t="str">
        <f ca="1">IF(Tabela3[[#This Row],[Data da compra]]&gt;0,(TODAY()-Tabela3[[#This Row],[Data da compra]])/365,"")</f>
        <v/>
      </c>
      <c r="P1640" s="7" t="str">
        <f>IFERROR(VLOOKUP(Tabela3[[#This Row],[Categoria]],Cadastros!A:C,3,0),"")</f>
        <v/>
      </c>
      <c r="Q1640" s="9" t="str">
        <f ca="1">IFERROR(Tabela3[[#This Row],[Vida útil]]-Tabela3[[#This Row],[Idade]],"")</f>
        <v/>
      </c>
      <c r="R1640" s="8" t="str">
        <f ca="1">IFERROR(Tabela3[[#This Row],[Valor]]-(Tabela3[[#This Row],[Valor]]*(Tabela3[[#This Row],[Idade]]*VLOOKUP(Tabela3[[#This Row],[Categoria]],Cadastros!A:B,2,0))),"")</f>
        <v/>
      </c>
    </row>
    <row r="1641" spans="4:18" x14ac:dyDescent="0.25">
      <c r="D1641" s="5"/>
      <c r="N1641" s="6" t="str">
        <f>IFERROR(Tabela3[[#This Row],[Última revisão do bem]]+(VLOOKUP(Tabela3[[#This Row],[Categoria]],Cadastros!A:D,4,0)+365),"")</f>
        <v/>
      </c>
      <c r="O1641" s="7" t="str">
        <f ca="1">IF(Tabela3[[#This Row],[Data da compra]]&gt;0,(TODAY()-Tabela3[[#This Row],[Data da compra]])/365,"")</f>
        <v/>
      </c>
      <c r="P1641" s="7" t="str">
        <f>IFERROR(VLOOKUP(Tabela3[[#This Row],[Categoria]],Cadastros!A:C,3,0),"")</f>
        <v/>
      </c>
      <c r="Q1641" s="9" t="str">
        <f ca="1">IFERROR(Tabela3[[#This Row],[Vida útil]]-Tabela3[[#This Row],[Idade]],"")</f>
        <v/>
      </c>
      <c r="R1641" s="8" t="str">
        <f ca="1">IFERROR(Tabela3[[#This Row],[Valor]]-(Tabela3[[#This Row],[Valor]]*(Tabela3[[#This Row],[Idade]]*VLOOKUP(Tabela3[[#This Row],[Categoria]],Cadastros!A:B,2,0))),"")</f>
        <v/>
      </c>
    </row>
    <row r="1642" spans="4:18" x14ac:dyDescent="0.25">
      <c r="D1642" s="5"/>
      <c r="N1642" s="6" t="str">
        <f>IFERROR(Tabela3[[#This Row],[Última revisão do bem]]+(VLOOKUP(Tabela3[[#This Row],[Categoria]],Cadastros!A:D,4,0)+365),"")</f>
        <v/>
      </c>
      <c r="O1642" s="7" t="str">
        <f ca="1">IF(Tabela3[[#This Row],[Data da compra]]&gt;0,(TODAY()-Tabela3[[#This Row],[Data da compra]])/365,"")</f>
        <v/>
      </c>
      <c r="P1642" s="7" t="str">
        <f>IFERROR(VLOOKUP(Tabela3[[#This Row],[Categoria]],Cadastros!A:C,3,0),"")</f>
        <v/>
      </c>
      <c r="Q1642" s="9" t="str">
        <f ca="1">IFERROR(Tabela3[[#This Row],[Vida útil]]-Tabela3[[#This Row],[Idade]],"")</f>
        <v/>
      </c>
      <c r="R1642" s="8" t="str">
        <f ca="1">IFERROR(Tabela3[[#This Row],[Valor]]-(Tabela3[[#This Row],[Valor]]*(Tabela3[[#This Row],[Idade]]*VLOOKUP(Tabela3[[#This Row],[Categoria]],Cadastros!A:B,2,0))),"")</f>
        <v/>
      </c>
    </row>
    <row r="1643" spans="4:18" x14ac:dyDescent="0.25">
      <c r="D1643" s="5"/>
      <c r="N1643" s="6" t="str">
        <f>IFERROR(Tabela3[[#This Row],[Última revisão do bem]]+(VLOOKUP(Tabela3[[#This Row],[Categoria]],Cadastros!A:D,4,0)+365),"")</f>
        <v/>
      </c>
      <c r="O1643" s="7" t="str">
        <f ca="1">IF(Tabela3[[#This Row],[Data da compra]]&gt;0,(TODAY()-Tabela3[[#This Row],[Data da compra]])/365,"")</f>
        <v/>
      </c>
      <c r="P1643" s="7" t="str">
        <f>IFERROR(VLOOKUP(Tabela3[[#This Row],[Categoria]],Cadastros!A:C,3,0),"")</f>
        <v/>
      </c>
      <c r="Q1643" s="9" t="str">
        <f ca="1">IFERROR(Tabela3[[#This Row],[Vida útil]]-Tabela3[[#This Row],[Idade]],"")</f>
        <v/>
      </c>
      <c r="R1643" s="8" t="str">
        <f ca="1">IFERROR(Tabela3[[#This Row],[Valor]]-(Tabela3[[#This Row],[Valor]]*(Tabela3[[#This Row],[Idade]]*VLOOKUP(Tabela3[[#This Row],[Categoria]],Cadastros!A:B,2,0))),"")</f>
        <v/>
      </c>
    </row>
    <row r="1644" spans="4:18" x14ac:dyDescent="0.25">
      <c r="D1644" s="22"/>
      <c r="N1644" s="6" t="str">
        <f>IFERROR(Tabela3[[#This Row],[Última revisão do bem]]+(VLOOKUP(Tabela3[[#This Row],[Categoria]],Cadastros!A:D,4,0)+365),"")</f>
        <v/>
      </c>
      <c r="O1644" s="7" t="str">
        <f ca="1">IF(Tabela3[[#This Row],[Data da compra]]&gt;0,(TODAY()-Tabela3[[#This Row],[Data da compra]])/365,"")</f>
        <v/>
      </c>
      <c r="P1644" s="7" t="str">
        <f>IFERROR(VLOOKUP(Tabela3[[#This Row],[Categoria]],Cadastros!A:C,3,0),"")</f>
        <v/>
      </c>
      <c r="Q1644" s="9" t="str">
        <f ca="1">IFERROR(Tabela3[[#This Row],[Vida útil]]-Tabela3[[#This Row],[Idade]],"")</f>
        <v/>
      </c>
      <c r="R1644" s="23" t="str">
        <f ca="1">IFERROR(Tabela3[[#This Row],[Valor]]-(Tabela3[[#This Row],[Valor]]*(Tabela3[[#This Row],[Idade]]*VLOOKUP(Tabela3[[#This Row],[Categoria]],Cadastros!A:B,2,0))),"")</f>
        <v/>
      </c>
    </row>
    <row r="1645" spans="4:18" x14ac:dyDescent="0.25">
      <c r="D1645" s="5"/>
      <c r="N1645" s="6" t="str">
        <f>IFERROR(Tabela3[[#This Row],[Última revisão do bem]]+(VLOOKUP(Tabela3[[#This Row],[Categoria]],Cadastros!A:D,4,0)+365),"")</f>
        <v/>
      </c>
      <c r="O1645" s="7" t="str">
        <f ca="1">IF(Tabela3[[#This Row],[Data da compra]]&gt;0,(TODAY()-Tabela3[[#This Row],[Data da compra]])/365,"")</f>
        <v/>
      </c>
      <c r="P1645" s="7" t="str">
        <f>IFERROR(VLOOKUP(Tabela3[[#This Row],[Categoria]],Cadastros!A:C,3,0),"")</f>
        <v/>
      </c>
      <c r="Q1645" s="9" t="str">
        <f ca="1">IFERROR(Tabela3[[#This Row],[Vida útil]]-Tabela3[[#This Row],[Idade]],"")</f>
        <v/>
      </c>
      <c r="R1645" s="8" t="str">
        <f ca="1">IFERROR(Tabela3[[#This Row],[Valor]]-(Tabela3[[#This Row],[Valor]]*(Tabela3[[#This Row],[Idade]]*VLOOKUP(Tabela3[[#This Row],[Categoria]],Cadastros!A:B,2,0))),"")</f>
        <v/>
      </c>
    </row>
    <row r="1646" spans="4:18" x14ac:dyDescent="0.25">
      <c r="D1646" s="5"/>
      <c r="N1646" s="6" t="str">
        <f>IFERROR(Tabela3[[#This Row],[Última revisão do bem]]+(VLOOKUP(Tabela3[[#This Row],[Categoria]],Cadastros!A:D,4,0)+365),"")</f>
        <v/>
      </c>
      <c r="O1646" s="7" t="str">
        <f ca="1">IF(Tabela3[[#This Row],[Data da compra]]&gt;0,(TODAY()-Tabela3[[#This Row],[Data da compra]])/365,"")</f>
        <v/>
      </c>
      <c r="P1646" s="7" t="str">
        <f>IFERROR(VLOOKUP(Tabela3[[#This Row],[Categoria]],Cadastros!A:C,3,0),"")</f>
        <v/>
      </c>
      <c r="Q1646" s="9" t="str">
        <f ca="1">IFERROR(Tabela3[[#This Row],[Vida útil]]-Tabela3[[#This Row],[Idade]],"")</f>
        <v/>
      </c>
      <c r="R1646" s="8" t="str">
        <f ca="1">IFERROR(Tabela3[[#This Row],[Valor]]-(Tabela3[[#This Row],[Valor]]*(Tabela3[[#This Row],[Idade]]*VLOOKUP(Tabela3[[#This Row],[Categoria]],Cadastros!A:B,2,0))),"")</f>
        <v/>
      </c>
    </row>
    <row r="1647" spans="4:18" x14ac:dyDescent="0.25">
      <c r="D1647" s="5"/>
      <c r="N1647" s="6" t="str">
        <f>IFERROR(Tabela3[[#This Row],[Última revisão do bem]]+(VLOOKUP(Tabela3[[#This Row],[Categoria]],Cadastros!A:D,4,0)+365),"")</f>
        <v/>
      </c>
      <c r="O1647" s="7" t="str">
        <f ca="1">IF(Tabela3[[#This Row],[Data da compra]]&gt;0,(TODAY()-Tabela3[[#This Row],[Data da compra]])/365,"")</f>
        <v/>
      </c>
      <c r="P1647" s="7" t="str">
        <f>IFERROR(VLOOKUP(Tabela3[[#This Row],[Categoria]],Cadastros!A:C,3,0),"")</f>
        <v/>
      </c>
      <c r="Q1647" s="9" t="str">
        <f ca="1">IFERROR(Tabela3[[#This Row],[Vida útil]]-Tabela3[[#This Row],[Idade]],"")</f>
        <v/>
      </c>
      <c r="R1647" s="8" t="str">
        <f ca="1">IFERROR(Tabela3[[#This Row],[Valor]]-(Tabela3[[#This Row],[Valor]]*(Tabela3[[#This Row],[Idade]]*VLOOKUP(Tabela3[[#This Row],[Categoria]],Cadastros!A:B,2,0))),"")</f>
        <v/>
      </c>
    </row>
    <row r="1648" spans="4:18" x14ac:dyDescent="0.25">
      <c r="D1648" s="5"/>
      <c r="N1648" s="6" t="str">
        <f>IFERROR(Tabela3[[#This Row],[Última revisão do bem]]+(VLOOKUP(Tabela3[[#This Row],[Categoria]],Cadastros!A:D,4,0)+365),"")</f>
        <v/>
      </c>
      <c r="O1648" s="7" t="str">
        <f ca="1">IF(Tabela3[[#This Row],[Data da compra]]&gt;0,(TODAY()-Tabela3[[#This Row],[Data da compra]])/365,"")</f>
        <v/>
      </c>
      <c r="P1648" s="7" t="str">
        <f>IFERROR(VLOOKUP(Tabela3[[#This Row],[Categoria]],Cadastros!A:C,3,0),"")</f>
        <v/>
      </c>
      <c r="Q1648" s="9" t="str">
        <f ca="1">IFERROR(Tabela3[[#This Row],[Vida útil]]-Tabela3[[#This Row],[Idade]],"")</f>
        <v/>
      </c>
      <c r="R1648" s="8" t="str">
        <f ca="1">IFERROR(Tabela3[[#This Row],[Valor]]-(Tabela3[[#This Row],[Valor]]*(Tabela3[[#This Row],[Idade]]*VLOOKUP(Tabela3[[#This Row],[Categoria]],Cadastros!A:B,2,0))),"")</f>
        <v/>
      </c>
    </row>
    <row r="1649" spans="4:18" x14ac:dyDescent="0.25">
      <c r="D1649" s="5"/>
      <c r="N1649" s="6" t="str">
        <f>IFERROR(Tabela3[[#This Row],[Última revisão do bem]]+(VLOOKUP(Tabela3[[#This Row],[Categoria]],Cadastros!A:D,4,0)+365),"")</f>
        <v/>
      </c>
      <c r="O1649" s="7" t="str">
        <f ca="1">IF(Tabela3[[#This Row],[Data da compra]]&gt;0,(TODAY()-Tabela3[[#This Row],[Data da compra]])/365,"")</f>
        <v/>
      </c>
      <c r="P1649" s="7" t="str">
        <f>IFERROR(VLOOKUP(Tabela3[[#This Row],[Categoria]],Cadastros!A:C,3,0),"")</f>
        <v/>
      </c>
      <c r="Q1649" s="9" t="str">
        <f ca="1">IFERROR(Tabela3[[#This Row],[Vida útil]]-Tabela3[[#This Row],[Idade]],"")</f>
        <v/>
      </c>
      <c r="R1649" s="8" t="str">
        <f ca="1">IFERROR(Tabela3[[#This Row],[Valor]]-(Tabela3[[#This Row],[Valor]]*(Tabela3[[#This Row],[Idade]]*VLOOKUP(Tabela3[[#This Row],[Categoria]],Cadastros!A:B,2,0))),"")</f>
        <v/>
      </c>
    </row>
    <row r="1650" spans="4:18" x14ac:dyDescent="0.25">
      <c r="D1650" s="5"/>
      <c r="N1650" s="6" t="str">
        <f>IFERROR(Tabela3[[#This Row],[Última revisão do bem]]+(VLOOKUP(Tabela3[[#This Row],[Categoria]],Cadastros!A:D,4,0)+365),"")</f>
        <v/>
      </c>
      <c r="O1650" s="7" t="str">
        <f ca="1">IF(Tabela3[[#This Row],[Data da compra]]&gt;0,(TODAY()-Tabela3[[#This Row],[Data da compra]])/365,"")</f>
        <v/>
      </c>
      <c r="P1650" s="7" t="str">
        <f>IFERROR(VLOOKUP(Tabela3[[#This Row],[Categoria]],Cadastros!A:C,3,0),"")</f>
        <v/>
      </c>
      <c r="Q1650" s="9" t="str">
        <f ca="1">IFERROR(Tabela3[[#This Row],[Vida útil]]-Tabela3[[#This Row],[Idade]],"")</f>
        <v/>
      </c>
      <c r="R1650" s="8" t="str">
        <f ca="1">IFERROR(Tabela3[[#This Row],[Valor]]-(Tabela3[[#This Row],[Valor]]*(Tabela3[[#This Row],[Idade]]*VLOOKUP(Tabela3[[#This Row],[Categoria]],Cadastros!A:B,2,0))),"")</f>
        <v/>
      </c>
    </row>
    <row r="1651" spans="4:18" x14ac:dyDescent="0.25">
      <c r="D1651" s="5"/>
      <c r="N1651" s="6" t="str">
        <f>IFERROR(Tabela3[[#This Row],[Última revisão do bem]]+(VLOOKUP(Tabela3[[#This Row],[Categoria]],Cadastros!A:D,4,0)+365),"")</f>
        <v/>
      </c>
      <c r="O1651" s="7" t="str">
        <f ca="1">IF(Tabela3[[#This Row],[Data da compra]]&gt;0,(TODAY()-Tabela3[[#This Row],[Data da compra]])/365,"")</f>
        <v/>
      </c>
      <c r="P1651" s="7" t="str">
        <f>IFERROR(VLOOKUP(Tabela3[[#This Row],[Categoria]],Cadastros!A:C,3,0),"")</f>
        <v/>
      </c>
      <c r="Q1651" s="9" t="str">
        <f ca="1">IFERROR(Tabela3[[#This Row],[Vida útil]]-Tabela3[[#This Row],[Idade]],"")</f>
        <v/>
      </c>
      <c r="R1651" s="8" t="str">
        <f ca="1">IFERROR(Tabela3[[#This Row],[Valor]]-(Tabela3[[#This Row],[Valor]]*(Tabela3[[#This Row],[Idade]]*VLOOKUP(Tabela3[[#This Row],[Categoria]],Cadastros!A:B,2,0))),"")</f>
        <v/>
      </c>
    </row>
    <row r="1652" spans="4:18" x14ac:dyDescent="0.25">
      <c r="D1652" s="5"/>
      <c r="N1652" s="6" t="str">
        <f>IFERROR(Tabela3[[#This Row],[Última revisão do bem]]+(VLOOKUP(Tabela3[[#This Row],[Categoria]],Cadastros!A:D,4,0)+365),"")</f>
        <v/>
      </c>
      <c r="O1652" s="7" t="str">
        <f ca="1">IF(Tabela3[[#This Row],[Data da compra]]&gt;0,(TODAY()-Tabela3[[#This Row],[Data da compra]])/365,"")</f>
        <v/>
      </c>
      <c r="P1652" s="7" t="str">
        <f>IFERROR(VLOOKUP(Tabela3[[#This Row],[Categoria]],Cadastros!A:C,3,0),"")</f>
        <v/>
      </c>
      <c r="Q1652" s="9" t="str">
        <f ca="1">IFERROR(Tabela3[[#This Row],[Vida útil]]-Tabela3[[#This Row],[Idade]],"")</f>
        <v/>
      </c>
      <c r="R1652" s="8" t="str">
        <f ca="1">IFERROR(Tabela3[[#This Row],[Valor]]-(Tabela3[[#This Row],[Valor]]*(Tabela3[[#This Row],[Idade]]*VLOOKUP(Tabela3[[#This Row],[Categoria]],Cadastros!A:B,2,0))),"")</f>
        <v/>
      </c>
    </row>
    <row r="1653" spans="4:18" x14ac:dyDescent="0.25">
      <c r="D1653" s="5"/>
      <c r="N1653" s="6" t="str">
        <f>IFERROR(Tabela3[[#This Row],[Última revisão do bem]]+(VLOOKUP(Tabela3[[#This Row],[Categoria]],Cadastros!A:D,4,0)+365),"")</f>
        <v/>
      </c>
      <c r="O1653" s="7" t="str">
        <f ca="1">IF(Tabela3[[#This Row],[Data da compra]]&gt;0,(TODAY()-Tabela3[[#This Row],[Data da compra]])/365,"")</f>
        <v/>
      </c>
      <c r="P1653" s="7" t="str">
        <f>IFERROR(VLOOKUP(Tabela3[[#This Row],[Categoria]],Cadastros!A:C,3,0),"")</f>
        <v/>
      </c>
      <c r="Q1653" s="9" t="str">
        <f ca="1">IFERROR(Tabela3[[#This Row],[Vida útil]]-Tabela3[[#This Row],[Idade]],"")</f>
        <v/>
      </c>
      <c r="R1653" s="8" t="str">
        <f ca="1">IFERROR(Tabela3[[#This Row],[Valor]]-(Tabela3[[#This Row],[Valor]]*(Tabela3[[#This Row],[Idade]]*VLOOKUP(Tabela3[[#This Row],[Categoria]],Cadastros!A:B,2,0))),"")</f>
        <v/>
      </c>
    </row>
    <row r="1654" spans="4:18" x14ac:dyDescent="0.25">
      <c r="D1654" s="5"/>
      <c r="N1654" s="6" t="str">
        <f>IFERROR(Tabela3[[#This Row],[Última revisão do bem]]+(VLOOKUP(Tabela3[[#This Row],[Categoria]],Cadastros!A:D,4,0)+365),"")</f>
        <v/>
      </c>
      <c r="O1654" s="7" t="str">
        <f ca="1">IF(Tabela3[[#This Row],[Data da compra]]&gt;0,(TODAY()-Tabela3[[#This Row],[Data da compra]])/365,"")</f>
        <v/>
      </c>
      <c r="P1654" s="7" t="str">
        <f>IFERROR(VLOOKUP(Tabela3[[#This Row],[Categoria]],Cadastros!A:C,3,0),"")</f>
        <v/>
      </c>
      <c r="Q1654" s="9" t="str">
        <f ca="1">IFERROR(Tabela3[[#This Row],[Vida útil]]-Tabela3[[#This Row],[Idade]],"")</f>
        <v/>
      </c>
      <c r="R1654" s="8" t="str">
        <f ca="1">IFERROR(Tabela3[[#This Row],[Valor]]-(Tabela3[[#This Row],[Valor]]*(Tabela3[[#This Row],[Idade]]*VLOOKUP(Tabela3[[#This Row],[Categoria]],Cadastros!A:B,2,0))),"")</f>
        <v/>
      </c>
    </row>
    <row r="1655" spans="4:18" x14ac:dyDescent="0.25">
      <c r="D1655" s="5"/>
      <c r="N1655" s="6" t="str">
        <f>IFERROR(Tabela3[[#This Row],[Última revisão do bem]]+(VLOOKUP(Tabela3[[#This Row],[Categoria]],Cadastros!A:D,4,0)+365),"")</f>
        <v/>
      </c>
      <c r="O1655" s="7" t="str">
        <f ca="1">IF(Tabela3[[#This Row],[Data da compra]]&gt;0,(TODAY()-Tabela3[[#This Row],[Data da compra]])/365,"")</f>
        <v/>
      </c>
      <c r="P1655" s="7" t="str">
        <f>IFERROR(VLOOKUP(Tabela3[[#This Row],[Categoria]],Cadastros!A:C,3,0),"")</f>
        <v/>
      </c>
      <c r="Q1655" s="9" t="str">
        <f ca="1">IFERROR(Tabela3[[#This Row],[Vida útil]]-Tabela3[[#This Row],[Idade]],"")</f>
        <v/>
      </c>
      <c r="R1655" s="8" t="str">
        <f ca="1">IFERROR(Tabela3[[#This Row],[Valor]]-(Tabela3[[#This Row],[Valor]]*(Tabela3[[#This Row],[Idade]]*VLOOKUP(Tabela3[[#This Row],[Categoria]],Cadastros!A:B,2,0))),"")</f>
        <v/>
      </c>
    </row>
    <row r="1656" spans="4:18" x14ac:dyDescent="0.25">
      <c r="D1656" s="5"/>
      <c r="N1656" s="6" t="str">
        <f>IFERROR(Tabela3[[#This Row],[Última revisão do bem]]+(VLOOKUP(Tabela3[[#This Row],[Categoria]],Cadastros!A:D,4,0)+365),"")</f>
        <v/>
      </c>
      <c r="O1656" s="7" t="str">
        <f ca="1">IF(Tabela3[[#This Row],[Data da compra]]&gt;0,(TODAY()-Tabela3[[#This Row],[Data da compra]])/365,"")</f>
        <v/>
      </c>
      <c r="P1656" s="7" t="str">
        <f>IFERROR(VLOOKUP(Tabela3[[#This Row],[Categoria]],Cadastros!A:C,3,0),"")</f>
        <v/>
      </c>
      <c r="Q1656" s="9" t="str">
        <f ca="1">IFERROR(Tabela3[[#This Row],[Vida útil]]-Tabela3[[#This Row],[Idade]],"")</f>
        <v/>
      </c>
      <c r="R1656" s="8" t="str">
        <f ca="1">IFERROR(Tabela3[[#This Row],[Valor]]-(Tabela3[[#This Row],[Valor]]*(Tabela3[[#This Row],[Idade]]*VLOOKUP(Tabela3[[#This Row],[Categoria]],Cadastros!A:B,2,0))),"")</f>
        <v/>
      </c>
    </row>
    <row r="1657" spans="4:18" x14ac:dyDescent="0.25">
      <c r="D1657" s="5"/>
      <c r="N1657" s="6" t="str">
        <f>IFERROR(Tabela3[[#This Row],[Última revisão do bem]]+(VLOOKUP(Tabela3[[#This Row],[Categoria]],Cadastros!A:D,4,0)+365),"")</f>
        <v/>
      </c>
      <c r="O1657" s="7" t="str">
        <f ca="1">IF(Tabela3[[#This Row],[Data da compra]]&gt;0,(TODAY()-Tabela3[[#This Row],[Data da compra]])/365,"")</f>
        <v/>
      </c>
      <c r="P1657" s="7" t="str">
        <f>IFERROR(VLOOKUP(Tabela3[[#This Row],[Categoria]],Cadastros!A:C,3,0),"")</f>
        <v/>
      </c>
      <c r="Q1657" s="9" t="str">
        <f ca="1">IFERROR(Tabela3[[#This Row],[Vida útil]]-Tabela3[[#This Row],[Idade]],"")</f>
        <v/>
      </c>
      <c r="R1657" s="8" t="str">
        <f ca="1">IFERROR(Tabela3[[#This Row],[Valor]]-(Tabela3[[#This Row],[Valor]]*(Tabela3[[#This Row],[Idade]]*VLOOKUP(Tabela3[[#This Row],[Categoria]],Cadastros!A:B,2,0))),"")</f>
        <v/>
      </c>
    </row>
    <row r="1658" spans="4:18" x14ac:dyDescent="0.25">
      <c r="D1658" s="5"/>
      <c r="N1658" s="6" t="str">
        <f>IFERROR(Tabela3[[#This Row],[Última revisão do bem]]+(VLOOKUP(Tabela3[[#This Row],[Categoria]],Cadastros!A:D,4,0)+365),"")</f>
        <v/>
      </c>
      <c r="O1658" s="7" t="str">
        <f ca="1">IF(Tabela3[[#This Row],[Data da compra]]&gt;0,(TODAY()-Tabela3[[#This Row],[Data da compra]])/365,"")</f>
        <v/>
      </c>
      <c r="P1658" s="7" t="str">
        <f>IFERROR(VLOOKUP(Tabela3[[#This Row],[Categoria]],Cadastros!A:C,3,0),"")</f>
        <v/>
      </c>
      <c r="Q1658" s="9" t="str">
        <f ca="1">IFERROR(Tabela3[[#This Row],[Vida útil]]-Tabela3[[#This Row],[Idade]],"")</f>
        <v/>
      </c>
      <c r="R1658" s="8" t="str">
        <f ca="1">IFERROR(Tabela3[[#This Row],[Valor]]-(Tabela3[[#This Row],[Valor]]*(Tabela3[[#This Row],[Idade]]*VLOOKUP(Tabela3[[#This Row],[Categoria]],Cadastros!A:B,2,0))),"")</f>
        <v/>
      </c>
    </row>
    <row r="1659" spans="4:18" x14ac:dyDescent="0.25">
      <c r="D1659" s="5"/>
      <c r="N1659" s="6" t="str">
        <f>IFERROR(Tabela3[[#This Row],[Última revisão do bem]]+(VLOOKUP(Tabela3[[#This Row],[Categoria]],Cadastros!A:D,4,0)+365),"")</f>
        <v/>
      </c>
      <c r="O1659" s="7" t="str">
        <f ca="1">IF(Tabela3[[#This Row],[Data da compra]]&gt;0,(TODAY()-Tabela3[[#This Row],[Data da compra]])/365,"")</f>
        <v/>
      </c>
      <c r="P1659" s="7" t="str">
        <f>IFERROR(VLOOKUP(Tabela3[[#This Row],[Categoria]],Cadastros!A:C,3,0),"")</f>
        <v/>
      </c>
      <c r="Q1659" s="9" t="str">
        <f ca="1">IFERROR(Tabela3[[#This Row],[Vida útil]]-Tabela3[[#This Row],[Idade]],"")</f>
        <v/>
      </c>
      <c r="R1659" s="8" t="str">
        <f ca="1">IFERROR(Tabela3[[#This Row],[Valor]]-(Tabela3[[#This Row],[Valor]]*(Tabela3[[#This Row],[Idade]]*VLOOKUP(Tabela3[[#This Row],[Categoria]],Cadastros!A:B,2,0))),"")</f>
        <v/>
      </c>
    </row>
    <row r="1660" spans="4:18" x14ac:dyDescent="0.25">
      <c r="D1660" s="5"/>
      <c r="N1660" s="6" t="str">
        <f>IFERROR(Tabela3[[#This Row],[Última revisão do bem]]+(VLOOKUP(Tabela3[[#This Row],[Categoria]],Cadastros!A:D,4,0)+365),"")</f>
        <v/>
      </c>
      <c r="O1660" s="7" t="str">
        <f ca="1">IF(Tabela3[[#This Row],[Data da compra]]&gt;0,(TODAY()-Tabela3[[#This Row],[Data da compra]])/365,"")</f>
        <v/>
      </c>
      <c r="P1660" s="7" t="str">
        <f>IFERROR(VLOOKUP(Tabela3[[#This Row],[Categoria]],Cadastros!A:C,3,0),"")</f>
        <v/>
      </c>
      <c r="Q1660" s="9" t="str">
        <f ca="1">IFERROR(Tabela3[[#This Row],[Vida útil]]-Tabela3[[#This Row],[Idade]],"")</f>
        <v/>
      </c>
      <c r="R1660" s="8" t="str">
        <f ca="1">IFERROR(Tabela3[[#This Row],[Valor]]-(Tabela3[[#This Row],[Valor]]*(Tabela3[[#This Row],[Idade]]*VLOOKUP(Tabela3[[#This Row],[Categoria]],Cadastros!A:B,2,0))),"")</f>
        <v/>
      </c>
    </row>
    <row r="1661" spans="4:18" x14ac:dyDescent="0.25">
      <c r="D1661" s="5"/>
      <c r="N1661" s="6" t="str">
        <f>IFERROR(Tabela3[[#This Row],[Última revisão do bem]]+(VLOOKUP(Tabela3[[#This Row],[Categoria]],Cadastros!A:D,4,0)+365),"")</f>
        <v/>
      </c>
      <c r="O1661" s="7" t="str">
        <f ca="1">IF(Tabela3[[#This Row],[Data da compra]]&gt;0,(TODAY()-Tabela3[[#This Row],[Data da compra]])/365,"")</f>
        <v/>
      </c>
      <c r="P1661" s="7" t="str">
        <f>IFERROR(VLOOKUP(Tabela3[[#This Row],[Categoria]],Cadastros!A:C,3,0),"")</f>
        <v/>
      </c>
      <c r="Q1661" s="9" t="str">
        <f ca="1">IFERROR(Tabela3[[#This Row],[Vida útil]]-Tabela3[[#This Row],[Idade]],"")</f>
        <v/>
      </c>
      <c r="R1661" s="8" t="str">
        <f ca="1">IFERROR(Tabela3[[#This Row],[Valor]]-(Tabela3[[#This Row],[Valor]]*(Tabela3[[#This Row],[Idade]]*VLOOKUP(Tabela3[[#This Row],[Categoria]],Cadastros!A:B,2,0))),"")</f>
        <v/>
      </c>
    </row>
    <row r="1662" spans="4:18" x14ac:dyDescent="0.25">
      <c r="D1662" s="22"/>
      <c r="N1662" s="6" t="str">
        <f>IFERROR(Tabela3[[#This Row],[Última revisão do bem]]+(VLOOKUP(Tabela3[[#This Row],[Categoria]],Cadastros!A:D,4,0)+365),"")</f>
        <v/>
      </c>
      <c r="O1662" s="7" t="str">
        <f ca="1">IF(Tabela3[[#This Row],[Data da compra]]&gt;0,(TODAY()-Tabela3[[#This Row],[Data da compra]])/365,"")</f>
        <v/>
      </c>
      <c r="P1662" s="7" t="str">
        <f>IFERROR(VLOOKUP(Tabela3[[#This Row],[Categoria]],Cadastros!A:C,3,0),"")</f>
        <v/>
      </c>
      <c r="Q1662" s="9" t="str">
        <f ca="1">IFERROR(Tabela3[[#This Row],[Vida útil]]-Tabela3[[#This Row],[Idade]],"")</f>
        <v/>
      </c>
      <c r="R1662" s="23" t="str">
        <f ca="1">IFERROR(Tabela3[[#This Row],[Valor]]-(Tabela3[[#This Row],[Valor]]*(Tabela3[[#This Row],[Idade]]*VLOOKUP(Tabela3[[#This Row],[Categoria]],Cadastros!A:B,2,0))),"")</f>
        <v/>
      </c>
    </row>
    <row r="1663" spans="4:18" x14ac:dyDescent="0.25">
      <c r="D1663" s="5"/>
      <c r="N1663" s="6" t="str">
        <f>IFERROR(Tabela3[[#This Row],[Última revisão do bem]]+(VLOOKUP(Tabela3[[#This Row],[Categoria]],Cadastros!A:D,4,0)+365),"")</f>
        <v/>
      </c>
      <c r="O1663" s="7" t="str">
        <f ca="1">IF(Tabela3[[#This Row],[Data da compra]]&gt;0,(TODAY()-Tabela3[[#This Row],[Data da compra]])/365,"")</f>
        <v/>
      </c>
      <c r="P1663" s="7" t="str">
        <f>IFERROR(VLOOKUP(Tabela3[[#This Row],[Categoria]],Cadastros!A:C,3,0),"")</f>
        <v/>
      </c>
      <c r="Q1663" s="9" t="str">
        <f ca="1">IFERROR(Tabela3[[#This Row],[Vida útil]]-Tabela3[[#This Row],[Idade]],"")</f>
        <v/>
      </c>
      <c r="R1663" s="8" t="str">
        <f ca="1">IFERROR(Tabela3[[#This Row],[Valor]]-(Tabela3[[#This Row],[Valor]]*(Tabela3[[#This Row],[Idade]]*VLOOKUP(Tabela3[[#This Row],[Categoria]],Cadastros!A:B,2,0))),"")</f>
        <v/>
      </c>
    </row>
    <row r="1664" spans="4:18" x14ac:dyDescent="0.25">
      <c r="D1664" s="5"/>
      <c r="N1664" s="6" t="str">
        <f>IFERROR(Tabela3[[#This Row],[Última revisão do bem]]+(VLOOKUP(Tabela3[[#This Row],[Categoria]],Cadastros!A:D,4,0)+365),"")</f>
        <v/>
      </c>
      <c r="O1664" s="7" t="str">
        <f ca="1">IF(Tabela3[[#This Row],[Data da compra]]&gt;0,(TODAY()-Tabela3[[#This Row],[Data da compra]])/365,"")</f>
        <v/>
      </c>
      <c r="P1664" s="7" t="str">
        <f>IFERROR(VLOOKUP(Tabela3[[#This Row],[Categoria]],Cadastros!A:C,3,0),"")</f>
        <v/>
      </c>
      <c r="Q1664" s="9" t="str">
        <f ca="1">IFERROR(Tabela3[[#This Row],[Vida útil]]-Tabela3[[#This Row],[Idade]],"")</f>
        <v/>
      </c>
      <c r="R1664" s="8" t="str">
        <f ca="1">IFERROR(Tabela3[[#This Row],[Valor]]-(Tabela3[[#This Row],[Valor]]*(Tabela3[[#This Row],[Idade]]*VLOOKUP(Tabela3[[#This Row],[Categoria]],Cadastros!A:B,2,0))),"")</f>
        <v/>
      </c>
    </row>
    <row r="1665" spans="4:18" x14ac:dyDescent="0.25">
      <c r="D1665" s="5"/>
      <c r="N1665" s="6" t="str">
        <f>IFERROR(Tabela3[[#This Row],[Última revisão do bem]]+(VLOOKUP(Tabela3[[#This Row],[Categoria]],Cadastros!A:D,4,0)+365),"")</f>
        <v/>
      </c>
      <c r="O1665" s="7" t="str">
        <f ca="1">IF(Tabela3[[#This Row],[Data da compra]]&gt;0,(TODAY()-Tabela3[[#This Row],[Data da compra]])/365,"")</f>
        <v/>
      </c>
      <c r="P1665" s="7" t="str">
        <f>IFERROR(VLOOKUP(Tabela3[[#This Row],[Categoria]],Cadastros!A:C,3,0),"")</f>
        <v/>
      </c>
      <c r="Q1665" s="9" t="str">
        <f ca="1">IFERROR(Tabela3[[#This Row],[Vida útil]]-Tabela3[[#This Row],[Idade]],"")</f>
        <v/>
      </c>
      <c r="R1665" s="8" t="str">
        <f ca="1">IFERROR(Tabela3[[#This Row],[Valor]]-(Tabela3[[#This Row],[Valor]]*(Tabela3[[#This Row],[Idade]]*VLOOKUP(Tabela3[[#This Row],[Categoria]],Cadastros!A:B,2,0))),"")</f>
        <v/>
      </c>
    </row>
    <row r="1666" spans="4:18" x14ac:dyDescent="0.25">
      <c r="D1666" s="5"/>
      <c r="N1666" s="6" t="str">
        <f>IFERROR(Tabela3[[#This Row],[Última revisão do bem]]+(VLOOKUP(Tabela3[[#This Row],[Categoria]],Cadastros!A:D,4,0)+365),"")</f>
        <v/>
      </c>
      <c r="O1666" s="7" t="str">
        <f ca="1">IF(Tabela3[[#This Row],[Data da compra]]&gt;0,(TODAY()-Tabela3[[#This Row],[Data da compra]])/365,"")</f>
        <v/>
      </c>
      <c r="P1666" s="7" t="str">
        <f>IFERROR(VLOOKUP(Tabela3[[#This Row],[Categoria]],Cadastros!A:C,3,0),"")</f>
        <v/>
      </c>
      <c r="Q1666" s="9" t="str">
        <f ca="1">IFERROR(Tabela3[[#This Row],[Vida útil]]-Tabela3[[#This Row],[Idade]],"")</f>
        <v/>
      </c>
      <c r="R1666" s="8" t="str">
        <f ca="1">IFERROR(Tabela3[[#This Row],[Valor]]-(Tabela3[[#This Row],[Valor]]*(Tabela3[[#This Row],[Idade]]*VLOOKUP(Tabela3[[#This Row],[Categoria]],Cadastros!A:B,2,0))),"")</f>
        <v/>
      </c>
    </row>
    <row r="1667" spans="4:18" x14ac:dyDescent="0.25">
      <c r="D1667" s="5"/>
      <c r="N1667" s="6" t="str">
        <f>IFERROR(Tabela3[[#This Row],[Última revisão do bem]]+(VLOOKUP(Tabela3[[#This Row],[Categoria]],Cadastros!A:D,4,0)+365),"")</f>
        <v/>
      </c>
      <c r="O1667" s="7" t="str">
        <f ca="1">IF(Tabela3[[#This Row],[Data da compra]]&gt;0,(TODAY()-Tabela3[[#This Row],[Data da compra]])/365,"")</f>
        <v/>
      </c>
      <c r="P1667" s="7" t="str">
        <f>IFERROR(VLOOKUP(Tabela3[[#This Row],[Categoria]],Cadastros!A:C,3,0),"")</f>
        <v/>
      </c>
      <c r="Q1667" s="9" t="str">
        <f ca="1">IFERROR(Tabela3[[#This Row],[Vida útil]]-Tabela3[[#This Row],[Idade]],"")</f>
        <v/>
      </c>
      <c r="R1667" s="8" t="str">
        <f ca="1">IFERROR(Tabela3[[#This Row],[Valor]]-(Tabela3[[#This Row],[Valor]]*(Tabela3[[#This Row],[Idade]]*VLOOKUP(Tabela3[[#This Row],[Categoria]],Cadastros!A:B,2,0))),"")</f>
        <v/>
      </c>
    </row>
    <row r="1668" spans="4:18" x14ac:dyDescent="0.25">
      <c r="D1668" s="5"/>
      <c r="N1668" s="6" t="str">
        <f>IFERROR(Tabela3[[#This Row],[Última revisão do bem]]+(VLOOKUP(Tabela3[[#This Row],[Categoria]],Cadastros!A:D,4,0)+365),"")</f>
        <v/>
      </c>
      <c r="O1668" s="7" t="str">
        <f ca="1">IF(Tabela3[[#This Row],[Data da compra]]&gt;0,(TODAY()-Tabela3[[#This Row],[Data da compra]])/365,"")</f>
        <v/>
      </c>
      <c r="P1668" s="7" t="str">
        <f>IFERROR(VLOOKUP(Tabela3[[#This Row],[Categoria]],Cadastros!A:C,3,0),"")</f>
        <v/>
      </c>
      <c r="Q1668" s="9" t="str">
        <f ca="1">IFERROR(Tabela3[[#This Row],[Vida útil]]-Tabela3[[#This Row],[Idade]],"")</f>
        <v/>
      </c>
      <c r="R1668" s="8" t="str">
        <f ca="1">IFERROR(Tabela3[[#This Row],[Valor]]-(Tabela3[[#This Row],[Valor]]*(Tabela3[[#This Row],[Idade]]*VLOOKUP(Tabela3[[#This Row],[Categoria]],Cadastros!A:B,2,0))),"")</f>
        <v/>
      </c>
    </row>
    <row r="1669" spans="4:18" x14ac:dyDescent="0.25">
      <c r="D1669" s="5"/>
      <c r="N1669" s="6" t="str">
        <f>IFERROR(Tabela3[[#This Row],[Última revisão do bem]]+(VLOOKUP(Tabela3[[#This Row],[Categoria]],Cadastros!A:D,4,0)+365),"")</f>
        <v/>
      </c>
      <c r="O1669" s="7" t="str">
        <f ca="1">IF(Tabela3[[#This Row],[Data da compra]]&gt;0,(TODAY()-Tabela3[[#This Row],[Data da compra]])/365,"")</f>
        <v/>
      </c>
      <c r="P1669" s="7" t="str">
        <f>IFERROR(VLOOKUP(Tabela3[[#This Row],[Categoria]],Cadastros!A:C,3,0),"")</f>
        <v/>
      </c>
      <c r="Q1669" s="9" t="str">
        <f ca="1">IFERROR(Tabela3[[#This Row],[Vida útil]]-Tabela3[[#This Row],[Idade]],"")</f>
        <v/>
      </c>
      <c r="R1669" s="8" t="str">
        <f ca="1">IFERROR(Tabela3[[#This Row],[Valor]]-(Tabela3[[#This Row],[Valor]]*(Tabela3[[#This Row],[Idade]]*VLOOKUP(Tabela3[[#This Row],[Categoria]],Cadastros!A:B,2,0))),"")</f>
        <v/>
      </c>
    </row>
    <row r="1670" spans="4:18" x14ac:dyDescent="0.25">
      <c r="D1670" s="5"/>
      <c r="N1670" s="6" t="str">
        <f>IFERROR(Tabela3[[#This Row],[Última revisão do bem]]+(VLOOKUP(Tabela3[[#This Row],[Categoria]],Cadastros!A:D,4,0)+365),"")</f>
        <v/>
      </c>
      <c r="O1670" s="7" t="str">
        <f ca="1">IF(Tabela3[[#This Row],[Data da compra]]&gt;0,(TODAY()-Tabela3[[#This Row],[Data da compra]])/365,"")</f>
        <v/>
      </c>
      <c r="P1670" s="7" t="str">
        <f>IFERROR(VLOOKUP(Tabela3[[#This Row],[Categoria]],Cadastros!A:C,3,0),"")</f>
        <v/>
      </c>
      <c r="Q1670" s="9" t="str">
        <f ca="1">IFERROR(Tabela3[[#This Row],[Vida útil]]-Tabela3[[#This Row],[Idade]],"")</f>
        <v/>
      </c>
      <c r="R1670" s="8" t="str">
        <f ca="1">IFERROR(Tabela3[[#This Row],[Valor]]-(Tabela3[[#This Row],[Valor]]*(Tabela3[[#This Row],[Idade]]*VLOOKUP(Tabela3[[#This Row],[Categoria]],Cadastros!A:B,2,0))),"")</f>
        <v/>
      </c>
    </row>
    <row r="1671" spans="4:18" x14ac:dyDescent="0.25">
      <c r="D1671" s="5"/>
      <c r="N1671" s="6" t="str">
        <f>IFERROR(Tabela3[[#This Row],[Última revisão do bem]]+(VLOOKUP(Tabela3[[#This Row],[Categoria]],Cadastros!A:D,4,0)+365),"")</f>
        <v/>
      </c>
      <c r="O1671" s="7" t="str">
        <f ca="1">IF(Tabela3[[#This Row],[Data da compra]]&gt;0,(TODAY()-Tabela3[[#This Row],[Data da compra]])/365,"")</f>
        <v/>
      </c>
      <c r="P1671" s="7" t="str">
        <f>IFERROR(VLOOKUP(Tabela3[[#This Row],[Categoria]],Cadastros!A:C,3,0),"")</f>
        <v/>
      </c>
      <c r="Q1671" s="9" t="str">
        <f ca="1">IFERROR(Tabela3[[#This Row],[Vida útil]]-Tabela3[[#This Row],[Idade]],"")</f>
        <v/>
      </c>
      <c r="R1671" s="8" t="str">
        <f ca="1">IFERROR(Tabela3[[#This Row],[Valor]]-(Tabela3[[#This Row],[Valor]]*(Tabela3[[#This Row],[Idade]]*VLOOKUP(Tabela3[[#This Row],[Categoria]],Cadastros!A:B,2,0))),"")</f>
        <v/>
      </c>
    </row>
    <row r="1672" spans="4:18" x14ac:dyDescent="0.25">
      <c r="D1672" s="5"/>
      <c r="N1672" s="6" t="str">
        <f>IFERROR(Tabela3[[#This Row],[Última revisão do bem]]+(VLOOKUP(Tabela3[[#This Row],[Categoria]],Cadastros!A:D,4,0)+365),"")</f>
        <v/>
      </c>
      <c r="O1672" s="7" t="str">
        <f ca="1">IF(Tabela3[[#This Row],[Data da compra]]&gt;0,(TODAY()-Tabela3[[#This Row],[Data da compra]])/365,"")</f>
        <v/>
      </c>
      <c r="P1672" s="7" t="str">
        <f>IFERROR(VLOOKUP(Tabela3[[#This Row],[Categoria]],Cadastros!A:C,3,0),"")</f>
        <v/>
      </c>
      <c r="Q1672" s="9" t="str">
        <f ca="1">IFERROR(Tabela3[[#This Row],[Vida útil]]-Tabela3[[#This Row],[Idade]],"")</f>
        <v/>
      </c>
      <c r="R1672" s="8" t="str">
        <f ca="1">IFERROR(Tabela3[[#This Row],[Valor]]-(Tabela3[[#This Row],[Valor]]*(Tabela3[[#This Row],[Idade]]*VLOOKUP(Tabela3[[#This Row],[Categoria]],Cadastros!A:B,2,0))),"")</f>
        <v/>
      </c>
    </row>
    <row r="1673" spans="4:18" x14ac:dyDescent="0.25">
      <c r="D1673" s="5"/>
      <c r="N1673" s="6" t="str">
        <f>IFERROR(Tabela3[[#This Row],[Última revisão do bem]]+(VLOOKUP(Tabela3[[#This Row],[Categoria]],Cadastros!A:D,4,0)+365),"")</f>
        <v/>
      </c>
      <c r="O1673" s="7" t="str">
        <f ca="1">IF(Tabela3[[#This Row],[Data da compra]]&gt;0,(TODAY()-Tabela3[[#This Row],[Data da compra]])/365,"")</f>
        <v/>
      </c>
      <c r="P1673" s="7" t="str">
        <f>IFERROR(VLOOKUP(Tabela3[[#This Row],[Categoria]],Cadastros!A:C,3,0),"")</f>
        <v/>
      </c>
      <c r="Q1673" s="9" t="str">
        <f ca="1">IFERROR(Tabela3[[#This Row],[Vida útil]]-Tabela3[[#This Row],[Idade]],"")</f>
        <v/>
      </c>
      <c r="R1673" s="8" t="str">
        <f ca="1">IFERROR(Tabela3[[#This Row],[Valor]]-(Tabela3[[#This Row],[Valor]]*(Tabela3[[#This Row],[Idade]]*VLOOKUP(Tabela3[[#This Row],[Categoria]],Cadastros!A:B,2,0))),"")</f>
        <v/>
      </c>
    </row>
    <row r="1674" spans="4:18" x14ac:dyDescent="0.25">
      <c r="D1674" s="5"/>
      <c r="N1674" s="6" t="str">
        <f>IFERROR(Tabela3[[#This Row],[Última revisão do bem]]+(VLOOKUP(Tabela3[[#This Row],[Categoria]],Cadastros!A:D,4,0)+365),"")</f>
        <v/>
      </c>
      <c r="O1674" s="7" t="str">
        <f ca="1">IF(Tabela3[[#This Row],[Data da compra]]&gt;0,(TODAY()-Tabela3[[#This Row],[Data da compra]])/365,"")</f>
        <v/>
      </c>
      <c r="P1674" s="7" t="str">
        <f>IFERROR(VLOOKUP(Tabela3[[#This Row],[Categoria]],Cadastros!A:C,3,0),"")</f>
        <v/>
      </c>
      <c r="Q1674" s="9" t="str">
        <f ca="1">IFERROR(Tabela3[[#This Row],[Vida útil]]-Tabela3[[#This Row],[Idade]],"")</f>
        <v/>
      </c>
      <c r="R1674" s="8" t="str">
        <f ca="1">IFERROR(Tabela3[[#This Row],[Valor]]-(Tabela3[[#This Row],[Valor]]*(Tabela3[[#This Row],[Idade]]*VLOOKUP(Tabela3[[#This Row],[Categoria]],Cadastros!A:B,2,0))),"")</f>
        <v/>
      </c>
    </row>
    <row r="1675" spans="4:18" x14ac:dyDescent="0.25">
      <c r="D1675" s="5"/>
      <c r="N1675" s="6" t="str">
        <f>IFERROR(Tabela3[[#This Row],[Última revisão do bem]]+(VLOOKUP(Tabela3[[#This Row],[Categoria]],Cadastros!A:D,4,0)+365),"")</f>
        <v/>
      </c>
      <c r="O1675" s="7" t="str">
        <f ca="1">IF(Tabela3[[#This Row],[Data da compra]]&gt;0,(TODAY()-Tabela3[[#This Row],[Data da compra]])/365,"")</f>
        <v/>
      </c>
      <c r="P1675" s="7" t="str">
        <f>IFERROR(VLOOKUP(Tabela3[[#This Row],[Categoria]],Cadastros!A:C,3,0),"")</f>
        <v/>
      </c>
      <c r="Q1675" s="9" t="str">
        <f ca="1">IFERROR(Tabela3[[#This Row],[Vida útil]]-Tabela3[[#This Row],[Idade]],"")</f>
        <v/>
      </c>
      <c r="R1675" s="8" t="str">
        <f ca="1">IFERROR(Tabela3[[#This Row],[Valor]]-(Tabela3[[#This Row],[Valor]]*(Tabela3[[#This Row],[Idade]]*VLOOKUP(Tabela3[[#This Row],[Categoria]],Cadastros!A:B,2,0))),"")</f>
        <v/>
      </c>
    </row>
    <row r="1676" spans="4:18" x14ac:dyDescent="0.25">
      <c r="D1676" s="5"/>
      <c r="N1676" s="6" t="str">
        <f>IFERROR(Tabela3[[#This Row],[Última revisão do bem]]+(VLOOKUP(Tabela3[[#This Row],[Categoria]],Cadastros!A:D,4,0)+365),"")</f>
        <v/>
      </c>
      <c r="O1676" s="7" t="str">
        <f ca="1">IF(Tabela3[[#This Row],[Data da compra]]&gt;0,(TODAY()-Tabela3[[#This Row],[Data da compra]])/365,"")</f>
        <v/>
      </c>
      <c r="P1676" s="7" t="str">
        <f>IFERROR(VLOOKUP(Tabela3[[#This Row],[Categoria]],Cadastros!A:C,3,0),"")</f>
        <v/>
      </c>
      <c r="Q1676" s="9" t="str">
        <f ca="1">IFERROR(Tabela3[[#This Row],[Vida útil]]-Tabela3[[#This Row],[Idade]],"")</f>
        <v/>
      </c>
      <c r="R1676" s="8" t="str">
        <f ca="1">IFERROR(Tabela3[[#This Row],[Valor]]-(Tabela3[[#This Row],[Valor]]*(Tabela3[[#This Row],[Idade]]*VLOOKUP(Tabela3[[#This Row],[Categoria]],Cadastros!A:B,2,0))),"")</f>
        <v/>
      </c>
    </row>
    <row r="1677" spans="4:18" x14ac:dyDescent="0.25">
      <c r="D1677" s="5"/>
      <c r="N1677" s="6" t="str">
        <f>IFERROR(Tabela3[[#This Row],[Última revisão do bem]]+(VLOOKUP(Tabela3[[#This Row],[Categoria]],Cadastros!A:D,4,0)+365),"")</f>
        <v/>
      </c>
      <c r="O1677" s="7" t="str">
        <f ca="1">IF(Tabela3[[#This Row],[Data da compra]]&gt;0,(TODAY()-Tabela3[[#This Row],[Data da compra]])/365,"")</f>
        <v/>
      </c>
      <c r="P1677" s="7" t="str">
        <f>IFERROR(VLOOKUP(Tabela3[[#This Row],[Categoria]],Cadastros!A:C,3,0),"")</f>
        <v/>
      </c>
      <c r="Q1677" s="9" t="str">
        <f ca="1">IFERROR(Tabela3[[#This Row],[Vida útil]]-Tabela3[[#This Row],[Idade]],"")</f>
        <v/>
      </c>
      <c r="R1677" s="8" t="str">
        <f ca="1">IFERROR(Tabela3[[#This Row],[Valor]]-(Tabela3[[#This Row],[Valor]]*(Tabela3[[#This Row],[Idade]]*VLOOKUP(Tabela3[[#This Row],[Categoria]],Cadastros!A:B,2,0))),"")</f>
        <v/>
      </c>
    </row>
    <row r="1678" spans="4:18" x14ac:dyDescent="0.25">
      <c r="D1678" s="5"/>
      <c r="N1678" s="6" t="str">
        <f>IFERROR(Tabela3[[#This Row],[Última revisão do bem]]+(VLOOKUP(Tabela3[[#This Row],[Categoria]],Cadastros!A:D,4,0)+365),"")</f>
        <v/>
      </c>
      <c r="O1678" s="7" t="str">
        <f ca="1">IF(Tabela3[[#This Row],[Data da compra]]&gt;0,(TODAY()-Tabela3[[#This Row],[Data da compra]])/365,"")</f>
        <v/>
      </c>
      <c r="P1678" s="7" t="str">
        <f>IFERROR(VLOOKUP(Tabela3[[#This Row],[Categoria]],Cadastros!A:C,3,0),"")</f>
        <v/>
      </c>
      <c r="Q1678" s="9" t="str">
        <f ca="1">IFERROR(Tabela3[[#This Row],[Vida útil]]-Tabela3[[#This Row],[Idade]],"")</f>
        <v/>
      </c>
      <c r="R1678" s="8" t="str">
        <f ca="1">IFERROR(Tabela3[[#This Row],[Valor]]-(Tabela3[[#This Row],[Valor]]*(Tabela3[[#This Row],[Idade]]*VLOOKUP(Tabela3[[#This Row],[Categoria]],Cadastros!A:B,2,0))),"")</f>
        <v/>
      </c>
    </row>
    <row r="1679" spans="4:18" x14ac:dyDescent="0.25">
      <c r="D1679" s="5"/>
      <c r="N1679" s="6" t="str">
        <f>IFERROR(Tabela3[[#This Row],[Última revisão do bem]]+(VLOOKUP(Tabela3[[#This Row],[Categoria]],Cadastros!A:D,4,0)+365),"")</f>
        <v/>
      </c>
      <c r="O1679" s="7" t="str">
        <f ca="1">IF(Tabela3[[#This Row],[Data da compra]]&gt;0,(TODAY()-Tabela3[[#This Row],[Data da compra]])/365,"")</f>
        <v/>
      </c>
      <c r="P1679" s="7" t="str">
        <f>IFERROR(VLOOKUP(Tabela3[[#This Row],[Categoria]],Cadastros!A:C,3,0),"")</f>
        <v/>
      </c>
      <c r="Q1679" s="9" t="str">
        <f ca="1">IFERROR(Tabela3[[#This Row],[Vida útil]]-Tabela3[[#This Row],[Idade]],"")</f>
        <v/>
      </c>
      <c r="R1679" s="8" t="str">
        <f ca="1">IFERROR(Tabela3[[#This Row],[Valor]]-(Tabela3[[#This Row],[Valor]]*(Tabela3[[#This Row],[Idade]]*VLOOKUP(Tabela3[[#This Row],[Categoria]],Cadastros!A:B,2,0))),"")</f>
        <v/>
      </c>
    </row>
    <row r="1680" spans="4:18" x14ac:dyDescent="0.25">
      <c r="D1680" s="22"/>
      <c r="N1680" s="6" t="str">
        <f>IFERROR(Tabela3[[#This Row],[Última revisão do bem]]+(VLOOKUP(Tabela3[[#This Row],[Categoria]],Cadastros!A:D,4,0)+365),"")</f>
        <v/>
      </c>
      <c r="O1680" s="7" t="str">
        <f ca="1">IF(Tabela3[[#This Row],[Data da compra]]&gt;0,(TODAY()-Tabela3[[#This Row],[Data da compra]])/365,"")</f>
        <v/>
      </c>
      <c r="P1680" s="7" t="str">
        <f>IFERROR(VLOOKUP(Tabela3[[#This Row],[Categoria]],Cadastros!A:C,3,0),"")</f>
        <v/>
      </c>
      <c r="Q1680" s="9" t="str">
        <f ca="1">IFERROR(Tabela3[[#This Row],[Vida útil]]-Tabela3[[#This Row],[Idade]],"")</f>
        <v/>
      </c>
      <c r="R1680" s="23" t="str">
        <f ca="1">IFERROR(Tabela3[[#This Row],[Valor]]-(Tabela3[[#This Row],[Valor]]*(Tabela3[[#This Row],[Idade]]*VLOOKUP(Tabela3[[#This Row],[Categoria]],Cadastros!A:B,2,0))),"")</f>
        <v/>
      </c>
    </row>
    <row r="1681" spans="4:18" x14ac:dyDescent="0.25">
      <c r="D1681" s="5"/>
      <c r="N1681" s="6" t="str">
        <f>IFERROR(Tabela3[[#This Row],[Última revisão do bem]]+(VLOOKUP(Tabela3[[#This Row],[Categoria]],Cadastros!A:D,4,0)+365),"")</f>
        <v/>
      </c>
      <c r="O1681" s="7" t="str">
        <f ca="1">IF(Tabela3[[#This Row],[Data da compra]]&gt;0,(TODAY()-Tabela3[[#This Row],[Data da compra]])/365,"")</f>
        <v/>
      </c>
      <c r="P1681" s="7" t="str">
        <f>IFERROR(VLOOKUP(Tabela3[[#This Row],[Categoria]],Cadastros!A:C,3,0),"")</f>
        <v/>
      </c>
      <c r="Q1681" s="9" t="str">
        <f ca="1">IFERROR(Tabela3[[#This Row],[Vida útil]]-Tabela3[[#This Row],[Idade]],"")</f>
        <v/>
      </c>
      <c r="R1681" s="8" t="str">
        <f ca="1">IFERROR(Tabela3[[#This Row],[Valor]]-(Tabela3[[#This Row],[Valor]]*(Tabela3[[#This Row],[Idade]]*VLOOKUP(Tabela3[[#This Row],[Categoria]],Cadastros!A:B,2,0))),"")</f>
        <v/>
      </c>
    </row>
    <row r="1682" spans="4:18" x14ac:dyDescent="0.25">
      <c r="D1682" s="5"/>
      <c r="N1682" s="6" t="str">
        <f>IFERROR(Tabela3[[#This Row],[Última revisão do bem]]+(VLOOKUP(Tabela3[[#This Row],[Categoria]],Cadastros!A:D,4,0)+365),"")</f>
        <v/>
      </c>
      <c r="O1682" s="7" t="str">
        <f ca="1">IF(Tabela3[[#This Row],[Data da compra]]&gt;0,(TODAY()-Tabela3[[#This Row],[Data da compra]])/365,"")</f>
        <v/>
      </c>
      <c r="P1682" s="7" t="str">
        <f>IFERROR(VLOOKUP(Tabela3[[#This Row],[Categoria]],Cadastros!A:C,3,0),"")</f>
        <v/>
      </c>
      <c r="Q1682" s="9" t="str">
        <f ca="1">IFERROR(Tabela3[[#This Row],[Vida útil]]-Tabela3[[#This Row],[Idade]],"")</f>
        <v/>
      </c>
      <c r="R1682" s="8" t="str">
        <f ca="1">IFERROR(Tabela3[[#This Row],[Valor]]-(Tabela3[[#This Row],[Valor]]*(Tabela3[[#This Row],[Idade]]*VLOOKUP(Tabela3[[#This Row],[Categoria]],Cadastros!A:B,2,0))),"")</f>
        <v/>
      </c>
    </row>
    <row r="1683" spans="4:18" x14ac:dyDescent="0.25">
      <c r="D1683" s="5"/>
      <c r="N1683" s="6" t="str">
        <f>IFERROR(Tabela3[[#This Row],[Última revisão do bem]]+(VLOOKUP(Tabela3[[#This Row],[Categoria]],Cadastros!A:D,4,0)+365),"")</f>
        <v/>
      </c>
      <c r="O1683" s="7" t="str">
        <f ca="1">IF(Tabela3[[#This Row],[Data da compra]]&gt;0,(TODAY()-Tabela3[[#This Row],[Data da compra]])/365,"")</f>
        <v/>
      </c>
      <c r="P1683" s="7" t="str">
        <f>IFERROR(VLOOKUP(Tabela3[[#This Row],[Categoria]],Cadastros!A:C,3,0),"")</f>
        <v/>
      </c>
      <c r="Q1683" s="9" t="str">
        <f ca="1">IFERROR(Tabela3[[#This Row],[Vida útil]]-Tabela3[[#This Row],[Idade]],"")</f>
        <v/>
      </c>
      <c r="R1683" s="8" t="str">
        <f ca="1">IFERROR(Tabela3[[#This Row],[Valor]]-(Tabela3[[#This Row],[Valor]]*(Tabela3[[#This Row],[Idade]]*VLOOKUP(Tabela3[[#This Row],[Categoria]],Cadastros!A:B,2,0))),"")</f>
        <v/>
      </c>
    </row>
    <row r="1684" spans="4:18" x14ac:dyDescent="0.25">
      <c r="D1684" s="5"/>
      <c r="N1684" s="6" t="str">
        <f>IFERROR(Tabela3[[#This Row],[Última revisão do bem]]+(VLOOKUP(Tabela3[[#This Row],[Categoria]],Cadastros!A:D,4,0)+365),"")</f>
        <v/>
      </c>
      <c r="O1684" s="7" t="str">
        <f ca="1">IF(Tabela3[[#This Row],[Data da compra]]&gt;0,(TODAY()-Tabela3[[#This Row],[Data da compra]])/365,"")</f>
        <v/>
      </c>
      <c r="P1684" s="7" t="str">
        <f>IFERROR(VLOOKUP(Tabela3[[#This Row],[Categoria]],Cadastros!A:C,3,0),"")</f>
        <v/>
      </c>
      <c r="Q1684" s="9" t="str">
        <f ca="1">IFERROR(Tabela3[[#This Row],[Vida útil]]-Tabela3[[#This Row],[Idade]],"")</f>
        <v/>
      </c>
      <c r="R1684" s="8" t="str">
        <f ca="1">IFERROR(Tabela3[[#This Row],[Valor]]-(Tabela3[[#This Row],[Valor]]*(Tabela3[[#This Row],[Idade]]*VLOOKUP(Tabela3[[#This Row],[Categoria]],Cadastros!A:B,2,0))),"")</f>
        <v/>
      </c>
    </row>
    <row r="1685" spans="4:18" x14ac:dyDescent="0.25">
      <c r="D1685" s="5"/>
      <c r="N1685" s="6" t="str">
        <f>IFERROR(Tabela3[[#This Row],[Última revisão do bem]]+(VLOOKUP(Tabela3[[#This Row],[Categoria]],Cadastros!A:D,4,0)+365),"")</f>
        <v/>
      </c>
      <c r="O1685" s="7" t="str">
        <f ca="1">IF(Tabela3[[#This Row],[Data da compra]]&gt;0,(TODAY()-Tabela3[[#This Row],[Data da compra]])/365,"")</f>
        <v/>
      </c>
      <c r="P1685" s="7" t="str">
        <f>IFERROR(VLOOKUP(Tabela3[[#This Row],[Categoria]],Cadastros!A:C,3,0),"")</f>
        <v/>
      </c>
      <c r="Q1685" s="9" t="str">
        <f ca="1">IFERROR(Tabela3[[#This Row],[Vida útil]]-Tabela3[[#This Row],[Idade]],"")</f>
        <v/>
      </c>
      <c r="R1685" s="8" t="str">
        <f ca="1">IFERROR(Tabela3[[#This Row],[Valor]]-(Tabela3[[#This Row],[Valor]]*(Tabela3[[#This Row],[Idade]]*VLOOKUP(Tabela3[[#This Row],[Categoria]],Cadastros!A:B,2,0))),"")</f>
        <v/>
      </c>
    </row>
    <row r="1686" spans="4:18" x14ac:dyDescent="0.25">
      <c r="D1686" s="5"/>
      <c r="N1686" s="6" t="str">
        <f>IFERROR(Tabela3[[#This Row],[Última revisão do bem]]+(VLOOKUP(Tabela3[[#This Row],[Categoria]],Cadastros!A:D,4,0)+365),"")</f>
        <v/>
      </c>
      <c r="O1686" s="7" t="str">
        <f ca="1">IF(Tabela3[[#This Row],[Data da compra]]&gt;0,(TODAY()-Tabela3[[#This Row],[Data da compra]])/365,"")</f>
        <v/>
      </c>
      <c r="P1686" s="7" t="str">
        <f>IFERROR(VLOOKUP(Tabela3[[#This Row],[Categoria]],Cadastros!A:C,3,0),"")</f>
        <v/>
      </c>
      <c r="Q1686" s="9" t="str">
        <f ca="1">IFERROR(Tabela3[[#This Row],[Vida útil]]-Tabela3[[#This Row],[Idade]],"")</f>
        <v/>
      </c>
      <c r="R1686" s="8" t="str">
        <f ca="1">IFERROR(Tabela3[[#This Row],[Valor]]-(Tabela3[[#This Row],[Valor]]*(Tabela3[[#This Row],[Idade]]*VLOOKUP(Tabela3[[#This Row],[Categoria]],Cadastros!A:B,2,0))),"")</f>
        <v/>
      </c>
    </row>
    <row r="1687" spans="4:18" x14ac:dyDescent="0.25">
      <c r="D1687" s="5"/>
      <c r="N1687" s="6" t="str">
        <f>IFERROR(Tabela3[[#This Row],[Última revisão do bem]]+(VLOOKUP(Tabela3[[#This Row],[Categoria]],Cadastros!A:D,4,0)+365),"")</f>
        <v/>
      </c>
      <c r="O1687" s="7" t="str">
        <f ca="1">IF(Tabela3[[#This Row],[Data da compra]]&gt;0,(TODAY()-Tabela3[[#This Row],[Data da compra]])/365,"")</f>
        <v/>
      </c>
      <c r="P1687" s="7" t="str">
        <f>IFERROR(VLOOKUP(Tabela3[[#This Row],[Categoria]],Cadastros!A:C,3,0),"")</f>
        <v/>
      </c>
      <c r="Q1687" s="9" t="str">
        <f ca="1">IFERROR(Tabela3[[#This Row],[Vida útil]]-Tabela3[[#This Row],[Idade]],"")</f>
        <v/>
      </c>
      <c r="R1687" s="8" t="str">
        <f ca="1">IFERROR(Tabela3[[#This Row],[Valor]]-(Tabela3[[#This Row],[Valor]]*(Tabela3[[#This Row],[Idade]]*VLOOKUP(Tabela3[[#This Row],[Categoria]],Cadastros!A:B,2,0))),"")</f>
        <v/>
      </c>
    </row>
    <row r="1688" spans="4:18" x14ac:dyDescent="0.25">
      <c r="D1688" s="5"/>
      <c r="N1688" s="6" t="str">
        <f>IFERROR(Tabela3[[#This Row],[Última revisão do bem]]+(VLOOKUP(Tabela3[[#This Row],[Categoria]],Cadastros!A:D,4,0)+365),"")</f>
        <v/>
      </c>
      <c r="O1688" s="7" t="str">
        <f ca="1">IF(Tabela3[[#This Row],[Data da compra]]&gt;0,(TODAY()-Tabela3[[#This Row],[Data da compra]])/365,"")</f>
        <v/>
      </c>
      <c r="P1688" s="7" t="str">
        <f>IFERROR(VLOOKUP(Tabela3[[#This Row],[Categoria]],Cadastros!A:C,3,0),"")</f>
        <v/>
      </c>
      <c r="Q1688" s="9" t="str">
        <f ca="1">IFERROR(Tabela3[[#This Row],[Vida útil]]-Tabela3[[#This Row],[Idade]],"")</f>
        <v/>
      </c>
      <c r="R1688" s="8" t="str">
        <f ca="1">IFERROR(Tabela3[[#This Row],[Valor]]-(Tabela3[[#This Row],[Valor]]*(Tabela3[[#This Row],[Idade]]*VLOOKUP(Tabela3[[#This Row],[Categoria]],Cadastros!A:B,2,0))),"")</f>
        <v/>
      </c>
    </row>
    <row r="1689" spans="4:18" x14ac:dyDescent="0.25">
      <c r="D1689" s="5"/>
      <c r="N1689" s="6" t="str">
        <f>IFERROR(Tabela3[[#This Row],[Última revisão do bem]]+(VLOOKUP(Tabela3[[#This Row],[Categoria]],Cadastros!A:D,4,0)+365),"")</f>
        <v/>
      </c>
      <c r="O1689" s="7" t="str">
        <f ca="1">IF(Tabela3[[#This Row],[Data da compra]]&gt;0,(TODAY()-Tabela3[[#This Row],[Data da compra]])/365,"")</f>
        <v/>
      </c>
      <c r="P1689" s="7" t="str">
        <f>IFERROR(VLOOKUP(Tabela3[[#This Row],[Categoria]],Cadastros!A:C,3,0),"")</f>
        <v/>
      </c>
      <c r="Q1689" s="9" t="str">
        <f ca="1">IFERROR(Tabela3[[#This Row],[Vida útil]]-Tabela3[[#This Row],[Idade]],"")</f>
        <v/>
      </c>
      <c r="R1689" s="8" t="str">
        <f ca="1">IFERROR(Tabela3[[#This Row],[Valor]]-(Tabela3[[#This Row],[Valor]]*(Tabela3[[#This Row],[Idade]]*VLOOKUP(Tabela3[[#This Row],[Categoria]],Cadastros!A:B,2,0))),"")</f>
        <v/>
      </c>
    </row>
    <row r="1690" spans="4:18" x14ac:dyDescent="0.25">
      <c r="D1690" s="5"/>
      <c r="N1690" s="6" t="str">
        <f>IFERROR(Tabela3[[#This Row],[Última revisão do bem]]+(VLOOKUP(Tabela3[[#This Row],[Categoria]],Cadastros!A:D,4,0)+365),"")</f>
        <v/>
      </c>
      <c r="O1690" s="7" t="str">
        <f ca="1">IF(Tabela3[[#This Row],[Data da compra]]&gt;0,(TODAY()-Tabela3[[#This Row],[Data da compra]])/365,"")</f>
        <v/>
      </c>
      <c r="P1690" s="7" t="str">
        <f>IFERROR(VLOOKUP(Tabela3[[#This Row],[Categoria]],Cadastros!A:C,3,0),"")</f>
        <v/>
      </c>
      <c r="Q1690" s="9" t="str">
        <f ca="1">IFERROR(Tabela3[[#This Row],[Vida útil]]-Tabela3[[#This Row],[Idade]],"")</f>
        <v/>
      </c>
      <c r="R1690" s="8" t="str">
        <f ca="1">IFERROR(Tabela3[[#This Row],[Valor]]-(Tabela3[[#This Row],[Valor]]*(Tabela3[[#This Row],[Idade]]*VLOOKUP(Tabela3[[#This Row],[Categoria]],Cadastros!A:B,2,0))),"")</f>
        <v/>
      </c>
    </row>
    <row r="1691" spans="4:18" x14ac:dyDescent="0.25">
      <c r="D1691" s="5"/>
      <c r="N1691" s="6" t="str">
        <f>IFERROR(Tabela3[[#This Row],[Última revisão do bem]]+(VLOOKUP(Tabela3[[#This Row],[Categoria]],Cadastros!A:D,4,0)+365),"")</f>
        <v/>
      </c>
      <c r="O1691" s="7" t="str">
        <f ca="1">IF(Tabela3[[#This Row],[Data da compra]]&gt;0,(TODAY()-Tabela3[[#This Row],[Data da compra]])/365,"")</f>
        <v/>
      </c>
      <c r="P1691" s="7" t="str">
        <f>IFERROR(VLOOKUP(Tabela3[[#This Row],[Categoria]],Cadastros!A:C,3,0),"")</f>
        <v/>
      </c>
      <c r="Q1691" s="9" t="str">
        <f ca="1">IFERROR(Tabela3[[#This Row],[Vida útil]]-Tabela3[[#This Row],[Idade]],"")</f>
        <v/>
      </c>
      <c r="R1691" s="8" t="str">
        <f ca="1">IFERROR(Tabela3[[#This Row],[Valor]]-(Tabela3[[#This Row],[Valor]]*(Tabela3[[#This Row],[Idade]]*VLOOKUP(Tabela3[[#This Row],[Categoria]],Cadastros!A:B,2,0))),"")</f>
        <v/>
      </c>
    </row>
    <row r="1692" spans="4:18" x14ac:dyDescent="0.25">
      <c r="D1692" s="5"/>
      <c r="N1692" s="6" t="str">
        <f>IFERROR(Tabela3[[#This Row],[Última revisão do bem]]+(VLOOKUP(Tabela3[[#This Row],[Categoria]],Cadastros!A:D,4,0)+365),"")</f>
        <v/>
      </c>
      <c r="O1692" s="7" t="str">
        <f ca="1">IF(Tabela3[[#This Row],[Data da compra]]&gt;0,(TODAY()-Tabela3[[#This Row],[Data da compra]])/365,"")</f>
        <v/>
      </c>
      <c r="P1692" s="7" t="str">
        <f>IFERROR(VLOOKUP(Tabela3[[#This Row],[Categoria]],Cadastros!A:C,3,0),"")</f>
        <v/>
      </c>
      <c r="Q1692" s="9" t="str">
        <f ca="1">IFERROR(Tabela3[[#This Row],[Vida útil]]-Tabela3[[#This Row],[Idade]],"")</f>
        <v/>
      </c>
      <c r="R1692" s="8" t="str">
        <f ca="1">IFERROR(Tabela3[[#This Row],[Valor]]-(Tabela3[[#This Row],[Valor]]*(Tabela3[[#This Row],[Idade]]*VLOOKUP(Tabela3[[#This Row],[Categoria]],Cadastros!A:B,2,0))),"")</f>
        <v/>
      </c>
    </row>
    <row r="1693" spans="4:18" x14ac:dyDescent="0.25">
      <c r="D1693" s="5"/>
      <c r="N1693" s="6" t="str">
        <f>IFERROR(Tabela3[[#This Row],[Última revisão do bem]]+(VLOOKUP(Tabela3[[#This Row],[Categoria]],Cadastros!A:D,4,0)+365),"")</f>
        <v/>
      </c>
      <c r="O1693" s="7" t="str">
        <f ca="1">IF(Tabela3[[#This Row],[Data da compra]]&gt;0,(TODAY()-Tabela3[[#This Row],[Data da compra]])/365,"")</f>
        <v/>
      </c>
      <c r="P1693" s="7" t="str">
        <f>IFERROR(VLOOKUP(Tabela3[[#This Row],[Categoria]],Cadastros!A:C,3,0),"")</f>
        <v/>
      </c>
      <c r="Q1693" s="9" t="str">
        <f ca="1">IFERROR(Tabela3[[#This Row],[Vida útil]]-Tabela3[[#This Row],[Idade]],"")</f>
        <v/>
      </c>
      <c r="R1693" s="8" t="str">
        <f ca="1">IFERROR(Tabela3[[#This Row],[Valor]]-(Tabela3[[#This Row],[Valor]]*(Tabela3[[#This Row],[Idade]]*VLOOKUP(Tabela3[[#This Row],[Categoria]],Cadastros!A:B,2,0))),"")</f>
        <v/>
      </c>
    </row>
    <row r="1694" spans="4:18" x14ac:dyDescent="0.25">
      <c r="D1694" s="5"/>
      <c r="N1694" s="6" t="str">
        <f>IFERROR(Tabela3[[#This Row],[Última revisão do bem]]+(VLOOKUP(Tabela3[[#This Row],[Categoria]],Cadastros!A:D,4,0)+365),"")</f>
        <v/>
      </c>
      <c r="O1694" s="7" t="str">
        <f ca="1">IF(Tabela3[[#This Row],[Data da compra]]&gt;0,(TODAY()-Tabela3[[#This Row],[Data da compra]])/365,"")</f>
        <v/>
      </c>
      <c r="P1694" s="7" t="str">
        <f>IFERROR(VLOOKUP(Tabela3[[#This Row],[Categoria]],Cadastros!A:C,3,0),"")</f>
        <v/>
      </c>
      <c r="Q1694" s="9" t="str">
        <f ca="1">IFERROR(Tabela3[[#This Row],[Vida útil]]-Tabela3[[#This Row],[Idade]],"")</f>
        <v/>
      </c>
      <c r="R1694" s="8" t="str">
        <f ca="1">IFERROR(Tabela3[[#This Row],[Valor]]-(Tabela3[[#This Row],[Valor]]*(Tabela3[[#This Row],[Idade]]*VLOOKUP(Tabela3[[#This Row],[Categoria]],Cadastros!A:B,2,0))),"")</f>
        <v/>
      </c>
    </row>
    <row r="1695" spans="4:18" x14ac:dyDescent="0.25">
      <c r="D1695" s="5"/>
      <c r="N1695" s="6" t="str">
        <f>IFERROR(Tabela3[[#This Row],[Última revisão do bem]]+(VLOOKUP(Tabela3[[#This Row],[Categoria]],Cadastros!A:D,4,0)+365),"")</f>
        <v/>
      </c>
      <c r="O1695" s="7" t="str">
        <f ca="1">IF(Tabela3[[#This Row],[Data da compra]]&gt;0,(TODAY()-Tabela3[[#This Row],[Data da compra]])/365,"")</f>
        <v/>
      </c>
      <c r="P1695" s="7" t="str">
        <f>IFERROR(VLOOKUP(Tabela3[[#This Row],[Categoria]],Cadastros!A:C,3,0),"")</f>
        <v/>
      </c>
      <c r="Q1695" s="9" t="str">
        <f ca="1">IFERROR(Tabela3[[#This Row],[Vida útil]]-Tabela3[[#This Row],[Idade]],"")</f>
        <v/>
      </c>
      <c r="R1695" s="8" t="str">
        <f ca="1">IFERROR(Tabela3[[#This Row],[Valor]]-(Tabela3[[#This Row],[Valor]]*(Tabela3[[#This Row],[Idade]]*VLOOKUP(Tabela3[[#This Row],[Categoria]],Cadastros!A:B,2,0))),"")</f>
        <v/>
      </c>
    </row>
    <row r="1696" spans="4:18" x14ac:dyDescent="0.25">
      <c r="D1696" s="5"/>
      <c r="N1696" s="6" t="str">
        <f>IFERROR(Tabela3[[#This Row],[Última revisão do bem]]+(VLOOKUP(Tabela3[[#This Row],[Categoria]],Cadastros!A:D,4,0)+365),"")</f>
        <v/>
      </c>
      <c r="O1696" s="7" t="str">
        <f ca="1">IF(Tabela3[[#This Row],[Data da compra]]&gt;0,(TODAY()-Tabela3[[#This Row],[Data da compra]])/365,"")</f>
        <v/>
      </c>
      <c r="P1696" s="7" t="str">
        <f>IFERROR(VLOOKUP(Tabela3[[#This Row],[Categoria]],Cadastros!A:C,3,0),"")</f>
        <v/>
      </c>
      <c r="Q1696" s="9" t="str">
        <f ca="1">IFERROR(Tabela3[[#This Row],[Vida útil]]-Tabela3[[#This Row],[Idade]],"")</f>
        <v/>
      </c>
      <c r="R1696" s="8" t="str">
        <f ca="1">IFERROR(Tabela3[[#This Row],[Valor]]-(Tabela3[[#This Row],[Valor]]*(Tabela3[[#This Row],[Idade]]*VLOOKUP(Tabela3[[#This Row],[Categoria]],Cadastros!A:B,2,0))),"")</f>
        <v/>
      </c>
    </row>
    <row r="1697" spans="4:18" x14ac:dyDescent="0.25">
      <c r="D1697" s="5"/>
      <c r="N1697" s="6" t="str">
        <f>IFERROR(Tabela3[[#This Row],[Última revisão do bem]]+(VLOOKUP(Tabela3[[#This Row],[Categoria]],Cadastros!A:D,4,0)+365),"")</f>
        <v/>
      </c>
      <c r="O1697" s="7" t="str">
        <f ca="1">IF(Tabela3[[#This Row],[Data da compra]]&gt;0,(TODAY()-Tabela3[[#This Row],[Data da compra]])/365,"")</f>
        <v/>
      </c>
      <c r="P1697" s="7" t="str">
        <f>IFERROR(VLOOKUP(Tabela3[[#This Row],[Categoria]],Cadastros!A:C,3,0),"")</f>
        <v/>
      </c>
      <c r="Q1697" s="9" t="str">
        <f ca="1">IFERROR(Tabela3[[#This Row],[Vida útil]]-Tabela3[[#This Row],[Idade]],"")</f>
        <v/>
      </c>
      <c r="R1697" s="8" t="str">
        <f ca="1">IFERROR(Tabela3[[#This Row],[Valor]]-(Tabela3[[#This Row],[Valor]]*(Tabela3[[#This Row],[Idade]]*VLOOKUP(Tabela3[[#This Row],[Categoria]],Cadastros!A:B,2,0))),"")</f>
        <v/>
      </c>
    </row>
    <row r="1698" spans="4:18" x14ac:dyDescent="0.25">
      <c r="D1698" s="22"/>
      <c r="N1698" s="6" t="str">
        <f>IFERROR(Tabela3[[#This Row],[Última revisão do bem]]+(VLOOKUP(Tabela3[[#This Row],[Categoria]],Cadastros!A:D,4,0)+365),"")</f>
        <v/>
      </c>
      <c r="O1698" s="7" t="str">
        <f ca="1">IF(Tabela3[[#This Row],[Data da compra]]&gt;0,(TODAY()-Tabela3[[#This Row],[Data da compra]])/365,"")</f>
        <v/>
      </c>
      <c r="P1698" s="7" t="str">
        <f>IFERROR(VLOOKUP(Tabela3[[#This Row],[Categoria]],Cadastros!A:C,3,0),"")</f>
        <v/>
      </c>
      <c r="Q1698" s="9" t="str">
        <f ca="1">IFERROR(Tabela3[[#This Row],[Vida útil]]-Tabela3[[#This Row],[Idade]],"")</f>
        <v/>
      </c>
      <c r="R1698" s="23" t="str">
        <f ca="1">IFERROR(Tabela3[[#This Row],[Valor]]-(Tabela3[[#This Row],[Valor]]*(Tabela3[[#This Row],[Idade]]*VLOOKUP(Tabela3[[#This Row],[Categoria]],Cadastros!A:B,2,0))),"")</f>
        <v/>
      </c>
    </row>
    <row r="1699" spans="4:18" x14ac:dyDescent="0.25">
      <c r="D1699" s="5"/>
      <c r="N1699" s="6" t="str">
        <f>IFERROR(Tabela3[[#This Row],[Última revisão do bem]]+(VLOOKUP(Tabela3[[#This Row],[Categoria]],Cadastros!A:D,4,0)+365),"")</f>
        <v/>
      </c>
      <c r="O1699" s="7" t="str">
        <f ca="1">IF(Tabela3[[#This Row],[Data da compra]]&gt;0,(TODAY()-Tabela3[[#This Row],[Data da compra]])/365,"")</f>
        <v/>
      </c>
      <c r="P1699" s="7" t="str">
        <f>IFERROR(VLOOKUP(Tabela3[[#This Row],[Categoria]],Cadastros!A:C,3,0),"")</f>
        <v/>
      </c>
      <c r="Q1699" s="9" t="str">
        <f ca="1">IFERROR(Tabela3[[#This Row],[Vida útil]]-Tabela3[[#This Row],[Idade]],"")</f>
        <v/>
      </c>
      <c r="R1699" s="8" t="str">
        <f ca="1">IFERROR(Tabela3[[#This Row],[Valor]]-(Tabela3[[#This Row],[Valor]]*(Tabela3[[#This Row],[Idade]]*VLOOKUP(Tabela3[[#This Row],[Categoria]],Cadastros!A:B,2,0))),"")</f>
        <v/>
      </c>
    </row>
    <row r="1700" spans="4:18" x14ac:dyDescent="0.25">
      <c r="D1700" s="5"/>
      <c r="N1700" s="6" t="str">
        <f>IFERROR(Tabela3[[#This Row],[Última revisão do bem]]+(VLOOKUP(Tabela3[[#This Row],[Categoria]],Cadastros!A:D,4,0)+365),"")</f>
        <v/>
      </c>
      <c r="O1700" s="7" t="str">
        <f ca="1">IF(Tabela3[[#This Row],[Data da compra]]&gt;0,(TODAY()-Tabela3[[#This Row],[Data da compra]])/365,"")</f>
        <v/>
      </c>
      <c r="P1700" s="7" t="str">
        <f>IFERROR(VLOOKUP(Tabela3[[#This Row],[Categoria]],Cadastros!A:C,3,0),"")</f>
        <v/>
      </c>
      <c r="Q1700" s="9" t="str">
        <f ca="1">IFERROR(Tabela3[[#This Row],[Vida útil]]-Tabela3[[#This Row],[Idade]],"")</f>
        <v/>
      </c>
      <c r="R1700" s="8" t="str">
        <f ca="1">IFERROR(Tabela3[[#This Row],[Valor]]-(Tabela3[[#This Row],[Valor]]*(Tabela3[[#This Row],[Idade]]*VLOOKUP(Tabela3[[#This Row],[Categoria]],Cadastros!A:B,2,0))),"")</f>
        <v/>
      </c>
    </row>
    <row r="1701" spans="4:18" x14ac:dyDescent="0.25">
      <c r="D1701" s="5"/>
      <c r="N1701" s="6" t="str">
        <f>IFERROR(Tabela3[[#This Row],[Última revisão do bem]]+(VLOOKUP(Tabela3[[#This Row],[Categoria]],Cadastros!A:D,4,0)+365),"")</f>
        <v/>
      </c>
      <c r="O1701" s="7" t="str">
        <f ca="1">IF(Tabela3[[#This Row],[Data da compra]]&gt;0,(TODAY()-Tabela3[[#This Row],[Data da compra]])/365,"")</f>
        <v/>
      </c>
      <c r="P1701" s="7" t="str">
        <f>IFERROR(VLOOKUP(Tabela3[[#This Row],[Categoria]],Cadastros!A:C,3,0),"")</f>
        <v/>
      </c>
      <c r="Q1701" s="9" t="str">
        <f ca="1">IFERROR(Tabela3[[#This Row],[Vida útil]]-Tabela3[[#This Row],[Idade]],"")</f>
        <v/>
      </c>
      <c r="R1701" s="8" t="str">
        <f ca="1">IFERROR(Tabela3[[#This Row],[Valor]]-(Tabela3[[#This Row],[Valor]]*(Tabela3[[#This Row],[Idade]]*VLOOKUP(Tabela3[[#This Row],[Categoria]],Cadastros!A:B,2,0))),"")</f>
        <v/>
      </c>
    </row>
    <row r="1702" spans="4:18" x14ac:dyDescent="0.25">
      <c r="D1702" s="5"/>
      <c r="N1702" s="6" t="str">
        <f>IFERROR(Tabela3[[#This Row],[Última revisão do bem]]+(VLOOKUP(Tabela3[[#This Row],[Categoria]],Cadastros!A:D,4,0)+365),"")</f>
        <v/>
      </c>
      <c r="O1702" s="7" t="str">
        <f ca="1">IF(Tabela3[[#This Row],[Data da compra]]&gt;0,(TODAY()-Tabela3[[#This Row],[Data da compra]])/365,"")</f>
        <v/>
      </c>
      <c r="P1702" s="7" t="str">
        <f>IFERROR(VLOOKUP(Tabela3[[#This Row],[Categoria]],Cadastros!A:C,3,0),"")</f>
        <v/>
      </c>
      <c r="Q1702" s="9" t="str">
        <f ca="1">IFERROR(Tabela3[[#This Row],[Vida útil]]-Tabela3[[#This Row],[Idade]],"")</f>
        <v/>
      </c>
      <c r="R1702" s="8" t="str">
        <f ca="1">IFERROR(Tabela3[[#This Row],[Valor]]-(Tabela3[[#This Row],[Valor]]*(Tabela3[[#This Row],[Idade]]*VLOOKUP(Tabela3[[#This Row],[Categoria]],Cadastros!A:B,2,0))),"")</f>
        <v/>
      </c>
    </row>
    <row r="1703" spans="4:18" x14ac:dyDescent="0.25">
      <c r="D1703" s="5"/>
      <c r="N1703" s="6" t="str">
        <f>IFERROR(Tabela3[[#This Row],[Última revisão do bem]]+(VLOOKUP(Tabela3[[#This Row],[Categoria]],Cadastros!A:D,4,0)+365),"")</f>
        <v/>
      </c>
      <c r="O1703" s="7" t="str">
        <f ca="1">IF(Tabela3[[#This Row],[Data da compra]]&gt;0,(TODAY()-Tabela3[[#This Row],[Data da compra]])/365,"")</f>
        <v/>
      </c>
      <c r="P1703" s="7" t="str">
        <f>IFERROR(VLOOKUP(Tabela3[[#This Row],[Categoria]],Cadastros!A:C,3,0),"")</f>
        <v/>
      </c>
      <c r="Q1703" s="9" t="str">
        <f ca="1">IFERROR(Tabela3[[#This Row],[Vida útil]]-Tabela3[[#This Row],[Idade]],"")</f>
        <v/>
      </c>
      <c r="R1703" s="8" t="str">
        <f ca="1">IFERROR(Tabela3[[#This Row],[Valor]]-(Tabela3[[#This Row],[Valor]]*(Tabela3[[#This Row],[Idade]]*VLOOKUP(Tabela3[[#This Row],[Categoria]],Cadastros!A:B,2,0))),"")</f>
        <v/>
      </c>
    </row>
    <row r="1704" spans="4:18" x14ac:dyDescent="0.25">
      <c r="D1704" s="5"/>
      <c r="N1704" s="6" t="str">
        <f>IFERROR(Tabela3[[#This Row],[Última revisão do bem]]+(VLOOKUP(Tabela3[[#This Row],[Categoria]],Cadastros!A:D,4,0)+365),"")</f>
        <v/>
      </c>
      <c r="O1704" s="7" t="str">
        <f ca="1">IF(Tabela3[[#This Row],[Data da compra]]&gt;0,(TODAY()-Tabela3[[#This Row],[Data da compra]])/365,"")</f>
        <v/>
      </c>
      <c r="P1704" s="7" t="str">
        <f>IFERROR(VLOOKUP(Tabela3[[#This Row],[Categoria]],Cadastros!A:C,3,0),"")</f>
        <v/>
      </c>
      <c r="Q1704" s="9" t="str">
        <f ca="1">IFERROR(Tabela3[[#This Row],[Vida útil]]-Tabela3[[#This Row],[Idade]],"")</f>
        <v/>
      </c>
      <c r="R1704" s="8" t="str">
        <f ca="1">IFERROR(Tabela3[[#This Row],[Valor]]-(Tabela3[[#This Row],[Valor]]*(Tabela3[[#This Row],[Idade]]*VLOOKUP(Tabela3[[#This Row],[Categoria]],Cadastros!A:B,2,0))),"")</f>
        <v/>
      </c>
    </row>
    <row r="1705" spans="4:18" x14ac:dyDescent="0.25">
      <c r="D1705" s="5"/>
      <c r="N1705" s="6" t="str">
        <f>IFERROR(Tabela3[[#This Row],[Última revisão do bem]]+(VLOOKUP(Tabela3[[#This Row],[Categoria]],Cadastros!A:D,4,0)+365),"")</f>
        <v/>
      </c>
      <c r="O1705" s="7" t="str">
        <f ca="1">IF(Tabela3[[#This Row],[Data da compra]]&gt;0,(TODAY()-Tabela3[[#This Row],[Data da compra]])/365,"")</f>
        <v/>
      </c>
      <c r="P1705" s="7" t="str">
        <f>IFERROR(VLOOKUP(Tabela3[[#This Row],[Categoria]],Cadastros!A:C,3,0),"")</f>
        <v/>
      </c>
      <c r="Q1705" s="9" t="str">
        <f ca="1">IFERROR(Tabela3[[#This Row],[Vida útil]]-Tabela3[[#This Row],[Idade]],"")</f>
        <v/>
      </c>
      <c r="R1705" s="8" t="str">
        <f ca="1">IFERROR(Tabela3[[#This Row],[Valor]]-(Tabela3[[#This Row],[Valor]]*(Tabela3[[#This Row],[Idade]]*VLOOKUP(Tabela3[[#This Row],[Categoria]],Cadastros!A:B,2,0))),"")</f>
        <v/>
      </c>
    </row>
    <row r="1706" spans="4:18" x14ac:dyDescent="0.25">
      <c r="D1706" s="5"/>
      <c r="N1706" s="6" t="str">
        <f>IFERROR(Tabela3[[#This Row],[Última revisão do bem]]+(VLOOKUP(Tabela3[[#This Row],[Categoria]],Cadastros!A:D,4,0)+365),"")</f>
        <v/>
      </c>
      <c r="O1706" s="7" t="str">
        <f ca="1">IF(Tabela3[[#This Row],[Data da compra]]&gt;0,(TODAY()-Tabela3[[#This Row],[Data da compra]])/365,"")</f>
        <v/>
      </c>
      <c r="P1706" s="7" t="str">
        <f>IFERROR(VLOOKUP(Tabela3[[#This Row],[Categoria]],Cadastros!A:C,3,0),"")</f>
        <v/>
      </c>
      <c r="Q1706" s="9" t="str">
        <f ca="1">IFERROR(Tabela3[[#This Row],[Vida útil]]-Tabela3[[#This Row],[Idade]],"")</f>
        <v/>
      </c>
      <c r="R1706" s="8" t="str">
        <f ca="1">IFERROR(Tabela3[[#This Row],[Valor]]-(Tabela3[[#This Row],[Valor]]*(Tabela3[[#This Row],[Idade]]*VLOOKUP(Tabela3[[#This Row],[Categoria]],Cadastros!A:B,2,0))),"")</f>
        <v/>
      </c>
    </row>
    <row r="1707" spans="4:18" x14ac:dyDescent="0.25">
      <c r="D1707" s="5"/>
      <c r="N1707" s="6" t="str">
        <f>IFERROR(Tabela3[[#This Row],[Última revisão do bem]]+(VLOOKUP(Tabela3[[#This Row],[Categoria]],Cadastros!A:D,4,0)+365),"")</f>
        <v/>
      </c>
      <c r="O1707" s="7" t="str">
        <f ca="1">IF(Tabela3[[#This Row],[Data da compra]]&gt;0,(TODAY()-Tabela3[[#This Row],[Data da compra]])/365,"")</f>
        <v/>
      </c>
      <c r="P1707" s="7" t="str">
        <f>IFERROR(VLOOKUP(Tabela3[[#This Row],[Categoria]],Cadastros!A:C,3,0),"")</f>
        <v/>
      </c>
      <c r="Q1707" s="9" t="str">
        <f ca="1">IFERROR(Tabela3[[#This Row],[Vida útil]]-Tabela3[[#This Row],[Idade]],"")</f>
        <v/>
      </c>
      <c r="R1707" s="8" t="str">
        <f ca="1">IFERROR(Tabela3[[#This Row],[Valor]]-(Tabela3[[#This Row],[Valor]]*(Tabela3[[#This Row],[Idade]]*VLOOKUP(Tabela3[[#This Row],[Categoria]],Cadastros!A:B,2,0))),"")</f>
        <v/>
      </c>
    </row>
    <row r="1708" spans="4:18" x14ac:dyDescent="0.25">
      <c r="D1708" s="5"/>
      <c r="N1708" s="6" t="str">
        <f>IFERROR(Tabela3[[#This Row],[Última revisão do bem]]+(VLOOKUP(Tabela3[[#This Row],[Categoria]],Cadastros!A:D,4,0)+365),"")</f>
        <v/>
      </c>
      <c r="O1708" s="7" t="str">
        <f ca="1">IF(Tabela3[[#This Row],[Data da compra]]&gt;0,(TODAY()-Tabela3[[#This Row],[Data da compra]])/365,"")</f>
        <v/>
      </c>
      <c r="P1708" s="7" t="str">
        <f>IFERROR(VLOOKUP(Tabela3[[#This Row],[Categoria]],Cadastros!A:C,3,0),"")</f>
        <v/>
      </c>
      <c r="Q1708" s="9" t="str">
        <f ca="1">IFERROR(Tabela3[[#This Row],[Vida útil]]-Tabela3[[#This Row],[Idade]],"")</f>
        <v/>
      </c>
      <c r="R1708" s="8" t="str">
        <f ca="1">IFERROR(Tabela3[[#This Row],[Valor]]-(Tabela3[[#This Row],[Valor]]*(Tabela3[[#This Row],[Idade]]*VLOOKUP(Tabela3[[#This Row],[Categoria]],Cadastros!A:B,2,0))),"")</f>
        <v/>
      </c>
    </row>
    <row r="1709" spans="4:18" x14ac:dyDescent="0.25">
      <c r="D1709" s="5"/>
      <c r="N1709" s="6" t="str">
        <f>IFERROR(Tabela3[[#This Row],[Última revisão do bem]]+(VLOOKUP(Tabela3[[#This Row],[Categoria]],Cadastros!A:D,4,0)+365),"")</f>
        <v/>
      </c>
      <c r="O1709" s="7" t="str">
        <f ca="1">IF(Tabela3[[#This Row],[Data da compra]]&gt;0,(TODAY()-Tabela3[[#This Row],[Data da compra]])/365,"")</f>
        <v/>
      </c>
      <c r="P1709" s="7" t="str">
        <f>IFERROR(VLOOKUP(Tabela3[[#This Row],[Categoria]],Cadastros!A:C,3,0),"")</f>
        <v/>
      </c>
      <c r="Q1709" s="9" t="str">
        <f ca="1">IFERROR(Tabela3[[#This Row],[Vida útil]]-Tabela3[[#This Row],[Idade]],"")</f>
        <v/>
      </c>
      <c r="R1709" s="8" t="str">
        <f ca="1">IFERROR(Tabela3[[#This Row],[Valor]]-(Tabela3[[#This Row],[Valor]]*(Tabela3[[#This Row],[Idade]]*VLOOKUP(Tabela3[[#This Row],[Categoria]],Cadastros!A:B,2,0))),"")</f>
        <v/>
      </c>
    </row>
    <row r="1710" spans="4:18" x14ac:dyDescent="0.25">
      <c r="D1710" s="5"/>
      <c r="N1710" s="6" t="str">
        <f>IFERROR(Tabela3[[#This Row],[Última revisão do bem]]+(VLOOKUP(Tabela3[[#This Row],[Categoria]],Cadastros!A:D,4,0)+365),"")</f>
        <v/>
      </c>
      <c r="O1710" s="7" t="str">
        <f ca="1">IF(Tabela3[[#This Row],[Data da compra]]&gt;0,(TODAY()-Tabela3[[#This Row],[Data da compra]])/365,"")</f>
        <v/>
      </c>
      <c r="P1710" s="7" t="str">
        <f>IFERROR(VLOOKUP(Tabela3[[#This Row],[Categoria]],Cadastros!A:C,3,0),"")</f>
        <v/>
      </c>
      <c r="Q1710" s="9" t="str">
        <f ca="1">IFERROR(Tabela3[[#This Row],[Vida útil]]-Tabela3[[#This Row],[Idade]],"")</f>
        <v/>
      </c>
      <c r="R1710" s="8" t="str">
        <f ca="1">IFERROR(Tabela3[[#This Row],[Valor]]-(Tabela3[[#This Row],[Valor]]*(Tabela3[[#This Row],[Idade]]*VLOOKUP(Tabela3[[#This Row],[Categoria]],Cadastros!A:B,2,0))),"")</f>
        <v/>
      </c>
    </row>
    <row r="1711" spans="4:18" x14ac:dyDescent="0.25">
      <c r="D1711" s="5"/>
      <c r="N1711" s="6" t="str">
        <f>IFERROR(Tabela3[[#This Row],[Última revisão do bem]]+(VLOOKUP(Tabela3[[#This Row],[Categoria]],Cadastros!A:D,4,0)+365),"")</f>
        <v/>
      </c>
      <c r="O1711" s="7" t="str">
        <f ca="1">IF(Tabela3[[#This Row],[Data da compra]]&gt;0,(TODAY()-Tabela3[[#This Row],[Data da compra]])/365,"")</f>
        <v/>
      </c>
      <c r="P1711" s="7" t="str">
        <f>IFERROR(VLOOKUP(Tabela3[[#This Row],[Categoria]],Cadastros!A:C,3,0),"")</f>
        <v/>
      </c>
      <c r="Q1711" s="9" t="str">
        <f ca="1">IFERROR(Tabela3[[#This Row],[Vida útil]]-Tabela3[[#This Row],[Idade]],"")</f>
        <v/>
      </c>
      <c r="R1711" s="8" t="str">
        <f ca="1">IFERROR(Tabela3[[#This Row],[Valor]]-(Tabela3[[#This Row],[Valor]]*(Tabela3[[#This Row],[Idade]]*VLOOKUP(Tabela3[[#This Row],[Categoria]],Cadastros!A:B,2,0))),"")</f>
        <v/>
      </c>
    </row>
    <row r="1712" spans="4:18" x14ac:dyDescent="0.25">
      <c r="D1712" s="5"/>
      <c r="N1712" s="6" t="str">
        <f>IFERROR(Tabela3[[#This Row],[Última revisão do bem]]+(VLOOKUP(Tabela3[[#This Row],[Categoria]],Cadastros!A:D,4,0)+365),"")</f>
        <v/>
      </c>
      <c r="O1712" s="7" t="str">
        <f ca="1">IF(Tabela3[[#This Row],[Data da compra]]&gt;0,(TODAY()-Tabela3[[#This Row],[Data da compra]])/365,"")</f>
        <v/>
      </c>
      <c r="P1712" s="7" t="str">
        <f>IFERROR(VLOOKUP(Tabela3[[#This Row],[Categoria]],Cadastros!A:C,3,0),"")</f>
        <v/>
      </c>
      <c r="Q1712" s="9" t="str">
        <f ca="1">IFERROR(Tabela3[[#This Row],[Vida útil]]-Tabela3[[#This Row],[Idade]],"")</f>
        <v/>
      </c>
      <c r="R1712" s="8" t="str">
        <f ca="1">IFERROR(Tabela3[[#This Row],[Valor]]-(Tabela3[[#This Row],[Valor]]*(Tabela3[[#This Row],[Idade]]*VLOOKUP(Tabela3[[#This Row],[Categoria]],Cadastros!A:B,2,0))),"")</f>
        <v/>
      </c>
    </row>
    <row r="1713" spans="4:18" x14ac:dyDescent="0.25">
      <c r="D1713" s="5"/>
      <c r="N1713" s="6" t="str">
        <f>IFERROR(Tabela3[[#This Row],[Última revisão do bem]]+(VLOOKUP(Tabela3[[#This Row],[Categoria]],Cadastros!A:D,4,0)+365),"")</f>
        <v/>
      </c>
      <c r="O1713" s="7" t="str">
        <f ca="1">IF(Tabela3[[#This Row],[Data da compra]]&gt;0,(TODAY()-Tabela3[[#This Row],[Data da compra]])/365,"")</f>
        <v/>
      </c>
      <c r="P1713" s="7" t="str">
        <f>IFERROR(VLOOKUP(Tabela3[[#This Row],[Categoria]],Cadastros!A:C,3,0),"")</f>
        <v/>
      </c>
      <c r="Q1713" s="9" t="str">
        <f ca="1">IFERROR(Tabela3[[#This Row],[Vida útil]]-Tabela3[[#This Row],[Idade]],"")</f>
        <v/>
      </c>
      <c r="R1713" s="8" t="str">
        <f ca="1">IFERROR(Tabela3[[#This Row],[Valor]]-(Tabela3[[#This Row],[Valor]]*(Tabela3[[#This Row],[Idade]]*VLOOKUP(Tabela3[[#This Row],[Categoria]],Cadastros!A:B,2,0))),"")</f>
        <v/>
      </c>
    </row>
    <row r="1714" spans="4:18" x14ac:dyDescent="0.25">
      <c r="D1714" s="5"/>
      <c r="N1714" s="6" t="str">
        <f>IFERROR(Tabela3[[#This Row],[Última revisão do bem]]+(VLOOKUP(Tabela3[[#This Row],[Categoria]],Cadastros!A:D,4,0)+365),"")</f>
        <v/>
      </c>
      <c r="O1714" s="7" t="str">
        <f ca="1">IF(Tabela3[[#This Row],[Data da compra]]&gt;0,(TODAY()-Tabela3[[#This Row],[Data da compra]])/365,"")</f>
        <v/>
      </c>
      <c r="P1714" s="7" t="str">
        <f>IFERROR(VLOOKUP(Tabela3[[#This Row],[Categoria]],Cadastros!A:C,3,0),"")</f>
        <v/>
      </c>
      <c r="Q1714" s="9" t="str">
        <f ca="1">IFERROR(Tabela3[[#This Row],[Vida útil]]-Tabela3[[#This Row],[Idade]],"")</f>
        <v/>
      </c>
      <c r="R1714" s="8" t="str">
        <f ca="1">IFERROR(Tabela3[[#This Row],[Valor]]-(Tabela3[[#This Row],[Valor]]*(Tabela3[[#This Row],[Idade]]*VLOOKUP(Tabela3[[#This Row],[Categoria]],Cadastros!A:B,2,0))),"")</f>
        <v/>
      </c>
    </row>
    <row r="1715" spans="4:18" x14ac:dyDescent="0.25">
      <c r="D1715" s="5"/>
      <c r="N1715" s="6" t="str">
        <f>IFERROR(Tabela3[[#This Row],[Última revisão do bem]]+(VLOOKUP(Tabela3[[#This Row],[Categoria]],Cadastros!A:D,4,0)+365),"")</f>
        <v/>
      </c>
      <c r="O1715" s="7" t="str">
        <f ca="1">IF(Tabela3[[#This Row],[Data da compra]]&gt;0,(TODAY()-Tabela3[[#This Row],[Data da compra]])/365,"")</f>
        <v/>
      </c>
      <c r="P1715" s="7" t="str">
        <f>IFERROR(VLOOKUP(Tabela3[[#This Row],[Categoria]],Cadastros!A:C,3,0),"")</f>
        <v/>
      </c>
      <c r="Q1715" s="9" t="str">
        <f ca="1">IFERROR(Tabela3[[#This Row],[Vida útil]]-Tabela3[[#This Row],[Idade]],"")</f>
        <v/>
      </c>
      <c r="R1715" s="8" t="str">
        <f ca="1">IFERROR(Tabela3[[#This Row],[Valor]]-(Tabela3[[#This Row],[Valor]]*(Tabela3[[#This Row],[Idade]]*VLOOKUP(Tabela3[[#This Row],[Categoria]],Cadastros!A:B,2,0))),"")</f>
        <v/>
      </c>
    </row>
    <row r="1716" spans="4:18" x14ac:dyDescent="0.25">
      <c r="D1716" s="22"/>
      <c r="N1716" s="6" t="str">
        <f>IFERROR(Tabela3[[#This Row],[Última revisão do bem]]+(VLOOKUP(Tabela3[[#This Row],[Categoria]],Cadastros!A:D,4,0)+365),"")</f>
        <v/>
      </c>
      <c r="O1716" s="7" t="str">
        <f ca="1">IF(Tabela3[[#This Row],[Data da compra]]&gt;0,(TODAY()-Tabela3[[#This Row],[Data da compra]])/365,"")</f>
        <v/>
      </c>
      <c r="P1716" s="7" t="str">
        <f>IFERROR(VLOOKUP(Tabela3[[#This Row],[Categoria]],Cadastros!A:C,3,0),"")</f>
        <v/>
      </c>
      <c r="Q1716" s="9" t="str">
        <f ca="1">IFERROR(Tabela3[[#This Row],[Vida útil]]-Tabela3[[#This Row],[Idade]],"")</f>
        <v/>
      </c>
      <c r="R1716" s="23" t="str">
        <f ca="1">IFERROR(Tabela3[[#This Row],[Valor]]-(Tabela3[[#This Row],[Valor]]*(Tabela3[[#This Row],[Idade]]*VLOOKUP(Tabela3[[#This Row],[Categoria]],Cadastros!A:B,2,0))),"")</f>
        <v/>
      </c>
    </row>
    <row r="1717" spans="4:18" x14ac:dyDescent="0.25">
      <c r="D1717" s="5"/>
      <c r="N1717" s="6" t="str">
        <f>IFERROR(Tabela3[[#This Row],[Última revisão do bem]]+(VLOOKUP(Tabela3[[#This Row],[Categoria]],Cadastros!A:D,4,0)+365),"")</f>
        <v/>
      </c>
      <c r="O1717" s="7" t="str">
        <f ca="1">IF(Tabela3[[#This Row],[Data da compra]]&gt;0,(TODAY()-Tabela3[[#This Row],[Data da compra]])/365,"")</f>
        <v/>
      </c>
      <c r="P1717" s="7" t="str">
        <f>IFERROR(VLOOKUP(Tabela3[[#This Row],[Categoria]],Cadastros!A:C,3,0),"")</f>
        <v/>
      </c>
      <c r="Q1717" s="9" t="str">
        <f ca="1">IFERROR(Tabela3[[#This Row],[Vida útil]]-Tabela3[[#This Row],[Idade]],"")</f>
        <v/>
      </c>
      <c r="R1717" s="8" t="str">
        <f ca="1">IFERROR(Tabela3[[#This Row],[Valor]]-(Tabela3[[#This Row],[Valor]]*(Tabela3[[#This Row],[Idade]]*VLOOKUP(Tabela3[[#This Row],[Categoria]],Cadastros!A:B,2,0))),"")</f>
        <v/>
      </c>
    </row>
    <row r="1718" spans="4:18" x14ac:dyDescent="0.25">
      <c r="D1718" s="5"/>
      <c r="N1718" s="6" t="str">
        <f>IFERROR(Tabela3[[#This Row],[Última revisão do bem]]+(VLOOKUP(Tabela3[[#This Row],[Categoria]],Cadastros!A:D,4,0)+365),"")</f>
        <v/>
      </c>
      <c r="O1718" s="7" t="str">
        <f ca="1">IF(Tabela3[[#This Row],[Data da compra]]&gt;0,(TODAY()-Tabela3[[#This Row],[Data da compra]])/365,"")</f>
        <v/>
      </c>
      <c r="P1718" s="7" t="str">
        <f>IFERROR(VLOOKUP(Tabela3[[#This Row],[Categoria]],Cadastros!A:C,3,0),"")</f>
        <v/>
      </c>
      <c r="Q1718" s="9" t="str">
        <f ca="1">IFERROR(Tabela3[[#This Row],[Vida útil]]-Tabela3[[#This Row],[Idade]],"")</f>
        <v/>
      </c>
      <c r="R1718" s="8" t="str">
        <f ca="1">IFERROR(Tabela3[[#This Row],[Valor]]-(Tabela3[[#This Row],[Valor]]*(Tabela3[[#This Row],[Idade]]*VLOOKUP(Tabela3[[#This Row],[Categoria]],Cadastros!A:B,2,0))),"")</f>
        <v/>
      </c>
    </row>
    <row r="1719" spans="4:18" x14ac:dyDescent="0.25">
      <c r="D1719" s="5"/>
      <c r="N1719" s="6" t="str">
        <f>IFERROR(Tabela3[[#This Row],[Última revisão do bem]]+(VLOOKUP(Tabela3[[#This Row],[Categoria]],Cadastros!A:D,4,0)+365),"")</f>
        <v/>
      </c>
      <c r="O1719" s="7" t="str">
        <f ca="1">IF(Tabela3[[#This Row],[Data da compra]]&gt;0,(TODAY()-Tabela3[[#This Row],[Data da compra]])/365,"")</f>
        <v/>
      </c>
      <c r="P1719" s="7" t="str">
        <f>IFERROR(VLOOKUP(Tabela3[[#This Row],[Categoria]],Cadastros!A:C,3,0),"")</f>
        <v/>
      </c>
      <c r="Q1719" s="9" t="str">
        <f ca="1">IFERROR(Tabela3[[#This Row],[Vida útil]]-Tabela3[[#This Row],[Idade]],"")</f>
        <v/>
      </c>
      <c r="R1719" s="8" t="str">
        <f ca="1">IFERROR(Tabela3[[#This Row],[Valor]]-(Tabela3[[#This Row],[Valor]]*(Tabela3[[#This Row],[Idade]]*VLOOKUP(Tabela3[[#This Row],[Categoria]],Cadastros!A:B,2,0))),"")</f>
        <v/>
      </c>
    </row>
    <row r="1720" spans="4:18" x14ac:dyDescent="0.25">
      <c r="D1720" s="5"/>
      <c r="N1720" s="6" t="str">
        <f>IFERROR(Tabela3[[#This Row],[Última revisão do bem]]+(VLOOKUP(Tabela3[[#This Row],[Categoria]],Cadastros!A:D,4,0)+365),"")</f>
        <v/>
      </c>
      <c r="O1720" s="7" t="str">
        <f ca="1">IF(Tabela3[[#This Row],[Data da compra]]&gt;0,(TODAY()-Tabela3[[#This Row],[Data da compra]])/365,"")</f>
        <v/>
      </c>
      <c r="P1720" s="7" t="str">
        <f>IFERROR(VLOOKUP(Tabela3[[#This Row],[Categoria]],Cadastros!A:C,3,0),"")</f>
        <v/>
      </c>
      <c r="Q1720" s="9" t="str">
        <f ca="1">IFERROR(Tabela3[[#This Row],[Vida útil]]-Tabela3[[#This Row],[Idade]],"")</f>
        <v/>
      </c>
      <c r="R1720" s="8" t="str">
        <f ca="1">IFERROR(Tabela3[[#This Row],[Valor]]-(Tabela3[[#This Row],[Valor]]*(Tabela3[[#This Row],[Idade]]*VLOOKUP(Tabela3[[#This Row],[Categoria]],Cadastros!A:B,2,0))),"")</f>
        <v/>
      </c>
    </row>
    <row r="1721" spans="4:18" x14ac:dyDescent="0.25">
      <c r="D1721" s="5"/>
      <c r="N1721" s="6" t="str">
        <f>IFERROR(Tabela3[[#This Row],[Última revisão do bem]]+(VLOOKUP(Tabela3[[#This Row],[Categoria]],Cadastros!A:D,4,0)+365),"")</f>
        <v/>
      </c>
      <c r="O1721" s="7" t="str">
        <f ca="1">IF(Tabela3[[#This Row],[Data da compra]]&gt;0,(TODAY()-Tabela3[[#This Row],[Data da compra]])/365,"")</f>
        <v/>
      </c>
      <c r="P1721" s="7" t="str">
        <f>IFERROR(VLOOKUP(Tabela3[[#This Row],[Categoria]],Cadastros!A:C,3,0),"")</f>
        <v/>
      </c>
      <c r="Q1721" s="9" t="str">
        <f ca="1">IFERROR(Tabela3[[#This Row],[Vida útil]]-Tabela3[[#This Row],[Idade]],"")</f>
        <v/>
      </c>
      <c r="R1721" s="8" t="str">
        <f ca="1">IFERROR(Tabela3[[#This Row],[Valor]]-(Tabela3[[#This Row],[Valor]]*(Tabela3[[#This Row],[Idade]]*VLOOKUP(Tabela3[[#This Row],[Categoria]],Cadastros!A:B,2,0))),"")</f>
        <v/>
      </c>
    </row>
    <row r="1722" spans="4:18" x14ac:dyDescent="0.25">
      <c r="D1722" s="5"/>
      <c r="N1722" s="6" t="str">
        <f>IFERROR(Tabela3[[#This Row],[Última revisão do bem]]+(VLOOKUP(Tabela3[[#This Row],[Categoria]],Cadastros!A:D,4,0)+365),"")</f>
        <v/>
      </c>
      <c r="O1722" s="7" t="str">
        <f ca="1">IF(Tabela3[[#This Row],[Data da compra]]&gt;0,(TODAY()-Tabela3[[#This Row],[Data da compra]])/365,"")</f>
        <v/>
      </c>
      <c r="P1722" s="7" t="str">
        <f>IFERROR(VLOOKUP(Tabela3[[#This Row],[Categoria]],Cadastros!A:C,3,0),"")</f>
        <v/>
      </c>
      <c r="Q1722" s="9" t="str">
        <f ca="1">IFERROR(Tabela3[[#This Row],[Vida útil]]-Tabela3[[#This Row],[Idade]],"")</f>
        <v/>
      </c>
      <c r="R1722" s="8" t="str">
        <f ca="1">IFERROR(Tabela3[[#This Row],[Valor]]-(Tabela3[[#This Row],[Valor]]*(Tabela3[[#This Row],[Idade]]*VLOOKUP(Tabela3[[#This Row],[Categoria]],Cadastros!A:B,2,0))),"")</f>
        <v/>
      </c>
    </row>
    <row r="1723" spans="4:18" x14ac:dyDescent="0.25">
      <c r="D1723" s="5"/>
      <c r="N1723" s="6" t="str">
        <f>IFERROR(Tabela3[[#This Row],[Última revisão do bem]]+(VLOOKUP(Tabela3[[#This Row],[Categoria]],Cadastros!A:D,4,0)+365),"")</f>
        <v/>
      </c>
      <c r="O1723" s="7" t="str">
        <f ca="1">IF(Tabela3[[#This Row],[Data da compra]]&gt;0,(TODAY()-Tabela3[[#This Row],[Data da compra]])/365,"")</f>
        <v/>
      </c>
      <c r="P1723" s="7" t="str">
        <f>IFERROR(VLOOKUP(Tabela3[[#This Row],[Categoria]],Cadastros!A:C,3,0),"")</f>
        <v/>
      </c>
      <c r="Q1723" s="9" t="str">
        <f ca="1">IFERROR(Tabela3[[#This Row],[Vida útil]]-Tabela3[[#This Row],[Idade]],"")</f>
        <v/>
      </c>
      <c r="R1723" s="8" t="str">
        <f ca="1">IFERROR(Tabela3[[#This Row],[Valor]]-(Tabela3[[#This Row],[Valor]]*(Tabela3[[#This Row],[Idade]]*VLOOKUP(Tabela3[[#This Row],[Categoria]],Cadastros!A:B,2,0))),"")</f>
        <v/>
      </c>
    </row>
    <row r="1724" spans="4:18" x14ac:dyDescent="0.25">
      <c r="D1724" s="5"/>
      <c r="N1724" s="6" t="str">
        <f>IFERROR(Tabela3[[#This Row],[Última revisão do bem]]+(VLOOKUP(Tabela3[[#This Row],[Categoria]],Cadastros!A:D,4,0)+365),"")</f>
        <v/>
      </c>
      <c r="O1724" s="7" t="str">
        <f ca="1">IF(Tabela3[[#This Row],[Data da compra]]&gt;0,(TODAY()-Tabela3[[#This Row],[Data da compra]])/365,"")</f>
        <v/>
      </c>
      <c r="P1724" s="7" t="str">
        <f>IFERROR(VLOOKUP(Tabela3[[#This Row],[Categoria]],Cadastros!A:C,3,0),"")</f>
        <v/>
      </c>
      <c r="Q1724" s="9" t="str">
        <f ca="1">IFERROR(Tabela3[[#This Row],[Vida útil]]-Tabela3[[#This Row],[Idade]],"")</f>
        <v/>
      </c>
      <c r="R1724" s="8" t="str">
        <f ca="1">IFERROR(Tabela3[[#This Row],[Valor]]-(Tabela3[[#This Row],[Valor]]*(Tabela3[[#This Row],[Idade]]*VLOOKUP(Tabela3[[#This Row],[Categoria]],Cadastros!A:B,2,0))),"")</f>
        <v/>
      </c>
    </row>
    <row r="1725" spans="4:18" x14ac:dyDescent="0.25">
      <c r="D1725" s="5"/>
      <c r="N1725" s="6" t="str">
        <f>IFERROR(Tabela3[[#This Row],[Última revisão do bem]]+(VLOOKUP(Tabela3[[#This Row],[Categoria]],Cadastros!A:D,4,0)+365),"")</f>
        <v/>
      </c>
      <c r="O1725" s="7" t="str">
        <f ca="1">IF(Tabela3[[#This Row],[Data da compra]]&gt;0,(TODAY()-Tabela3[[#This Row],[Data da compra]])/365,"")</f>
        <v/>
      </c>
      <c r="P1725" s="7" t="str">
        <f>IFERROR(VLOOKUP(Tabela3[[#This Row],[Categoria]],Cadastros!A:C,3,0),"")</f>
        <v/>
      </c>
      <c r="Q1725" s="9" t="str">
        <f ca="1">IFERROR(Tabela3[[#This Row],[Vida útil]]-Tabela3[[#This Row],[Idade]],"")</f>
        <v/>
      </c>
      <c r="R1725" s="8" t="str">
        <f ca="1">IFERROR(Tabela3[[#This Row],[Valor]]-(Tabela3[[#This Row],[Valor]]*(Tabela3[[#This Row],[Idade]]*VLOOKUP(Tabela3[[#This Row],[Categoria]],Cadastros!A:B,2,0))),"")</f>
        <v/>
      </c>
    </row>
    <row r="1726" spans="4:18" x14ac:dyDescent="0.25">
      <c r="D1726" s="5"/>
      <c r="N1726" s="6" t="str">
        <f>IFERROR(Tabela3[[#This Row],[Última revisão do bem]]+(VLOOKUP(Tabela3[[#This Row],[Categoria]],Cadastros!A:D,4,0)+365),"")</f>
        <v/>
      </c>
      <c r="O1726" s="7" t="str">
        <f ca="1">IF(Tabela3[[#This Row],[Data da compra]]&gt;0,(TODAY()-Tabela3[[#This Row],[Data da compra]])/365,"")</f>
        <v/>
      </c>
      <c r="P1726" s="7" t="str">
        <f>IFERROR(VLOOKUP(Tabela3[[#This Row],[Categoria]],Cadastros!A:C,3,0),"")</f>
        <v/>
      </c>
      <c r="Q1726" s="9" t="str">
        <f ca="1">IFERROR(Tabela3[[#This Row],[Vida útil]]-Tabela3[[#This Row],[Idade]],"")</f>
        <v/>
      </c>
      <c r="R1726" s="8" t="str">
        <f ca="1">IFERROR(Tabela3[[#This Row],[Valor]]-(Tabela3[[#This Row],[Valor]]*(Tabela3[[#This Row],[Idade]]*VLOOKUP(Tabela3[[#This Row],[Categoria]],Cadastros!A:B,2,0))),"")</f>
        <v/>
      </c>
    </row>
    <row r="1727" spans="4:18" x14ac:dyDescent="0.25">
      <c r="D1727" s="5"/>
      <c r="N1727" s="6" t="str">
        <f>IFERROR(Tabela3[[#This Row],[Última revisão do bem]]+(VLOOKUP(Tabela3[[#This Row],[Categoria]],Cadastros!A:D,4,0)+365),"")</f>
        <v/>
      </c>
      <c r="O1727" s="7" t="str">
        <f ca="1">IF(Tabela3[[#This Row],[Data da compra]]&gt;0,(TODAY()-Tabela3[[#This Row],[Data da compra]])/365,"")</f>
        <v/>
      </c>
      <c r="P1727" s="7" t="str">
        <f>IFERROR(VLOOKUP(Tabela3[[#This Row],[Categoria]],Cadastros!A:C,3,0),"")</f>
        <v/>
      </c>
      <c r="Q1727" s="9" t="str">
        <f ca="1">IFERROR(Tabela3[[#This Row],[Vida útil]]-Tabela3[[#This Row],[Idade]],"")</f>
        <v/>
      </c>
      <c r="R1727" s="8" t="str">
        <f ca="1">IFERROR(Tabela3[[#This Row],[Valor]]-(Tabela3[[#This Row],[Valor]]*(Tabela3[[#This Row],[Idade]]*VLOOKUP(Tabela3[[#This Row],[Categoria]],Cadastros!A:B,2,0))),"")</f>
        <v/>
      </c>
    </row>
    <row r="1728" spans="4:18" x14ac:dyDescent="0.25">
      <c r="D1728" s="5"/>
      <c r="N1728" s="6" t="str">
        <f>IFERROR(Tabela3[[#This Row],[Última revisão do bem]]+(VLOOKUP(Tabela3[[#This Row],[Categoria]],Cadastros!A:D,4,0)+365),"")</f>
        <v/>
      </c>
      <c r="O1728" s="7" t="str">
        <f ca="1">IF(Tabela3[[#This Row],[Data da compra]]&gt;0,(TODAY()-Tabela3[[#This Row],[Data da compra]])/365,"")</f>
        <v/>
      </c>
      <c r="P1728" s="7" t="str">
        <f>IFERROR(VLOOKUP(Tabela3[[#This Row],[Categoria]],Cadastros!A:C,3,0),"")</f>
        <v/>
      </c>
      <c r="Q1728" s="9" t="str">
        <f ca="1">IFERROR(Tabela3[[#This Row],[Vida útil]]-Tabela3[[#This Row],[Idade]],"")</f>
        <v/>
      </c>
      <c r="R1728" s="8" t="str">
        <f ca="1">IFERROR(Tabela3[[#This Row],[Valor]]-(Tabela3[[#This Row],[Valor]]*(Tabela3[[#This Row],[Idade]]*VLOOKUP(Tabela3[[#This Row],[Categoria]],Cadastros!A:B,2,0))),"")</f>
        <v/>
      </c>
    </row>
    <row r="1729" spans="4:18" x14ac:dyDescent="0.25">
      <c r="D1729" s="5"/>
      <c r="N1729" s="6" t="str">
        <f>IFERROR(Tabela3[[#This Row],[Última revisão do bem]]+(VLOOKUP(Tabela3[[#This Row],[Categoria]],Cadastros!A:D,4,0)+365),"")</f>
        <v/>
      </c>
      <c r="O1729" s="7" t="str">
        <f ca="1">IF(Tabela3[[#This Row],[Data da compra]]&gt;0,(TODAY()-Tabela3[[#This Row],[Data da compra]])/365,"")</f>
        <v/>
      </c>
      <c r="P1729" s="7" t="str">
        <f>IFERROR(VLOOKUP(Tabela3[[#This Row],[Categoria]],Cadastros!A:C,3,0),"")</f>
        <v/>
      </c>
      <c r="Q1729" s="9" t="str">
        <f ca="1">IFERROR(Tabela3[[#This Row],[Vida útil]]-Tabela3[[#This Row],[Idade]],"")</f>
        <v/>
      </c>
      <c r="R1729" s="8" t="str">
        <f ca="1">IFERROR(Tabela3[[#This Row],[Valor]]-(Tabela3[[#This Row],[Valor]]*(Tabela3[[#This Row],[Idade]]*VLOOKUP(Tabela3[[#This Row],[Categoria]],Cadastros!A:B,2,0))),"")</f>
        <v/>
      </c>
    </row>
    <row r="1730" spans="4:18" x14ac:dyDescent="0.25">
      <c r="D1730" s="5"/>
      <c r="N1730" s="6" t="str">
        <f>IFERROR(Tabela3[[#This Row],[Última revisão do bem]]+(VLOOKUP(Tabela3[[#This Row],[Categoria]],Cadastros!A:D,4,0)+365),"")</f>
        <v/>
      </c>
      <c r="O1730" s="7" t="str">
        <f ca="1">IF(Tabela3[[#This Row],[Data da compra]]&gt;0,(TODAY()-Tabela3[[#This Row],[Data da compra]])/365,"")</f>
        <v/>
      </c>
      <c r="P1730" s="7" t="str">
        <f>IFERROR(VLOOKUP(Tabela3[[#This Row],[Categoria]],Cadastros!A:C,3,0),"")</f>
        <v/>
      </c>
      <c r="Q1730" s="9" t="str">
        <f ca="1">IFERROR(Tabela3[[#This Row],[Vida útil]]-Tabela3[[#This Row],[Idade]],"")</f>
        <v/>
      </c>
      <c r="R1730" s="8" t="str">
        <f ca="1">IFERROR(Tabela3[[#This Row],[Valor]]-(Tabela3[[#This Row],[Valor]]*(Tabela3[[#This Row],[Idade]]*VLOOKUP(Tabela3[[#This Row],[Categoria]],Cadastros!A:B,2,0))),"")</f>
        <v/>
      </c>
    </row>
    <row r="1731" spans="4:18" x14ac:dyDescent="0.25">
      <c r="D1731" s="5"/>
      <c r="N1731" s="6" t="str">
        <f>IFERROR(Tabela3[[#This Row],[Última revisão do bem]]+(VLOOKUP(Tabela3[[#This Row],[Categoria]],Cadastros!A:D,4,0)+365),"")</f>
        <v/>
      </c>
      <c r="O1731" s="7" t="str">
        <f ca="1">IF(Tabela3[[#This Row],[Data da compra]]&gt;0,(TODAY()-Tabela3[[#This Row],[Data da compra]])/365,"")</f>
        <v/>
      </c>
      <c r="P1731" s="7" t="str">
        <f>IFERROR(VLOOKUP(Tabela3[[#This Row],[Categoria]],Cadastros!A:C,3,0),"")</f>
        <v/>
      </c>
      <c r="Q1731" s="9" t="str">
        <f ca="1">IFERROR(Tabela3[[#This Row],[Vida útil]]-Tabela3[[#This Row],[Idade]],"")</f>
        <v/>
      </c>
      <c r="R1731" s="8" t="str">
        <f ca="1">IFERROR(Tabela3[[#This Row],[Valor]]-(Tabela3[[#This Row],[Valor]]*(Tabela3[[#This Row],[Idade]]*VLOOKUP(Tabela3[[#This Row],[Categoria]],Cadastros!A:B,2,0))),"")</f>
        <v/>
      </c>
    </row>
    <row r="1732" spans="4:18" x14ac:dyDescent="0.25">
      <c r="D1732" s="5"/>
      <c r="N1732" s="6" t="str">
        <f>IFERROR(Tabela3[[#This Row],[Última revisão do bem]]+(VLOOKUP(Tabela3[[#This Row],[Categoria]],Cadastros!A:D,4,0)+365),"")</f>
        <v/>
      </c>
      <c r="O1732" s="7" t="str">
        <f ca="1">IF(Tabela3[[#This Row],[Data da compra]]&gt;0,(TODAY()-Tabela3[[#This Row],[Data da compra]])/365,"")</f>
        <v/>
      </c>
      <c r="P1732" s="7" t="str">
        <f>IFERROR(VLOOKUP(Tabela3[[#This Row],[Categoria]],Cadastros!A:C,3,0),"")</f>
        <v/>
      </c>
      <c r="Q1732" s="9" t="str">
        <f ca="1">IFERROR(Tabela3[[#This Row],[Vida útil]]-Tabela3[[#This Row],[Idade]],"")</f>
        <v/>
      </c>
      <c r="R1732" s="8" t="str">
        <f ca="1">IFERROR(Tabela3[[#This Row],[Valor]]-(Tabela3[[#This Row],[Valor]]*(Tabela3[[#This Row],[Idade]]*VLOOKUP(Tabela3[[#This Row],[Categoria]],Cadastros!A:B,2,0))),"")</f>
        <v/>
      </c>
    </row>
    <row r="1733" spans="4:18" x14ac:dyDescent="0.25">
      <c r="D1733" s="5"/>
      <c r="N1733" s="6" t="str">
        <f>IFERROR(Tabela3[[#This Row],[Última revisão do bem]]+(VLOOKUP(Tabela3[[#This Row],[Categoria]],Cadastros!A:D,4,0)+365),"")</f>
        <v/>
      </c>
      <c r="O1733" s="7" t="str">
        <f ca="1">IF(Tabela3[[#This Row],[Data da compra]]&gt;0,(TODAY()-Tabela3[[#This Row],[Data da compra]])/365,"")</f>
        <v/>
      </c>
      <c r="P1733" s="7" t="str">
        <f>IFERROR(VLOOKUP(Tabela3[[#This Row],[Categoria]],Cadastros!A:C,3,0),"")</f>
        <v/>
      </c>
      <c r="Q1733" s="9" t="str">
        <f ca="1">IFERROR(Tabela3[[#This Row],[Vida útil]]-Tabela3[[#This Row],[Idade]],"")</f>
        <v/>
      </c>
      <c r="R1733" s="8" t="str">
        <f ca="1">IFERROR(Tabela3[[#This Row],[Valor]]-(Tabela3[[#This Row],[Valor]]*(Tabela3[[#This Row],[Idade]]*VLOOKUP(Tabela3[[#This Row],[Categoria]],Cadastros!A:B,2,0))),"")</f>
        <v/>
      </c>
    </row>
    <row r="1734" spans="4:18" x14ac:dyDescent="0.25">
      <c r="D1734" s="22"/>
      <c r="N1734" s="6" t="str">
        <f>IFERROR(Tabela3[[#This Row],[Última revisão do bem]]+(VLOOKUP(Tabela3[[#This Row],[Categoria]],Cadastros!A:D,4,0)+365),"")</f>
        <v/>
      </c>
      <c r="O1734" s="7" t="str">
        <f ca="1">IF(Tabela3[[#This Row],[Data da compra]]&gt;0,(TODAY()-Tabela3[[#This Row],[Data da compra]])/365,"")</f>
        <v/>
      </c>
      <c r="P1734" s="7" t="str">
        <f>IFERROR(VLOOKUP(Tabela3[[#This Row],[Categoria]],Cadastros!A:C,3,0),"")</f>
        <v/>
      </c>
      <c r="Q1734" s="9" t="str">
        <f ca="1">IFERROR(Tabela3[[#This Row],[Vida útil]]-Tabela3[[#This Row],[Idade]],"")</f>
        <v/>
      </c>
      <c r="R1734" s="23" t="str">
        <f ca="1">IFERROR(Tabela3[[#This Row],[Valor]]-(Tabela3[[#This Row],[Valor]]*(Tabela3[[#This Row],[Idade]]*VLOOKUP(Tabela3[[#This Row],[Categoria]],Cadastros!A:B,2,0))),"")</f>
        <v/>
      </c>
    </row>
    <row r="1735" spans="4:18" x14ac:dyDescent="0.25">
      <c r="D1735" s="5"/>
      <c r="N1735" s="6" t="str">
        <f>IFERROR(Tabela3[[#This Row],[Última revisão do bem]]+(VLOOKUP(Tabela3[[#This Row],[Categoria]],Cadastros!A:D,4,0)+365),"")</f>
        <v/>
      </c>
      <c r="O1735" s="7" t="str">
        <f ca="1">IF(Tabela3[[#This Row],[Data da compra]]&gt;0,(TODAY()-Tabela3[[#This Row],[Data da compra]])/365,"")</f>
        <v/>
      </c>
      <c r="P1735" s="7" t="str">
        <f>IFERROR(VLOOKUP(Tabela3[[#This Row],[Categoria]],Cadastros!A:C,3,0),"")</f>
        <v/>
      </c>
      <c r="Q1735" s="9" t="str">
        <f ca="1">IFERROR(Tabela3[[#This Row],[Vida útil]]-Tabela3[[#This Row],[Idade]],"")</f>
        <v/>
      </c>
      <c r="R1735" s="8" t="str">
        <f ca="1">IFERROR(Tabela3[[#This Row],[Valor]]-(Tabela3[[#This Row],[Valor]]*(Tabela3[[#This Row],[Idade]]*VLOOKUP(Tabela3[[#This Row],[Categoria]],Cadastros!A:B,2,0))),"")</f>
        <v/>
      </c>
    </row>
    <row r="1736" spans="4:18" x14ac:dyDescent="0.25">
      <c r="D1736" s="5"/>
      <c r="N1736" s="6" t="str">
        <f>IFERROR(Tabela3[[#This Row],[Última revisão do bem]]+(VLOOKUP(Tabela3[[#This Row],[Categoria]],Cadastros!A:D,4,0)+365),"")</f>
        <v/>
      </c>
      <c r="O1736" s="7" t="str">
        <f ca="1">IF(Tabela3[[#This Row],[Data da compra]]&gt;0,(TODAY()-Tabela3[[#This Row],[Data da compra]])/365,"")</f>
        <v/>
      </c>
      <c r="P1736" s="7" t="str">
        <f>IFERROR(VLOOKUP(Tabela3[[#This Row],[Categoria]],Cadastros!A:C,3,0),"")</f>
        <v/>
      </c>
      <c r="Q1736" s="9" t="str">
        <f ca="1">IFERROR(Tabela3[[#This Row],[Vida útil]]-Tabela3[[#This Row],[Idade]],"")</f>
        <v/>
      </c>
      <c r="R1736" s="8" t="str">
        <f ca="1">IFERROR(Tabela3[[#This Row],[Valor]]-(Tabela3[[#This Row],[Valor]]*(Tabela3[[#This Row],[Idade]]*VLOOKUP(Tabela3[[#This Row],[Categoria]],Cadastros!A:B,2,0))),"")</f>
        <v/>
      </c>
    </row>
    <row r="1737" spans="4:18" x14ac:dyDescent="0.25">
      <c r="D1737" s="5"/>
      <c r="N1737" s="6" t="str">
        <f>IFERROR(Tabela3[[#This Row],[Última revisão do bem]]+(VLOOKUP(Tabela3[[#This Row],[Categoria]],Cadastros!A:D,4,0)+365),"")</f>
        <v/>
      </c>
      <c r="O1737" s="7" t="str">
        <f ca="1">IF(Tabela3[[#This Row],[Data da compra]]&gt;0,(TODAY()-Tabela3[[#This Row],[Data da compra]])/365,"")</f>
        <v/>
      </c>
      <c r="P1737" s="7" t="str">
        <f>IFERROR(VLOOKUP(Tabela3[[#This Row],[Categoria]],Cadastros!A:C,3,0),"")</f>
        <v/>
      </c>
      <c r="Q1737" s="9" t="str">
        <f ca="1">IFERROR(Tabela3[[#This Row],[Vida útil]]-Tabela3[[#This Row],[Idade]],"")</f>
        <v/>
      </c>
      <c r="R1737" s="8" t="str">
        <f ca="1">IFERROR(Tabela3[[#This Row],[Valor]]-(Tabela3[[#This Row],[Valor]]*(Tabela3[[#This Row],[Idade]]*VLOOKUP(Tabela3[[#This Row],[Categoria]],Cadastros!A:B,2,0))),"")</f>
        <v/>
      </c>
    </row>
    <row r="1738" spans="4:18" x14ac:dyDescent="0.25">
      <c r="D1738" s="5"/>
      <c r="N1738" s="6" t="str">
        <f>IFERROR(Tabela3[[#This Row],[Última revisão do bem]]+(VLOOKUP(Tabela3[[#This Row],[Categoria]],Cadastros!A:D,4,0)+365),"")</f>
        <v/>
      </c>
      <c r="O1738" s="7" t="str">
        <f ca="1">IF(Tabela3[[#This Row],[Data da compra]]&gt;0,(TODAY()-Tabela3[[#This Row],[Data da compra]])/365,"")</f>
        <v/>
      </c>
      <c r="P1738" s="7" t="str">
        <f>IFERROR(VLOOKUP(Tabela3[[#This Row],[Categoria]],Cadastros!A:C,3,0),"")</f>
        <v/>
      </c>
      <c r="Q1738" s="9" t="str">
        <f ca="1">IFERROR(Tabela3[[#This Row],[Vida útil]]-Tabela3[[#This Row],[Idade]],"")</f>
        <v/>
      </c>
      <c r="R1738" s="8" t="str">
        <f ca="1">IFERROR(Tabela3[[#This Row],[Valor]]-(Tabela3[[#This Row],[Valor]]*(Tabela3[[#This Row],[Idade]]*VLOOKUP(Tabela3[[#This Row],[Categoria]],Cadastros!A:B,2,0))),"")</f>
        <v/>
      </c>
    </row>
    <row r="1739" spans="4:18" x14ac:dyDescent="0.25">
      <c r="D1739" s="5"/>
      <c r="N1739" s="6" t="str">
        <f>IFERROR(Tabela3[[#This Row],[Última revisão do bem]]+(VLOOKUP(Tabela3[[#This Row],[Categoria]],Cadastros!A:D,4,0)+365),"")</f>
        <v/>
      </c>
      <c r="O1739" s="7" t="str">
        <f ca="1">IF(Tabela3[[#This Row],[Data da compra]]&gt;0,(TODAY()-Tabela3[[#This Row],[Data da compra]])/365,"")</f>
        <v/>
      </c>
      <c r="P1739" s="7" t="str">
        <f>IFERROR(VLOOKUP(Tabela3[[#This Row],[Categoria]],Cadastros!A:C,3,0),"")</f>
        <v/>
      </c>
      <c r="Q1739" s="9" t="str">
        <f ca="1">IFERROR(Tabela3[[#This Row],[Vida útil]]-Tabela3[[#This Row],[Idade]],"")</f>
        <v/>
      </c>
      <c r="R1739" s="8" t="str">
        <f ca="1">IFERROR(Tabela3[[#This Row],[Valor]]-(Tabela3[[#This Row],[Valor]]*(Tabela3[[#This Row],[Idade]]*VLOOKUP(Tabela3[[#This Row],[Categoria]],Cadastros!A:B,2,0))),"")</f>
        <v/>
      </c>
    </row>
    <row r="1740" spans="4:18" x14ac:dyDescent="0.25">
      <c r="D1740" s="5"/>
      <c r="N1740" s="6" t="str">
        <f>IFERROR(Tabela3[[#This Row],[Última revisão do bem]]+(VLOOKUP(Tabela3[[#This Row],[Categoria]],Cadastros!A:D,4,0)+365),"")</f>
        <v/>
      </c>
      <c r="O1740" s="7" t="str">
        <f ca="1">IF(Tabela3[[#This Row],[Data da compra]]&gt;0,(TODAY()-Tabela3[[#This Row],[Data da compra]])/365,"")</f>
        <v/>
      </c>
      <c r="P1740" s="7" t="str">
        <f>IFERROR(VLOOKUP(Tabela3[[#This Row],[Categoria]],Cadastros!A:C,3,0),"")</f>
        <v/>
      </c>
      <c r="Q1740" s="9" t="str">
        <f ca="1">IFERROR(Tabela3[[#This Row],[Vida útil]]-Tabela3[[#This Row],[Idade]],"")</f>
        <v/>
      </c>
      <c r="R1740" s="8" t="str">
        <f ca="1">IFERROR(Tabela3[[#This Row],[Valor]]-(Tabela3[[#This Row],[Valor]]*(Tabela3[[#This Row],[Idade]]*VLOOKUP(Tabela3[[#This Row],[Categoria]],Cadastros!A:B,2,0))),"")</f>
        <v/>
      </c>
    </row>
    <row r="1741" spans="4:18" x14ac:dyDescent="0.25">
      <c r="D1741" s="5"/>
      <c r="N1741" s="6" t="str">
        <f>IFERROR(Tabela3[[#This Row],[Última revisão do bem]]+(VLOOKUP(Tabela3[[#This Row],[Categoria]],Cadastros!A:D,4,0)+365),"")</f>
        <v/>
      </c>
      <c r="O1741" s="7" t="str">
        <f ca="1">IF(Tabela3[[#This Row],[Data da compra]]&gt;0,(TODAY()-Tabela3[[#This Row],[Data da compra]])/365,"")</f>
        <v/>
      </c>
      <c r="P1741" s="7" t="str">
        <f>IFERROR(VLOOKUP(Tabela3[[#This Row],[Categoria]],Cadastros!A:C,3,0),"")</f>
        <v/>
      </c>
      <c r="Q1741" s="9" t="str">
        <f ca="1">IFERROR(Tabela3[[#This Row],[Vida útil]]-Tabela3[[#This Row],[Idade]],"")</f>
        <v/>
      </c>
      <c r="R1741" s="8" t="str">
        <f ca="1">IFERROR(Tabela3[[#This Row],[Valor]]-(Tabela3[[#This Row],[Valor]]*(Tabela3[[#This Row],[Idade]]*VLOOKUP(Tabela3[[#This Row],[Categoria]],Cadastros!A:B,2,0))),"")</f>
        <v/>
      </c>
    </row>
    <row r="1742" spans="4:18" x14ac:dyDescent="0.25">
      <c r="D1742" s="5"/>
      <c r="N1742" s="6" t="str">
        <f>IFERROR(Tabela3[[#This Row],[Última revisão do bem]]+(VLOOKUP(Tabela3[[#This Row],[Categoria]],Cadastros!A:D,4,0)+365),"")</f>
        <v/>
      </c>
      <c r="O1742" s="7" t="str">
        <f ca="1">IF(Tabela3[[#This Row],[Data da compra]]&gt;0,(TODAY()-Tabela3[[#This Row],[Data da compra]])/365,"")</f>
        <v/>
      </c>
      <c r="P1742" s="7" t="str">
        <f>IFERROR(VLOOKUP(Tabela3[[#This Row],[Categoria]],Cadastros!A:C,3,0),"")</f>
        <v/>
      </c>
      <c r="Q1742" s="9" t="str">
        <f ca="1">IFERROR(Tabela3[[#This Row],[Vida útil]]-Tabela3[[#This Row],[Idade]],"")</f>
        <v/>
      </c>
      <c r="R1742" s="8" t="str">
        <f ca="1">IFERROR(Tabela3[[#This Row],[Valor]]-(Tabela3[[#This Row],[Valor]]*(Tabela3[[#This Row],[Idade]]*VLOOKUP(Tabela3[[#This Row],[Categoria]],Cadastros!A:B,2,0))),"")</f>
        <v/>
      </c>
    </row>
    <row r="1743" spans="4:18" x14ac:dyDescent="0.25">
      <c r="D1743" s="5"/>
      <c r="N1743" s="6" t="str">
        <f>IFERROR(Tabela3[[#This Row],[Última revisão do bem]]+(VLOOKUP(Tabela3[[#This Row],[Categoria]],Cadastros!A:D,4,0)+365),"")</f>
        <v/>
      </c>
      <c r="O1743" s="7" t="str">
        <f ca="1">IF(Tabela3[[#This Row],[Data da compra]]&gt;0,(TODAY()-Tabela3[[#This Row],[Data da compra]])/365,"")</f>
        <v/>
      </c>
      <c r="P1743" s="7" t="str">
        <f>IFERROR(VLOOKUP(Tabela3[[#This Row],[Categoria]],Cadastros!A:C,3,0),"")</f>
        <v/>
      </c>
      <c r="Q1743" s="9" t="str">
        <f ca="1">IFERROR(Tabela3[[#This Row],[Vida útil]]-Tabela3[[#This Row],[Idade]],"")</f>
        <v/>
      </c>
      <c r="R1743" s="8" t="str">
        <f ca="1">IFERROR(Tabela3[[#This Row],[Valor]]-(Tabela3[[#This Row],[Valor]]*(Tabela3[[#This Row],[Idade]]*VLOOKUP(Tabela3[[#This Row],[Categoria]],Cadastros!A:B,2,0))),"")</f>
        <v/>
      </c>
    </row>
    <row r="1744" spans="4:18" x14ac:dyDescent="0.25">
      <c r="D1744" s="5"/>
      <c r="N1744" s="6" t="str">
        <f>IFERROR(Tabela3[[#This Row],[Última revisão do bem]]+(VLOOKUP(Tabela3[[#This Row],[Categoria]],Cadastros!A:D,4,0)+365),"")</f>
        <v/>
      </c>
      <c r="O1744" s="7" t="str">
        <f ca="1">IF(Tabela3[[#This Row],[Data da compra]]&gt;0,(TODAY()-Tabela3[[#This Row],[Data da compra]])/365,"")</f>
        <v/>
      </c>
      <c r="P1744" s="7" t="str">
        <f>IFERROR(VLOOKUP(Tabela3[[#This Row],[Categoria]],Cadastros!A:C,3,0),"")</f>
        <v/>
      </c>
      <c r="Q1744" s="9" t="str">
        <f ca="1">IFERROR(Tabela3[[#This Row],[Vida útil]]-Tabela3[[#This Row],[Idade]],"")</f>
        <v/>
      </c>
      <c r="R1744" s="8" t="str">
        <f ca="1">IFERROR(Tabela3[[#This Row],[Valor]]-(Tabela3[[#This Row],[Valor]]*(Tabela3[[#This Row],[Idade]]*VLOOKUP(Tabela3[[#This Row],[Categoria]],Cadastros!A:B,2,0))),"")</f>
        <v/>
      </c>
    </row>
    <row r="1745" spans="4:18" x14ac:dyDescent="0.25">
      <c r="D1745" s="5"/>
      <c r="N1745" s="6" t="str">
        <f>IFERROR(Tabela3[[#This Row],[Última revisão do bem]]+(VLOOKUP(Tabela3[[#This Row],[Categoria]],Cadastros!A:D,4,0)+365),"")</f>
        <v/>
      </c>
      <c r="O1745" s="7" t="str">
        <f ca="1">IF(Tabela3[[#This Row],[Data da compra]]&gt;0,(TODAY()-Tabela3[[#This Row],[Data da compra]])/365,"")</f>
        <v/>
      </c>
      <c r="P1745" s="7" t="str">
        <f>IFERROR(VLOOKUP(Tabela3[[#This Row],[Categoria]],Cadastros!A:C,3,0),"")</f>
        <v/>
      </c>
      <c r="Q1745" s="9" t="str">
        <f ca="1">IFERROR(Tabela3[[#This Row],[Vida útil]]-Tabela3[[#This Row],[Idade]],"")</f>
        <v/>
      </c>
      <c r="R1745" s="8" t="str">
        <f ca="1">IFERROR(Tabela3[[#This Row],[Valor]]-(Tabela3[[#This Row],[Valor]]*(Tabela3[[#This Row],[Idade]]*VLOOKUP(Tabela3[[#This Row],[Categoria]],Cadastros!A:B,2,0))),"")</f>
        <v/>
      </c>
    </row>
    <row r="1746" spans="4:18" x14ac:dyDescent="0.25">
      <c r="D1746" s="5"/>
      <c r="N1746" s="6" t="str">
        <f>IFERROR(Tabela3[[#This Row],[Última revisão do bem]]+(VLOOKUP(Tabela3[[#This Row],[Categoria]],Cadastros!A:D,4,0)+365),"")</f>
        <v/>
      </c>
      <c r="O1746" s="7" t="str">
        <f ca="1">IF(Tabela3[[#This Row],[Data da compra]]&gt;0,(TODAY()-Tabela3[[#This Row],[Data da compra]])/365,"")</f>
        <v/>
      </c>
      <c r="P1746" s="7" t="str">
        <f>IFERROR(VLOOKUP(Tabela3[[#This Row],[Categoria]],Cadastros!A:C,3,0),"")</f>
        <v/>
      </c>
      <c r="Q1746" s="9" t="str">
        <f ca="1">IFERROR(Tabela3[[#This Row],[Vida útil]]-Tabela3[[#This Row],[Idade]],"")</f>
        <v/>
      </c>
      <c r="R1746" s="8" t="str">
        <f ca="1">IFERROR(Tabela3[[#This Row],[Valor]]-(Tabela3[[#This Row],[Valor]]*(Tabela3[[#This Row],[Idade]]*VLOOKUP(Tabela3[[#This Row],[Categoria]],Cadastros!A:B,2,0))),"")</f>
        <v/>
      </c>
    </row>
    <row r="1747" spans="4:18" x14ac:dyDescent="0.25">
      <c r="D1747" s="5"/>
      <c r="N1747" s="6" t="str">
        <f>IFERROR(Tabela3[[#This Row],[Última revisão do bem]]+(VLOOKUP(Tabela3[[#This Row],[Categoria]],Cadastros!A:D,4,0)+365),"")</f>
        <v/>
      </c>
      <c r="O1747" s="7" t="str">
        <f ca="1">IF(Tabela3[[#This Row],[Data da compra]]&gt;0,(TODAY()-Tabela3[[#This Row],[Data da compra]])/365,"")</f>
        <v/>
      </c>
      <c r="P1747" s="7" t="str">
        <f>IFERROR(VLOOKUP(Tabela3[[#This Row],[Categoria]],Cadastros!A:C,3,0),"")</f>
        <v/>
      </c>
      <c r="Q1747" s="9" t="str">
        <f ca="1">IFERROR(Tabela3[[#This Row],[Vida útil]]-Tabela3[[#This Row],[Idade]],"")</f>
        <v/>
      </c>
      <c r="R1747" s="8" t="str">
        <f ca="1">IFERROR(Tabela3[[#This Row],[Valor]]-(Tabela3[[#This Row],[Valor]]*(Tabela3[[#This Row],[Idade]]*VLOOKUP(Tabela3[[#This Row],[Categoria]],Cadastros!A:B,2,0))),"")</f>
        <v/>
      </c>
    </row>
    <row r="1748" spans="4:18" x14ac:dyDescent="0.25">
      <c r="D1748" s="5"/>
      <c r="N1748" s="6" t="str">
        <f>IFERROR(Tabela3[[#This Row],[Última revisão do bem]]+(VLOOKUP(Tabela3[[#This Row],[Categoria]],Cadastros!A:D,4,0)+365),"")</f>
        <v/>
      </c>
      <c r="O1748" s="7" t="str">
        <f ca="1">IF(Tabela3[[#This Row],[Data da compra]]&gt;0,(TODAY()-Tabela3[[#This Row],[Data da compra]])/365,"")</f>
        <v/>
      </c>
      <c r="P1748" s="7" t="str">
        <f>IFERROR(VLOOKUP(Tabela3[[#This Row],[Categoria]],Cadastros!A:C,3,0),"")</f>
        <v/>
      </c>
      <c r="Q1748" s="9" t="str">
        <f ca="1">IFERROR(Tabela3[[#This Row],[Vida útil]]-Tabela3[[#This Row],[Idade]],"")</f>
        <v/>
      </c>
      <c r="R1748" s="8" t="str">
        <f ca="1">IFERROR(Tabela3[[#This Row],[Valor]]-(Tabela3[[#This Row],[Valor]]*(Tabela3[[#This Row],[Idade]]*VLOOKUP(Tabela3[[#This Row],[Categoria]],Cadastros!A:B,2,0))),"")</f>
        <v/>
      </c>
    </row>
    <row r="1749" spans="4:18" x14ac:dyDescent="0.25">
      <c r="D1749" s="5"/>
      <c r="N1749" s="6" t="str">
        <f>IFERROR(Tabela3[[#This Row],[Última revisão do bem]]+(VLOOKUP(Tabela3[[#This Row],[Categoria]],Cadastros!A:D,4,0)+365),"")</f>
        <v/>
      </c>
      <c r="O1749" s="7" t="str">
        <f ca="1">IF(Tabela3[[#This Row],[Data da compra]]&gt;0,(TODAY()-Tabela3[[#This Row],[Data da compra]])/365,"")</f>
        <v/>
      </c>
      <c r="P1749" s="7" t="str">
        <f>IFERROR(VLOOKUP(Tabela3[[#This Row],[Categoria]],Cadastros!A:C,3,0),"")</f>
        <v/>
      </c>
      <c r="Q1749" s="9" t="str">
        <f ca="1">IFERROR(Tabela3[[#This Row],[Vida útil]]-Tabela3[[#This Row],[Idade]],"")</f>
        <v/>
      </c>
      <c r="R1749" s="8" t="str">
        <f ca="1">IFERROR(Tabela3[[#This Row],[Valor]]-(Tabela3[[#This Row],[Valor]]*(Tabela3[[#This Row],[Idade]]*VLOOKUP(Tabela3[[#This Row],[Categoria]],Cadastros!A:B,2,0))),"")</f>
        <v/>
      </c>
    </row>
    <row r="1750" spans="4:18" x14ac:dyDescent="0.25">
      <c r="D1750" s="5"/>
      <c r="N1750" s="6" t="str">
        <f>IFERROR(Tabela3[[#This Row],[Última revisão do bem]]+(VLOOKUP(Tabela3[[#This Row],[Categoria]],Cadastros!A:D,4,0)+365),"")</f>
        <v/>
      </c>
      <c r="O1750" s="7" t="str">
        <f ca="1">IF(Tabela3[[#This Row],[Data da compra]]&gt;0,(TODAY()-Tabela3[[#This Row],[Data da compra]])/365,"")</f>
        <v/>
      </c>
      <c r="P1750" s="7" t="str">
        <f>IFERROR(VLOOKUP(Tabela3[[#This Row],[Categoria]],Cadastros!A:C,3,0),"")</f>
        <v/>
      </c>
      <c r="Q1750" s="9" t="str">
        <f ca="1">IFERROR(Tabela3[[#This Row],[Vida útil]]-Tabela3[[#This Row],[Idade]],"")</f>
        <v/>
      </c>
      <c r="R1750" s="8" t="str">
        <f ca="1">IFERROR(Tabela3[[#This Row],[Valor]]-(Tabela3[[#This Row],[Valor]]*(Tabela3[[#This Row],[Idade]]*VLOOKUP(Tabela3[[#This Row],[Categoria]],Cadastros!A:B,2,0))),"")</f>
        <v/>
      </c>
    </row>
    <row r="1751" spans="4:18" x14ac:dyDescent="0.25">
      <c r="D1751" s="5"/>
      <c r="N1751" s="6" t="str">
        <f>IFERROR(Tabela3[[#This Row],[Última revisão do bem]]+(VLOOKUP(Tabela3[[#This Row],[Categoria]],Cadastros!A:D,4,0)+365),"")</f>
        <v/>
      </c>
      <c r="O1751" s="7" t="str">
        <f ca="1">IF(Tabela3[[#This Row],[Data da compra]]&gt;0,(TODAY()-Tabela3[[#This Row],[Data da compra]])/365,"")</f>
        <v/>
      </c>
      <c r="P1751" s="7" t="str">
        <f>IFERROR(VLOOKUP(Tabela3[[#This Row],[Categoria]],Cadastros!A:C,3,0),"")</f>
        <v/>
      </c>
      <c r="Q1751" s="9" t="str">
        <f ca="1">IFERROR(Tabela3[[#This Row],[Vida útil]]-Tabela3[[#This Row],[Idade]],"")</f>
        <v/>
      </c>
      <c r="R1751" s="8" t="str">
        <f ca="1">IFERROR(Tabela3[[#This Row],[Valor]]-(Tabela3[[#This Row],[Valor]]*(Tabela3[[#This Row],[Idade]]*VLOOKUP(Tabela3[[#This Row],[Categoria]],Cadastros!A:B,2,0))),"")</f>
        <v/>
      </c>
    </row>
    <row r="1752" spans="4:18" x14ac:dyDescent="0.25">
      <c r="D1752" s="5"/>
      <c r="N1752" s="6" t="str">
        <f>IFERROR(Tabela3[[#This Row],[Última revisão do bem]]+(VLOOKUP(Tabela3[[#This Row],[Categoria]],Cadastros!A:D,4,0)+365),"")</f>
        <v/>
      </c>
      <c r="O1752" s="7" t="str">
        <f ca="1">IF(Tabela3[[#This Row],[Data da compra]]&gt;0,(TODAY()-Tabela3[[#This Row],[Data da compra]])/365,"")</f>
        <v/>
      </c>
      <c r="P1752" s="7" t="str">
        <f>IFERROR(VLOOKUP(Tabela3[[#This Row],[Categoria]],Cadastros!A:C,3,0),"")</f>
        <v/>
      </c>
      <c r="Q1752" s="9" t="str">
        <f ca="1">IFERROR(Tabela3[[#This Row],[Vida útil]]-Tabela3[[#This Row],[Idade]],"")</f>
        <v/>
      </c>
      <c r="R1752" s="8" t="str">
        <f ca="1">IFERROR(Tabela3[[#This Row],[Valor]]-(Tabela3[[#This Row],[Valor]]*(Tabela3[[#This Row],[Idade]]*VLOOKUP(Tabela3[[#This Row],[Categoria]],Cadastros!A:B,2,0))),"")</f>
        <v/>
      </c>
    </row>
    <row r="1753" spans="4:18" x14ac:dyDescent="0.25">
      <c r="D1753" s="5"/>
      <c r="N1753" s="6" t="str">
        <f>IFERROR(Tabela3[[#This Row],[Última revisão do bem]]+(VLOOKUP(Tabela3[[#This Row],[Categoria]],Cadastros!A:D,4,0)+365),"")</f>
        <v/>
      </c>
      <c r="O1753" s="7" t="str">
        <f ca="1">IF(Tabela3[[#This Row],[Data da compra]]&gt;0,(TODAY()-Tabela3[[#This Row],[Data da compra]])/365,"")</f>
        <v/>
      </c>
      <c r="P1753" s="7" t="str">
        <f>IFERROR(VLOOKUP(Tabela3[[#This Row],[Categoria]],Cadastros!A:C,3,0),"")</f>
        <v/>
      </c>
      <c r="Q1753" s="9" t="str">
        <f ca="1">IFERROR(Tabela3[[#This Row],[Vida útil]]-Tabela3[[#This Row],[Idade]],"")</f>
        <v/>
      </c>
      <c r="R1753" s="8" t="str">
        <f ca="1">IFERROR(Tabela3[[#This Row],[Valor]]-(Tabela3[[#This Row],[Valor]]*(Tabela3[[#This Row],[Idade]]*VLOOKUP(Tabela3[[#This Row],[Categoria]],Cadastros!A:B,2,0))),"")</f>
        <v/>
      </c>
    </row>
    <row r="1754" spans="4:18" x14ac:dyDescent="0.25">
      <c r="D1754" s="5"/>
      <c r="N1754" s="6" t="str">
        <f>IFERROR(Tabela3[[#This Row],[Última revisão do bem]]+(VLOOKUP(Tabela3[[#This Row],[Categoria]],Cadastros!A:D,4,0)+365),"")</f>
        <v/>
      </c>
      <c r="O1754" s="7" t="str">
        <f ca="1">IF(Tabela3[[#This Row],[Data da compra]]&gt;0,(TODAY()-Tabela3[[#This Row],[Data da compra]])/365,"")</f>
        <v/>
      </c>
      <c r="P1754" s="7" t="str">
        <f>IFERROR(VLOOKUP(Tabela3[[#This Row],[Categoria]],Cadastros!A:C,3,0),"")</f>
        <v/>
      </c>
      <c r="Q1754" s="9" t="str">
        <f ca="1">IFERROR(Tabela3[[#This Row],[Vida útil]]-Tabela3[[#This Row],[Idade]],"")</f>
        <v/>
      </c>
      <c r="R1754" s="8" t="str">
        <f ca="1">IFERROR(Tabela3[[#This Row],[Valor]]-(Tabela3[[#This Row],[Valor]]*(Tabela3[[#This Row],[Idade]]*VLOOKUP(Tabela3[[#This Row],[Categoria]],Cadastros!A:B,2,0))),"")</f>
        <v/>
      </c>
    </row>
    <row r="1755" spans="4:18" x14ac:dyDescent="0.25">
      <c r="D1755" s="5"/>
      <c r="N1755" s="6" t="str">
        <f>IFERROR(Tabela3[[#This Row],[Última revisão do bem]]+(VLOOKUP(Tabela3[[#This Row],[Categoria]],Cadastros!A:D,4,0)+365),"")</f>
        <v/>
      </c>
      <c r="O1755" s="7" t="str">
        <f ca="1">IF(Tabela3[[#This Row],[Data da compra]]&gt;0,(TODAY()-Tabela3[[#This Row],[Data da compra]])/365,"")</f>
        <v/>
      </c>
      <c r="P1755" s="7" t="str">
        <f>IFERROR(VLOOKUP(Tabela3[[#This Row],[Categoria]],Cadastros!A:C,3,0),"")</f>
        <v/>
      </c>
      <c r="Q1755" s="9" t="str">
        <f ca="1">IFERROR(Tabela3[[#This Row],[Vida útil]]-Tabela3[[#This Row],[Idade]],"")</f>
        <v/>
      </c>
      <c r="R1755" s="8" t="str">
        <f ca="1">IFERROR(Tabela3[[#This Row],[Valor]]-(Tabela3[[#This Row],[Valor]]*(Tabela3[[#This Row],[Idade]]*VLOOKUP(Tabela3[[#This Row],[Categoria]],Cadastros!A:B,2,0))),"")</f>
        <v/>
      </c>
    </row>
    <row r="1756" spans="4:18" x14ac:dyDescent="0.25">
      <c r="D1756" s="5"/>
      <c r="N1756" s="6" t="str">
        <f>IFERROR(Tabela3[[#This Row],[Última revisão do bem]]+(VLOOKUP(Tabela3[[#This Row],[Categoria]],Cadastros!A:D,4,0)+365),"")</f>
        <v/>
      </c>
      <c r="O1756" s="7" t="str">
        <f ca="1">IF(Tabela3[[#This Row],[Data da compra]]&gt;0,(TODAY()-Tabela3[[#This Row],[Data da compra]])/365,"")</f>
        <v/>
      </c>
      <c r="P1756" s="7" t="str">
        <f>IFERROR(VLOOKUP(Tabela3[[#This Row],[Categoria]],Cadastros!A:C,3,0),"")</f>
        <v/>
      </c>
      <c r="Q1756" s="9" t="str">
        <f ca="1">IFERROR(Tabela3[[#This Row],[Vida útil]]-Tabela3[[#This Row],[Idade]],"")</f>
        <v/>
      </c>
      <c r="R1756" s="8" t="str">
        <f ca="1">IFERROR(Tabela3[[#This Row],[Valor]]-(Tabela3[[#This Row],[Valor]]*(Tabela3[[#This Row],[Idade]]*VLOOKUP(Tabela3[[#This Row],[Categoria]],Cadastros!A:B,2,0))),"")</f>
        <v/>
      </c>
    </row>
    <row r="1757" spans="4:18" x14ac:dyDescent="0.25">
      <c r="D1757" s="5"/>
      <c r="N1757" s="6" t="str">
        <f>IFERROR(Tabela3[[#This Row],[Última revisão do bem]]+(VLOOKUP(Tabela3[[#This Row],[Categoria]],Cadastros!A:D,4,0)+365),"")</f>
        <v/>
      </c>
      <c r="O1757" s="7" t="str">
        <f ca="1">IF(Tabela3[[#This Row],[Data da compra]]&gt;0,(TODAY()-Tabela3[[#This Row],[Data da compra]])/365,"")</f>
        <v/>
      </c>
      <c r="P1757" s="7" t="str">
        <f>IFERROR(VLOOKUP(Tabela3[[#This Row],[Categoria]],Cadastros!A:C,3,0),"")</f>
        <v/>
      </c>
      <c r="Q1757" s="9" t="str">
        <f ca="1">IFERROR(Tabela3[[#This Row],[Vida útil]]-Tabela3[[#This Row],[Idade]],"")</f>
        <v/>
      </c>
      <c r="R1757" s="8" t="str">
        <f ca="1">IFERROR(Tabela3[[#This Row],[Valor]]-(Tabela3[[#This Row],[Valor]]*(Tabela3[[#This Row],[Idade]]*VLOOKUP(Tabela3[[#This Row],[Categoria]],Cadastros!A:B,2,0))),"")</f>
        <v/>
      </c>
    </row>
    <row r="1758" spans="4:18" x14ac:dyDescent="0.25">
      <c r="D1758" s="5"/>
      <c r="N1758" s="6" t="str">
        <f>IFERROR(Tabela3[[#This Row],[Última revisão do bem]]+(VLOOKUP(Tabela3[[#This Row],[Categoria]],Cadastros!A:D,4,0)+365),"")</f>
        <v/>
      </c>
      <c r="O1758" s="7" t="str">
        <f ca="1">IF(Tabela3[[#This Row],[Data da compra]]&gt;0,(TODAY()-Tabela3[[#This Row],[Data da compra]])/365,"")</f>
        <v/>
      </c>
      <c r="P1758" s="7" t="str">
        <f>IFERROR(VLOOKUP(Tabela3[[#This Row],[Categoria]],Cadastros!A:C,3,0),"")</f>
        <v/>
      </c>
      <c r="Q1758" s="9" t="str">
        <f ca="1">IFERROR(Tabela3[[#This Row],[Vida útil]]-Tabela3[[#This Row],[Idade]],"")</f>
        <v/>
      </c>
      <c r="R1758" s="8" t="str">
        <f ca="1">IFERROR(Tabela3[[#This Row],[Valor]]-(Tabela3[[#This Row],[Valor]]*(Tabela3[[#This Row],[Idade]]*VLOOKUP(Tabela3[[#This Row],[Categoria]],Cadastros!A:B,2,0))),"")</f>
        <v/>
      </c>
    </row>
    <row r="1759" spans="4:18" x14ac:dyDescent="0.25">
      <c r="D1759" s="5"/>
      <c r="N1759" s="6" t="str">
        <f>IFERROR(Tabela3[[#This Row],[Última revisão do bem]]+(VLOOKUP(Tabela3[[#This Row],[Categoria]],Cadastros!A:D,4,0)+365),"")</f>
        <v/>
      </c>
      <c r="O1759" s="7" t="str">
        <f ca="1">IF(Tabela3[[#This Row],[Data da compra]]&gt;0,(TODAY()-Tabela3[[#This Row],[Data da compra]])/365,"")</f>
        <v/>
      </c>
      <c r="P1759" s="7" t="str">
        <f>IFERROR(VLOOKUP(Tabela3[[#This Row],[Categoria]],Cadastros!A:C,3,0),"")</f>
        <v/>
      </c>
      <c r="Q1759" s="9" t="str">
        <f ca="1">IFERROR(Tabela3[[#This Row],[Vida útil]]-Tabela3[[#This Row],[Idade]],"")</f>
        <v/>
      </c>
      <c r="R1759" s="8" t="str">
        <f ca="1">IFERROR(Tabela3[[#This Row],[Valor]]-(Tabela3[[#This Row],[Valor]]*(Tabela3[[#This Row],[Idade]]*VLOOKUP(Tabela3[[#This Row],[Categoria]],Cadastros!A:B,2,0))),"")</f>
        <v/>
      </c>
    </row>
    <row r="1760" spans="4:18" x14ac:dyDescent="0.25">
      <c r="D1760" s="5"/>
      <c r="N1760" s="6" t="str">
        <f>IFERROR(Tabela3[[#This Row],[Última revisão do bem]]+(VLOOKUP(Tabela3[[#This Row],[Categoria]],Cadastros!A:D,4,0)+365),"")</f>
        <v/>
      </c>
      <c r="O1760" s="7" t="str">
        <f ca="1">IF(Tabela3[[#This Row],[Data da compra]]&gt;0,(TODAY()-Tabela3[[#This Row],[Data da compra]])/365,"")</f>
        <v/>
      </c>
      <c r="P1760" s="7" t="str">
        <f>IFERROR(VLOOKUP(Tabela3[[#This Row],[Categoria]],Cadastros!A:C,3,0),"")</f>
        <v/>
      </c>
      <c r="Q1760" s="9" t="str">
        <f ca="1">IFERROR(Tabela3[[#This Row],[Vida útil]]-Tabela3[[#This Row],[Idade]],"")</f>
        <v/>
      </c>
      <c r="R1760" s="8" t="str">
        <f ca="1">IFERROR(Tabela3[[#This Row],[Valor]]-(Tabela3[[#This Row],[Valor]]*(Tabela3[[#This Row],[Idade]]*VLOOKUP(Tabela3[[#This Row],[Categoria]],Cadastros!A:B,2,0))),"")</f>
        <v/>
      </c>
    </row>
    <row r="1761" spans="4:18" x14ac:dyDescent="0.25">
      <c r="D1761" s="5"/>
      <c r="N1761" s="6" t="str">
        <f>IFERROR(Tabela3[[#This Row],[Última revisão do bem]]+(VLOOKUP(Tabela3[[#This Row],[Categoria]],Cadastros!A:D,4,0)+365),"")</f>
        <v/>
      </c>
      <c r="O1761" s="7" t="str">
        <f ca="1">IF(Tabela3[[#This Row],[Data da compra]]&gt;0,(TODAY()-Tabela3[[#This Row],[Data da compra]])/365,"")</f>
        <v/>
      </c>
      <c r="P1761" s="7" t="str">
        <f>IFERROR(VLOOKUP(Tabela3[[#This Row],[Categoria]],Cadastros!A:C,3,0),"")</f>
        <v/>
      </c>
      <c r="Q1761" s="9" t="str">
        <f ca="1">IFERROR(Tabela3[[#This Row],[Vida útil]]-Tabela3[[#This Row],[Idade]],"")</f>
        <v/>
      </c>
      <c r="R1761" s="8" t="str">
        <f ca="1">IFERROR(Tabela3[[#This Row],[Valor]]-(Tabela3[[#This Row],[Valor]]*(Tabela3[[#This Row],[Idade]]*VLOOKUP(Tabela3[[#This Row],[Categoria]],Cadastros!A:B,2,0))),"")</f>
        <v/>
      </c>
    </row>
    <row r="1762" spans="4:18" x14ac:dyDescent="0.25">
      <c r="D1762" s="5"/>
      <c r="N1762" s="6" t="str">
        <f>IFERROR(Tabela3[[#This Row],[Última revisão do bem]]+(VLOOKUP(Tabela3[[#This Row],[Categoria]],Cadastros!A:D,4,0)+365),"")</f>
        <v/>
      </c>
      <c r="O1762" s="7" t="str">
        <f ca="1">IF(Tabela3[[#This Row],[Data da compra]]&gt;0,(TODAY()-Tabela3[[#This Row],[Data da compra]])/365,"")</f>
        <v/>
      </c>
      <c r="P1762" s="7" t="str">
        <f>IFERROR(VLOOKUP(Tabela3[[#This Row],[Categoria]],Cadastros!A:C,3,0),"")</f>
        <v/>
      </c>
      <c r="Q1762" s="9" t="str">
        <f ca="1">IFERROR(Tabela3[[#This Row],[Vida útil]]-Tabela3[[#This Row],[Idade]],"")</f>
        <v/>
      </c>
      <c r="R1762" s="8" t="str">
        <f ca="1">IFERROR(Tabela3[[#This Row],[Valor]]-(Tabela3[[#This Row],[Valor]]*(Tabela3[[#This Row],[Idade]]*VLOOKUP(Tabela3[[#This Row],[Categoria]],Cadastros!A:B,2,0))),"")</f>
        <v/>
      </c>
    </row>
    <row r="1763" spans="4:18" x14ac:dyDescent="0.25">
      <c r="D1763" s="5"/>
      <c r="N1763" s="6" t="str">
        <f>IFERROR(Tabela3[[#This Row],[Última revisão do bem]]+(VLOOKUP(Tabela3[[#This Row],[Categoria]],Cadastros!A:D,4,0)+365),"")</f>
        <v/>
      </c>
      <c r="O1763" s="7" t="str">
        <f ca="1">IF(Tabela3[[#This Row],[Data da compra]]&gt;0,(TODAY()-Tabela3[[#This Row],[Data da compra]])/365,"")</f>
        <v/>
      </c>
      <c r="P1763" s="7" t="str">
        <f>IFERROR(VLOOKUP(Tabela3[[#This Row],[Categoria]],Cadastros!A:C,3,0),"")</f>
        <v/>
      </c>
      <c r="Q1763" s="9" t="str">
        <f ca="1">IFERROR(Tabela3[[#This Row],[Vida útil]]-Tabela3[[#This Row],[Idade]],"")</f>
        <v/>
      </c>
      <c r="R1763" s="8" t="str">
        <f ca="1">IFERROR(Tabela3[[#This Row],[Valor]]-(Tabela3[[#This Row],[Valor]]*(Tabela3[[#This Row],[Idade]]*VLOOKUP(Tabela3[[#This Row],[Categoria]],Cadastros!A:B,2,0))),"")</f>
        <v/>
      </c>
    </row>
    <row r="1764" spans="4:18" x14ac:dyDescent="0.25">
      <c r="D1764" s="5"/>
      <c r="N1764" s="6" t="str">
        <f>IFERROR(Tabela3[[#This Row],[Última revisão do bem]]+(VLOOKUP(Tabela3[[#This Row],[Categoria]],Cadastros!A:D,4,0)+365),"")</f>
        <v/>
      </c>
      <c r="O1764" s="7" t="str">
        <f ca="1">IF(Tabela3[[#This Row],[Data da compra]]&gt;0,(TODAY()-Tabela3[[#This Row],[Data da compra]])/365,"")</f>
        <v/>
      </c>
      <c r="P1764" s="7" t="str">
        <f>IFERROR(VLOOKUP(Tabela3[[#This Row],[Categoria]],Cadastros!A:C,3,0),"")</f>
        <v/>
      </c>
      <c r="Q1764" s="9" t="str">
        <f ca="1">IFERROR(Tabela3[[#This Row],[Vida útil]]-Tabela3[[#This Row],[Idade]],"")</f>
        <v/>
      </c>
      <c r="R1764" s="8" t="str">
        <f ca="1">IFERROR(Tabela3[[#This Row],[Valor]]-(Tabela3[[#This Row],[Valor]]*(Tabela3[[#This Row],[Idade]]*VLOOKUP(Tabela3[[#This Row],[Categoria]],Cadastros!A:B,2,0))),"")</f>
        <v/>
      </c>
    </row>
    <row r="1765" spans="4:18" x14ac:dyDescent="0.25">
      <c r="D1765" s="5"/>
      <c r="N1765" s="6" t="str">
        <f>IFERROR(Tabela3[[#This Row],[Última revisão do bem]]+(VLOOKUP(Tabela3[[#This Row],[Categoria]],Cadastros!A:D,4,0)+365),"")</f>
        <v/>
      </c>
      <c r="O1765" s="7" t="str">
        <f ca="1">IF(Tabela3[[#This Row],[Data da compra]]&gt;0,(TODAY()-Tabela3[[#This Row],[Data da compra]])/365,"")</f>
        <v/>
      </c>
      <c r="P1765" s="7" t="str">
        <f>IFERROR(VLOOKUP(Tabela3[[#This Row],[Categoria]],Cadastros!A:C,3,0),"")</f>
        <v/>
      </c>
      <c r="Q1765" s="9" t="str">
        <f ca="1">IFERROR(Tabela3[[#This Row],[Vida útil]]-Tabela3[[#This Row],[Idade]],"")</f>
        <v/>
      </c>
      <c r="R1765" s="8" t="str">
        <f ca="1">IFERROR(Tabela3[[#This Row],[Valor]]-(Tabela3[[#This Row],[Valor]]*(Tabela3[[#This Row],[Idade]]*VLOOKUP(Tabela3[[#This Row],[Categoria]],Cadastros!A:B,2,0))),"")</f>
        <v/>
      </c>
    </row>
    <row r="1766" spans="4:18" x14ac:dyDescent="0.25">
      <c r="D1766" s="5"/>
      <c r="N1766" s="6" t="str">
        <f>IFERROR(Tabela3[[#This Row],[Última revisão do bem]]+(VLOOKUP(Tabela3[[#This Row],[Categoria]],Cadastros!A:D,4,0)+365),"")</f>
        <v/>
      </c>
      <c r="O1766" s="7" t="str">
        <f ca="1">IF(Tabela3[[#This Row],[Data da compra]]&gt;0,(TODAY()-Tabela3[[#This Row],[Data da compra]])/365,"")</f>
        <v/>
      </c>
      <c r="P1766" s="7" t="str">
        <f>IFERROR(VLOOKUP(Tabela3[[#This Row],[Categoria]],Cadastros!A:C,3,0),"")</f>
        <v/>
      </c>
      <c r="Q1766" s="9" t="str">
        <f ca="1">IFERROR(Tabela3[[#This Row],[Vida útil]]-Tabela3[[#This Row],[Idade]],"")</f>
        <v/>
      </c>
      <c r="R1766" s="8" t="str">
        <f ca="1">IFERROR(Tabela3[[#This Row],[Valor]]-(Tabela3[[#This Row],[Valor]]*(Tabela3[[#This Row],[Idade]]*VLOOKUP(Tabela3[[#This Row],[Categoria]],Cadastros!A:B,2,0))),"")</f>
        <v/>
      </c>
    </row>
    <row r="1767" spans="4:18" x14ac:dyDescent="0.25">
      <c r="D1767" s="5"/>
      <c r="N1767" s="6" t="str">
        <f>IFERROR(Tabela3[[#This Row],[Última revisão do bem]]+(VLOOKUP(Tabela3[[#This Row],[Categoria]],Cadastros!A:D,4,0)+365),"")</f>
        <v/>
      </c>
      <c r="O1767" s="7" t="str">
        <f ca="1">IF(Tabela3[[#This Row],[Data da compra]]&gt;0,(TODAY()-Tabela3[[#This Row],[Data da compra]])/365,"")</f>
        <v/>
      </c>
      <c r="P1767" s="7" t="str">
        <f>IFERROR(VLOOKUP(Tabela3[[#This Row],[Categoria]],Cadastros!A:C,3,0),"")</f>
        <v/>
      </c>
      <c r="Q1767" s="9" t="str">
        <f ca="1">IFERROR(Tabela3[[#This Row],[Vida útil]]-Tabela3[[#This Row],[Idade]],"")</f>
        <v/>
      </c>
      <c r="R1767" s="8" t="str">
        <f ca="1">IFERROR(Tabela3[[#This Row],[Valor]]-(Tabela3[[#This Row],[Valor]]*(Tabela3[[#This Row],[Idade]]*VLOOKUP(Tabela3[[#This Row],[Categoria]],Cadastros!A:B,2,0))),"")</f>
        <v/>
      </c>
    </row>
    <row r="1768" spans="4:18" x14ac:dyDescent="0.25">
      <c r="D1768" s="5"/>
      <c r="N1768" s="6" t="str">
        <f>IFERROR(Tabela3[[#This Row],[Última revisão do bem]]+(VLOOKUP(Tabela3[[#This Row],[Categoria]],Cadastros!A:D,4,0)+365),"")</f>
        <v/>
      </c>
      <c r="O1768" s="7" t="str">
        <f ca="1">IF(Tabela3[[#This Row],[Data da compra]]&gt;0,(TODAY()-Tabela3[[#This Row],[Data da compra]])/365,"")</f>
        <v/>
      </c>
      <c r="P1768" s="7" t="str">
        <f>IFERROR(VLOOKUP(Tabela3[[#This Row],[Categoria]],Cadastros!A:C,3,0),"")</f>
        <v/>
      </c>
      <c r="Q1768" s="9" t="str">
        <f ca="1">IFERROR(Tabela3[[#This Row],[Vida útil]]-Tabela3[[#This Row],[Idade]],"")</f>
        <v/>
      </c>
      <c r="R1768" s="8" t="str">
        <f ca="1">IFERROR(Tabela3[[#This Row],[Valor]]-(Tabela3[[#This Row],[Valor]]*(Tabela3[[#This Row],[Idade]]*VLOOKUP(Tabela3[[#This Row],[Categoria]],Cadastros!A:B,2,0))),"")</f>
        <v/>
      </c>
    </row>
    <row r="1769" spans="4:18" x14ac:dyDescent="0.25">
      <c r="D1769" s="5"/>
      <c r="N1769" s="6" t="str">
        <f>IFERROR(Tabela3[[#This Row],[Última revisão do bem]]+(VLOOKUP(Tabela3[[#This Row],[Categoria]],Cadastros!A:D,4,0)+365),"")</f>
        <v/>
      </c>
      <c r="O1769" s="7" t="str">
        <f ca="1">IF(Tabela3[[#This Row],[Data da compra]]&gt;0,(TODAY()-Tabela3[[#This Row],[Data da compra]])/365,"")</f>
        <v/>
      </c>
      <c r="P1769" s="7" t="str">
        <f>IFERROR(VLOOKUP(Tabela3[[#This Row],[Categoria]],Cadastros!A:C,3,0),"")</f>
        <v/>
      </c>
      <c r="Q1769" s="9" t="str">
        <f ca="1">IFERROR(Tabela3[[#This Row],[Vida útil]]-Tabela3[[#This Row],[Idade]],"")</f>
        <v/>
      </c>
      <c r="R1769" s="8" t="str">
        <f ca="1">IFERROR(Tabela3[[#This Row],[Valor]]-(Tabela3[[#This Row],[Valor]]*(Tabela3[[#This Row],[Idade]]*VLOOKUP(Tabela3[[#This Row],[Categoria]],Cadastros!A:B,2,0))),"")</f>
        <v/>
      </c>
    </row>
    <row r="1770" spans="4:18" x14ac:dyDescent="0.25">
      <c r="D1770" s="22"/>
      <c r="N1770" s="6" t="str">
        <f>IFERROR(Tabela3[[#This Row],[Última revisão do bem]]+(VLOOKUP(Tabela3[[#This Row],[Categoria]],Cadastros!A:D,4,0)+365),"")</f>
        <v/>
      </c>
      <c r="O1770" s="7" t="str">
        <f ca="1">IF(Tabela3[[#This Row],[Data da compra]]&gt;0,(TODAY()-Tabela3[[#This Row],[Data da compra]])/365,"")</f>
        <v/>
      </c>
      <c r="P1770" s="7" t="str">
        <f>IFERROR(VLOOKUP(Tabela3[[#This Row],[Categoria]],Cadastros!A:C,3,0),"")</f>
        <v/>
      </c>
      <c r="Q1770" s="9" t="str">
        <f ca="1">IFERROR(Tabela3[[#This Row],[Vida útil]]-Tabela3[[#This Row],[Idade]],"")</f>
        <v/>
      </c>
      <c r="R1770" s="23" t="str">
        <f ca="1">IFERROR(Tabela3[[#This Row],[Valor]]-(Tabela3[[#This Row],[Valor]]*(Tabela3[[#This Row],[Idade]]*VLOOKUP(Tabela3[[#This Row],[Categoria]],Cadastros!A:B,2,0))),"")</f>
        <v/>
      </c>
    </row>
    <row r="1771" spans="4:18" x14ac:dyDescent="0.25">
      <c r="D1771" s="5"/>
      <c r="N1771" s="6" t="str">
        <f>IFERROR(Tabela3[[#This Row],[Última revisão do bem]]+(VLOOKUP(Tabela3[[#This Row],[Categoria]],Cadastros!A:D,4,0)+365),"")</f>
        <v/>
      </c>
      <c r="O1771" s="7" t="str">
        <f ca="1">IF(Tabela3[[#This Row],[Data da compra]]&gt;0,(TODAY()-Tabela3[[#This Row],[Data da compra]])/365,"")</f>
        <v/>
      </c>
      <c r="P1771" s="7" t="str">
        <f>IFERROR(VLOOKUP(Tabela3[[#This Row],[Categoria]],Cadastros!A:C,3,0),"")</f>
        <v/>
      </c>
      <c r="Q1771" s="9" t="str">
        <f ca="1">IFERROR(Tabela3[[#This Row],[Vida útil]]-Tabela3[[#This Row],[Idade]],"")</f>
        <v/>
      </c>
      <c r="R1771" s="8" t="str">
        <f ca="1">IFERROR(Tabela3[[#This Row],[Valor]]-(Tabela3[[#This Row],[Valor]]*(Tabela3[[#This Row],[Idade]]*VLOOKUP(Tabela3[[#This Row],[Categoria]],Cadastros!A:B,2,0))),"")</f>
        <v/>
      </c>
    </row>
    <row r="1772" spans="4:18" x14ac:dyDescent="0.25">
      <c r="D1772" s="5"/>
      <c r="N1772" s="6" t="str">
        <f>IFERROR(Tabela3[[#This Row],[Última revisão do bem]]+(VLOOKUP(Tabela3[[#This Row],[Categoria]],Cadastros!A:D,4,0)+365),"")</f>
        <v/>
      </c>
      <c r="O1772" s="7" t="str">
        <f ca="1">IF(Tabela3[[#This Row],[Data da compra]]&gt;0,(TODAY()-Tabela3[[#This Row],[Data da compra]])/365,"")</f>
        <v/>
      </c>
      <c r="P1772" s="7" t="str">
        <f>IFERROR(VLOOKUP(Tabela3[[#This Row],[Categoria]],Cadastros!A:C,3,0),"")</f>
        <v/>
      </c>
      <c r="Q1772" s="9" t="str">
        <f ca="1">IFERROR(Tabela3[[#This Row],[Vida útil]]-Tabela3[[#This Row],[Idade]],"")</f>
        <v/>
      </c>
      <c r="R1772" s="8" t="str">
        <f ca="1">IFERROR(Tabela3[[#This Row],[Valor]]-(Tabela3[[#This Row],[Valor]]*(Tabela3[[#This Row],[Idade]]*VLOOKUP(Tabela3[[#This Row],[Categoria]],Cadastros!A:B,2,0))),"")</f>
        <v/>
      </c>
    </row>
    <row r="1773" spans="4:18" x14ac:dyDescent="0.25">
      <c r="D1773" s="5"/>
      <c r="N1773" s="6" t="str">
        <f>IFERROR(Tabela3[[#This Row],[Última revisão do bem]]+(VLOOKUP(Tabela3[[#This Row],[Categoria]],Cadastros!A:D,4,0)+365),"")</f>
        <v/>
      </c>
      <c r="O1773" s="7" t="str">
        <f ca="1">IF(Tabela3[[#This Row],[Data da compra]]&gt;0,(TODAY()-Tabela3[[#This Row],[Data da compra]])/365,"")</f>
        <v/>
      </c>
      <c r="P1773" s="7" t="str">
        <f>IFERROR(VLOOKUP(Tabela3[[#This Row],[Categoria]],Cadastros!A:C,3,0),"")</f>
        <v/>
      </c>
      <c r="Q1773" s="9" t="str">
        <f ca="1">IFERROR(Tabela3[[#This Row],[Vida útil]]-Tabela3[[#This Row],[Idade]],"")</f>
        <v/>
      </c>
      <c r="R1773" s="8" t="str">
        <f ca="1">IFERROR(Tabela3[[#This Row],[Valor]]-(Tabela3[[#This Row],[Valor]]*(Tabela3[[#This Row],[Idade]]*VLOOKUP(Tabela3[[#This Row],[Categoria]],Cadastros!A:B,2,0))),"")</f>
        <v/>
      </c>
    </row>
    <row r="1774" spans="4:18" x14ac:dyDescent="0.25">
      <c r="D1774" s="5"/>
      <c r="N1774" s="6" t="str">
        <f>IFERROR(Tabela3[[#This Row],[Última revisão do bem]]+(VLOOKUP(Tabela3[[#This Row],[Categoria]],Cadastros!A:D,4,0)+365),"")</f>
        <v/>
      </c>
      <c r="O1774" s="7" t="str">
        <f ca="1">IF(Tabela3[[#This Row],[Data da compra]]&gt;0,(TODAY()-Tabela3[[#This Row],[Data da compra]])/365,"")</f>
        <v/>
      </c>
      <c r="P1774" s="7" t="str">
        <f>IFERROR(VLOOKUP(Tabela3[[#This Row],[Categoria]],Cadastros!A:C,3,0),"")</f>
        <v/>
      </c>
      <c r="Q1774" s="9" t="str">
        <f ca="1">IFERROR(Tabela3[[#This Row],[Vida útil]]-Tabela3[[#This Row],[Idade]],"")</f>
        <v/>
      </c>
      <c r="R1774" s="8" t="str">
        <f ca="1">IFERROR(Tabela3[[#This Row],[Valor]]-(Tabela3[[#This Row],[Valor]]*(Tabela3[[#This Row],[Idade]]*VLOOKUP(Tabela3[[#This Row],[Categoria]],Cadastros!A:B,2,0))),"")</f>
        <v/>
      </c>
    </row>
    <row r="1775" spans="4:18" x14ac:dyDescent="0.25">
      <c r="D1775" s="5"/>
      <c r="N1775" s="6" t="str">
        <f>IFERROR(Tabela3[[#This Row],[Última revisão do bem]]+(VLOOKUP(Tabela3[[#This Row],[Categoria]],Cadastros!A:D,4,0)+365),"")</f>
        <v/>
      </c>
      <c r="O1775" s="7" t="str">
        <f ca="1">IF(Tabela3[[#This Row],[Data da compra]]&gt;0,(TODAY()-Tabela3[[#This Row],[Data da compra]])/365,"")</f>
        <v/>
      </c>
      <c r="P1775" s="7" t="str">
        <f>IFERROR(VLOOKUP(Tabela3[[#This Row],[Categoria]],Cadastros!A:C,3,0),"")</f>
        <v/>
      </c>
      <c r="Q1775" s="9" t="str">
        <f ca="1">IFERROR(Tabela3[[#This Row],[Vida útil]]-Tabela3[[#This Row],[Idade]],"")</f>
        <v/>
      </c>
      <c r="R1775" s="8" t="str">
        <f ca="1">IFERROR(Tabela3[[#This Row],[Valor]]-(Tabela3[[#This Row],[Valor]]*(Tabela3[[#This Row],[Idade]]*VLOOKUP(Tabela3[[#This Row],[Categoria]],Cadastros!A:B,2,0))),"")</f>
        <v/>
      </c>
    </row>
    <row r="1776" spans="4:18" x14ac:dyDescent="0.25">
      <c r="D1776" s="5"/>
      <c r="N1776" s="6" t="str">
        <f>IFERROR(Tabela3[[#This Row],[Última revisão do bem]]+(VLOOKUP(Tabela3[[#This Row],[Categoria]],Cadastros!A:D,4,0)+365),"")</f>
        <v/>
      </c>
      <c r="O1776" s="7" t="str">
        <f ca="1">IF(Tabela3[[#This Row],[Data da compra]]&gt;0,(TODAY()-Tabela3[[#This Row],[Data da compra]])/365,"")</f>
        <v/>
      </c>
      <c r="P1776" s="7" t="str">
        <f>IFERROR(VLOOKUP(Tabela3[[#This Row],[Categoria]],Cadastros!A:C,3,0),"")</f>
        <v/>
      </c>
      <c r="Q1776" s="9" t="str">
        <f ca="1">IFERROR(Tabela3[[#This Row],[Vida útil]]-Tabela3[[#This Row],[Idade]],"")</f>
        <v/>
      </c>
      <c r="R1776" s="8" t="str">
        <f ca="1">IFERROR(Tabela3[[#This Row],[Valor]]-(Tabela3[[#This Row],[Valor]]*(Tabela3[[#This Row],[Idade]]*VLOOKUP(Tabela3[[#This Row],[Categoria]],Cadastros!A:B,2,0))),"")</f>
        <v/>
      </c>
    </row>
    <row r="1777" spans="4:18" x14ac:dyDescent="0.25">
      <c r="D1777" s="5"/>
      <c r="N1777" s="6" t="str">
        <f>IFERROR(Tabela3[[#This Row],[Última revisão do bem]]+(VLOOKUP(Tabela3[[#This Row],[Categoria]],Cadastros!A:D,4,0)+365),"")</f>
        <v/>
      </c>
      <c r="O1777" s="7" t="str">
        <f ca="1">IF(Tabela3[[#This Row],[Data da compra]]&gt;0,(TODAY()-Tabela3[[#This Row],[Data da compra]])/365,"")</f>
        <v/>
      </c>
      <c r="P1777" s="7" t="str">
        <f>IFERROR(VLOOKUP(Tabela3[[#This Row],[Categoria]],Cadastros!A:C,3,0),"")</f>
        <v/>
      </c>
      <c r="Q1777" s="9" t="str">
        <f ca="1">IFERROR(Tabela3[[#This Row],[Vida útil]]-Tabela3[[#This Row],[Idade]],"")</f>
        <v/>
      </c>
      <c r="R1777" s="8" t="str">
        <f ca="1">IFERROR(Tabela3[[#This Row],[Valor]]-(Tabela3[[#This Row],[Valor]]*(Tabela3[[#This Row],[Idade]]*VLOOKUP(Tabela3[[#This Row],[Categoria]],Cadastros!A:B,2,0))),"")</f>
        <v/>
      </c>
    </row>
    <row r="1778" spans="4:18" x14ac:dyDescent="0.25">
      <c r="D1778" s="5"/>
      <c r="N1778" s="6" t="str">
        <f>IFERROR(Tabela3[[#This Row],[Última revisão do bem]]+(VLOOKUP(Tabela3[[#This Row],[Categoria]],Cadastros!A:D,4,0)+365),"")</f>
        <v/>
      </c>
      <c r="O1778" s="7" t="str">
        <f ca="1">IF(Tabela3[[#This Row],[Data da compra]]&gt;0,(TODAY()-Tabela3[[#This Row],[Data da compra]])/365,"")</f>
        <v/>
      </c>
      <c r="P1778" s="7" t="str">
        <f>IFERROR(VLOOKUP(Tabela3[[#This Row],[Categoria]],Cadastros!A:C,3,0),"")</f>
        <v/>
      </c>
      <c r="Q1778" s="9" t="str">
        <f ca="1">IFERROR(Tabela3[[#This Row],[Vida útil]]-Tabela3[[#This Row],[Idade]],"")</f>
        <v/>
      </c>
      <c r="R1778" s="8" t="str">
        <f ca="1">IFERROR(Tabela3[[#This Row],[Valor]]-(Tabela3[[#This Row],[Valor]]*(Tabela3[[#This Row],[Idade]]*VLOOKUP(Tabela3[[#This Row],[Categoria]],Cadastros!A:B,2,0))),"")</f>
        <v/>
      </c>
    </row>
    <row r="1779" spans="4:18" x14ac:dyDescent="0.25">
      <c r="D1779" s="5"/>
      <c r="N1779" s="6" t="str">
        <f>IFERROR(Tabela3[[#This Row],[Última revisão do bem]]+(VLOOKUP(Tabela3[[#This Row],[Categoria]],Cadastros!A:D,4,0)+365),"")</f>
        <v/>
      </c>
      <c r="O1779" s="7" t="str">
        <f ca="1">IF(Tabela3[[#This Row],[Data da compra]]&gt;0,(TODAY()-Tabela3[[#This Row],[Data da compra]])/365,"")</f>
        <v/>
      </c>
      <c r="P1779" s="7" t="str">
        <f>IFERROR(VLOOKUP(Tabela3[[#This Row],[Categoria]],Cadastros!A:C,3,0),"")</f>
        <v/>
      </c>
      <c r="Q1779" s="9" t="str">
        <f ca="1">IFERROR(Tabela3[[#This Row],[Vida útil]]-Tabela3[[#This Row],[Idade]],"")</f>
        <v/>
      </c>
      <c r="R1779" s="8" t="str">
        <f ca="1">IFERROR(Tabela3[[#This Row],[Valor]]-(Tabela3[[#This Row],[Valor]]*(Tabela3[[#This Row],[Idade]]*VLOOKUP(Tabela3[[#This Row],[Categoria]],Cadastros!A:B,2,0))),"")</f>
        <v/>
      </c>
    </row>
    <row r="1780" spans="4:18" x14ac:dyDescent="0.25">
      <c r="D1780" s="5"/>
      <c r="N1780" s="6" t="str">
        <f>IFERROR(Tabela3[[#This Row],[Última revisão do bem]]+(VLOOKUP(Tabela3[[#This Row],[Categoria]],Cadastros!A:D,4,0)+365),"")</f>
        <v/>
      </c>
      <c r="O1780" s="7" t="str">
        <f ca="1">IF(Tabela3[[#This Row],[Data da compra]]&gt;0,(TODAY()-Tabela3[[#This Row],[Data da compra]])/365,"")</f>
        <v/>
      </c>
      <c r="P1780" s="7" t="str">
        <f>IFERROR(VLOOKUP(Tabela3[[#This Row],[Categoria]],Cadastros!A:C,3,0),"")</f>
        <v/>
      </c>
      <c r="Q1780" s="9" t="str">
        <f ca="1">IFERROR(Tabela3[[#This Row],[Vida útil]]-Tabela3[[#This Row],[Idade]],"")</f>
        <v/>
      </c>
      <c r="R1780" s="8" t="str">
        <f ca="1">IFERROR(Tabela3[[#This Row],[Valor]]-(Tabela3[[#This Row],[Valor]]*(Tabela3[[#This Row],[Idade]]*VLOOKUP(Tabela3[[#This Row],[Categoria]],Cadastros!A:B,2,0))),"")</f>
        <v/>
      </c>
    </row>
    <row r="1781" spans="4:18" x14ac:dyDescent="0.25">
      <c r="D1781" s="5"/>
      <c r="N1781" s="6" t="str">
        <f>IFERROR(Tabela3[[#This Row],[Última revisão do bem]]+(VLOOKUP(Tabela3[[#This Row],[Categoria]],Cadastros!A:D,4,0)+365),"")</f>
        <v/>
      </c>
      <c r="O1781" s="7" t="str">
        <f ca="1">IF(Tabela3[[#This Row],[Data da compra]]&gt;0,(TODAY()-Tabela3[[#This Row],[Data da compra]])/365,"")</f>
        <v/>
      </c>
      <c r="P1781" s="7" t="str">
        <f>IFERROR(VLOOKUP(Tabela3[[#This Row],[Categoria]],Cadastros!A:C,3,0),"")</f>
        <v/>
      </c>
      <c r="Q1781" s="9" t="str">
        <f ca="1">IFERROR(Tabela3[[#This Row],[Vida útil]]-Tabela3[[#This Row],[Idade]],"")</f>
        <v/>
      </c>
      <c r="R1781" s="8" t="str">
        <f ca="1">IFERROR(Tabela3[[#This Row],[Valor]]-(Tabela3[[#This Row],[Valor]]*(Tabela3[[#This Row],[Idade]]*VLOOKUP(Tabela3[[#This Row],[Categoria]],Cadastros!A:B,2,0))),"")</f>
        <v/>
      </c>
    </row>
    <row r="1782" spans="4:18" x14ac:dyDescent="0.25">
      <c r="D1782" s="5"/>
      <c r="N1782" s="6" t="str">
        <f>IFERROR(Tabela3[[#This Row],[Última revisão do bem]]+(VLOOKUP(Tabela3[[#This Row],[Categoria]],Cadastros!A:D,4,0)+365),"")</f>
        <v/>
      </c>
      <c r="O1782" s="7" t="str">
        <f ca="1">IF(Tabela3[[#This Row],[Data da compra]]&gt;0,(TODAY()-Tabela3[[#This Row],[Data da compra]])/365,"")</f>
        <v/>
      </c>
      <c r="P1782" s="7" t="str">
        <f>IFERROR(VLOOKUP(Tabela3[[#This Row],[Categoria]],Cadastros!A:C,3,0),"")</f>
        <v/>
      </c>
      <c r="Q1782" s="9" t="str">
        <f ca="1">IFERROR(Tabela3[[#This Row],[Vida útil]]-Tabela3[[#This Row],[Idade]],"")</f>
        <v/>
      </c>
      <c r="R1782" s="8" t="str">
        <f ca="1">IFERROR(Tabela3[[#This Row],[Valor]]-(Tabela3[[#This Row],[Valor]]*(Tabela3[[#This Row],[Idade]]*VLOOKUP(Tabela3[[#This Row],[Categoria]],Cadastros!A:B,2,0))),"")</f>
        <v/>
      </c>
    </row>
    <row r="1783" spans="4:18" x14ac:dyDescent="0.25">
      <c r="D1783" s="5"/>
      <c r="N1783" s="6" t="str">
        <f>IFERROR(Tabela3[[#This Row],[Última revisão do bem]]+(VLOOKUP(Tabela3[[#This Row],[Categoria]],Cadastros!A:D,4,0)+365),"")</f>
        <v/>
      </c>
      <c r="O1783" s="7" t="str">
        <f ca="1">IF(Tabela3[[#This Row],[Data da compra]]&gt;0,(TODAY()-Tabela3[[#This Row],[Data da compra]])/365,"")</f>
        <v/>
      </c>
      <c r="P1783" s="7" t="str">
        <f>IFERROR(VLOOKUP(Tabela3[[#This Row],[Categoria]],Cadastros!A:C,3,0),"")</f>
        <v/>
      </c>
      <c r="Q1783" s="9" t="str">
        <f ca="1">IFERROR(Tabela3[[#This Row],[Vida útil]]-Tabela3[[#This Row],[Idade]],"")</f>
        <v/>
      </c>
      <c r="R1783" s="8" t="str">
        <f ca="1">IFERROR(Tabela3[[#This Row],[Valor]]-(Tabela3[[#This Row],[Valor]]*(Tabela3[[#This Row],[Idade]]*VLOOKUP(Tabela3[[#This Row],[Categoria]],Cadastros!A:B,2,0))),"")</f>
        <v/>
      </c>
    </row>
    <row r="1784" spans="4:18" x14ac:dyDescent="0.25">
      <c r="D1784" s="5"/>
      <c r="N1784" s="6" t="str">
        <f>IFERROR(Tabela3[[#This Row],[Última revisão do bem]]+(VLOOKUP(Tabela3[[#This Row],[Categoria]],Cadastros!A:D,4,0)+365),"")</f>
        <v/>
      </c>
      <c r="O1784" s="7" t="str">
        <f ca="1">IF(Tabela3[[#This Row],[Data da compra]]&gt;0,(TODAY()-Tabela3[[#This Row],[Data da compra]])/365,"")</f>
        <v/>
      </c>
      <c r="P1784" s="7" t="str">
        <f>IFERROR(VLOOKUP(Tabela3[[#This Row],[Categoria]],Cadastros!A:C,3,0),"")</f>
        <v/>
      </c>
      <c r="Q1784" s="9" t="str">
        <f ca="1">IFERROR(Tabela3[[#This Row],[Vida útil]]-Tabela3[[#This Row],[Idade]],"")</f>
        <v/>
      </c>
      <c r="R1784" s="8" t="str">
        <f ca="1">IFERROR(Tabela3[[#This Row],[Valor]]-(Tabela3[[#This Row],[Valor]]*(Tabela3[[#This Row],[Idade]]*VLOOKUP(Tabela3[[#This Row],[Categoria]],Cadastros!A:B,2,0))),"")</f>
        <v/>
      </c>
    </row>
    <row r="1785" spans="4:18" x14ac:dyDescent="0.25">
      <c r="D1785" s="5"/>
      <c r="N1785" s="6" t="str">
        <f>IFERROR(Tabela3[[#This Row],[Última revisão do bem]]+(VLOOKUP(Tabela3[[#This Row],[Categoria]],Cadastros!A:D,4,0)+365),"")</f>
        <v/>
      </c>
      <c r="O1785" s="7" t="str">
        <f ca="1">IF(Tabela3[[#This Row],[Data da compra]]&gt;0,(TODAY()-Tabela3[[#This Row],[Data da compra]])/365,"")</f>
        <v/>
      </c>
      <c r="P1785" s="7" t="str">
        <f>IFERROR(VLOOKUP(Tabela3[[#This Row],[Categoria]],Cadastros!A:C,3,0),"")</f>
        <v/>
      </c>
      <c r="Q1785" s="9" t="str">
        <f ca="1">IFERROR(Tabela3[[#This Row],[Vida útil]]-Tabela3[[#This Row],[Idade]],"")</f>
        <v/>
      </c>
      <c r="R1785" s="8" t="str">
        <f ca="1">IFERROR(Tabela3[[#This Row],[Valor]]-(Tabela3[[#This Row],[Valor]]*(Tabela3[[#This Row],[Idade]]*VLOOKUP(Tabela3[[#This Row],[Categoria]],Cadastros!A:B,2,0))),"")</f>
        <v/>
      </c>
    </row>
    <row r="1786" spans="4:18" x14ac:dyDescent="0.25">
      <c r="D1786" s="5"/>
      <c r="N1786" s="6" t="str">
        <f>IFERROR(Tabela3[[#This Row],[Última revisão do bem]]+(VLOOKUP(Tabela3[[#This Row],[Categoria]],Cadastros!A:D,4,0)+365),"")</f>
        <v/>
      </c>
      <c r="O1786" s="7" t="str">
        <f ca="1">IF(Tabela3[[#This Row],[Data da compra]]&gt;0,(TODAY()-Tabela3[[#This Row],[Data da compra]])/365,"")</f>
        <v/>
      </c>
      <c r="P1786" s="7" t="str">
        <f>IFERROR(VLOOKUP(Tabela3[[#This Row],[Categoria]],Cadastros!A:C,3,0),"")</f>
        <v/>
      </c>
      <c r="Q1786" s="9" t="str">
        <f ca="1">IFERROR(Tabela3[[#This Row],[Vida útil]]-Tabela3[[#This Row],[Idade]],"")</f>
        <v/>
      </c>
      <c r="R1786" s="8" t="str">
        <f ca="1">IFERROR(Tabela3[[#This Row],[Valor]]-(Tabela3[[#This Row],[Valor]]*(Tabela3[[#This Row],[Idade]]*VLOOKUP(Tabela3[[#This Row],[Categoria]],Cadastros!A:B,2,0))),"")</f>
        <v/>
      </c>
    </row>
    <row r="1787" spans="4:18" x14ac:dyDescent="0.25">
      <c r="D1787" s="5"/>
      <c r="N1787" s="6" t="str">
        <f>IFERROR(Tabela3[[#This Row],[Última revisão do bem]]+(VLOOKUP(Tabela3[[#This Row],[Categoria]],Cadastros!A:D,4,0)+365),"")</f>
        <v/>
      </c>
      <c r="O1787" s="7" t="str">
        <f ca="1">IF(Tabela3[[#This Row],[Data da compra]]&gt;0,(TODAY()-Tabela3[[#This Row],[Data da compra]])/365,"")</f>
        <v/>
      </c>
      <c r="P1787" s="7" t="str">
        <f>IFERROR(VLOOKUP(Tabela3[[#This Row],[Categoria]],Cadastros!A:C,3,0),"")</f>
        <v/>
      </c>
      <c r="Q1787" s="9" t="str">
        <f ca="1">IFERROR(Tabela3[[#This Row],[Vida útil]]-Tabela3[[#This Row],[Idade]],"")</f>
        <v/>
      </c>
      <c r="R1787" s="8" t="str">
        <f ca="1">IFERROR(Tabela3[[#This Row],[Valor]]-(Tabela3[[#This Row],[Valor]]*(Tabela3[[#This Row],[Idade]]*VLOOKUP(Tabela3[[#This Row],[Categoria]],Cadastros!A:B,2,0))),"")</f>
        <v/>
      </c>
    </row>
    <row r="1788" spans="4:18" x14ac:dyDescent="0.25">
      <c r="D1788" s="22"/>
      <c r="N1788" s="6" t="str">
        <f>IFERROR(Tabela3[[#This Row],[Última revisão do bem]]+(VLOOKUP(Tabela3[[#This Row],[Categoria]],Cadastros!A:D,4,0)+365),"")</f>
        <v/>
      </c>
      <c r="O1788" s="7" t="str">
        <f ca="1">IF(Tabela3[[#This Row],[Data da compra]]&gt;0,(TODAY()-Tabela3[[#This Row],[Data da compra]])/365,"")</f>
        <v/>
      </c>
      <c r="P1788" s="7" t="str">
        <f>IFERROR(VLOOKUP(Tabela3[[#This Row],[Categoria]],Cadastros!A:C,3,0),"")</f>
        <v/>
      </c>
      <c r="Q1788" s="9" t="str">
        <f ca="1">IFERROR(Tabela3[[#This Row],[Vida útil]]-Tabela3[[#This Row],[Idade]],"")</f>
        <v/>
      </c>
      <c r="R1788" s="23" t="str">
        <f ca="1">IFERROR(Tabela3[[#This Row],[Valor]]-(Tabela3[[#This Row],[Valor]]*(Tabela3[[#This Row],[Idade]]*VLOOKUP(Tabela3[[#This Row],[Categoria]],Cadastros!A:B,2,0))),"")</f>
        <v/>
      </c>
    </row>
    <row r="1789" spans="4:18" x14ac:dyDescent="0.25">
      <c r="D1789" s="5"/>
      <c r="N1789" s="6" t="str">
        <f>IFERROR(Tabela3[[#This Row],[Última revisão do bem]]+(VLOOKUP(Tabela3[[#This Row],[Categoria]],Cadastros!A:D,4,0)+365),"")</f>
        <v/>
      </c>
      <c r="O1789" s="7" t="str">
        <f ca="1">IF(Tabela3[[#This Row],[Data da compra]]&gt;0,(TODAY()-Tabela3[[#This Row],[Data da compra]])/365,"")</f>
        <v/>
      </c>
      <c r="P1789" s="7" t="str">
        <f>IFERROR(VLOOKUP(Tabela3[[#This Row],[Categoria]],Cadastros!A:C,3,0),"")</f>
        <v/>
      </c>
      <c r="Q1789" s="9" t="str">
        <f ca="1">IFERROR(Tabela3[[#This Row],[Vida útil]]-Tabela3[[#This Row],[Idade]],"")</f>
        <v/>
      </c>
      <c r="R1789" s="8" t="str">
        <f ca="1">IFERROR(Tabela3[[#This Row],[Valor]]-(Tabela3[[#This Row],[Valor]]*(Tabela3[[#This Row],[Idade]]*VLOOKUP(Tabela3[[#This Row],[Categoria]],Cadastros!A:B,2,0))),"")</f>
        <v/>
      </c>
    </row>
    <row r="1790" spans="4:18" x14ac:dyDescent="0.25">
      <c r="D1790" s="5"/>
      <c r="N1790" s="6" t="str">
        <f>IFERROR(Tabela3[[#This Row],[Última revisão do bem]]+(VLOOKUP(Tabela3[[#This Row],[Categoria]],Cadastros!A:D,4,0)+365),"")</f>
        <v/>
      </c>
      <c r="O1790" s="7" t="str">
        <f ca="1">IF(Tabela3[[#This Row],[Data da compra]]&gt;0,(TODAY()-Tabela3[[#This Row],[Data da compra]])/365,"")</f>
        <v/>
      </c>
      <c r="P1790" s="7" t="str">
        <f>IFERROR(VLOOKUP(Tabela3[[#This Row],[Categoria]],Cadastros!A:C,3,0),"")</f>
        <v/>
      </c>
      <c r="Q1790" s="9" t="str">
        <f ca="1">IFERROR(Tabela3[[#This Row],[Vida útil]]-Tabela3[[#This Row],[Idade]],"")</f>
        <v/>
      </c>
      <c r="R1790" s="8" t="str">
        <f ca="1">IFERROR(Tabela3[[#This Row],[Valor]]-(Tabela3[[#This Row],[Valor]]*(Tabela3[[#This Row],[Idade]]*VLOOKUP(Tabela3[[#This Row],[Categoria]],Cadastros!A:B,2,0))),"")</f>
        <v/>
      </c>
    </row>
    <row r="1791" spans="4:18" x14ac:dyDescent="0.25">
      <c r="D1791" s="5"/>
      <c r="N1791" s="6" t="str">
        <f>IFERROR(Tabela3[[#This Row],[Última revisão do bem]]+(VLOOKUP(Tabela3[[#This Row],[Categoria]],Cadastros!A:D,4,0)+365),"")</f>
        <v/>
      </c>
      <c r="O1791" s="7" t="str">
        <f ca="1">IF(Tabela3[[#This Row],[Data da compra]]&gt;0,(TODAY()-Tabela3[[#This Row],[Data da compra]])/365,"")</f>
        <v/>
      </c>
      <c r="P1791" s="7" t="str">
        <f>IFERROR(VLOOKUP(Tabela3[[#This Row],[Categoria]],Cadastros!A:C,3,0),"")</f>
        <v/>
      </c>
      <c r="Q1791" s="9" t="str">
        <f ca="1">IFERROR(Tabela3[[#This Row],[Vida útil]]-Tabela3[[#This Row],[Idade]],"")</f>
        <v/>
      </c>
      <c r="R1791" s="8" t="str">
        <f ca="1">IFERROR(Tabela3[[#This Row],[Valor]]-(Tabela3[[#This Row],[Valor]]*(Tabela3[[#This Row],[Idade]]*VLOOKUP(Tabela3[[#This Row],[Categoria]],Cadastros!A:B,2,0))),"")</f>
        <v/>
      </c>
    </row>
    <row r="1792" spans="4:18" x14ac:dyDescent="0.25">
      <c r="D1792" s="5"/>
      <c r="N1792" s="6" t="str">
        <f>IFERROR(Tabela3[[#This Row],[Última revisão do bem]]+(VLOOKUP(Tabela3[[#This Row],[Categoria]],Cadastros!A:D,4,0)+365),"")</f>
        <v/>
      </c>
      <c r="O1792" s="7" t="str">
        <f ca="1">IF(Tabela3[[#This Row],[Data da compra]]&gt;0,(TODAY()-Tabela3[[#This Row],[Data da compra]])/365,"")</f>
        <v/>
      </c>
      <c r="P1792" s="7" t="str">
        <f>IFERROR(VLOOKUP(Tabela3[[#This Row],[Categoria]],Cadastros!A:C,3,0),"")</f>
        <v/>
      </c>
      <c r="Q1792" s="9" t="str">
        <f ca="1">IFERROR(Tabela3[[#This Row],[Vida útil]]-Tabela3[[#This Row],[Idade]],"")</f>
        <v/>
      </c>
      <c r="R1792" s="8" t="str">
        <f ca="1">IFERROR(Tabela3[[#This Row],[Valor]]-(Tabela3[[#This Row],[Valor]]*(Tabela3[[#This Row],[Idade]]*VLOOKUP(Tabela3[[#This Row],[Categoria]],Cadastros!A:B,2,0))),"")</f>
        <v/>
      </c>
    </row>
    <row r="1793" spans="4:18" x14ac:dyDescent="0.25">
      <c r="D1793" s="5"/>
      <c r="N1793" s="6" t="str">
        <f>IFERROR(Tabela3[[#This Row],[Última revisão do bem]]+(VLOOKUP(Tabela3[[#This Row],[Categoria]],Cadastros!A:D,4,0)+365),"")</f>
        <v/>
      </c>
      <c r="O1793" s="7" t="str">
        <f ca="1">IF(Tabela3[[#This Row],[Data da compra]]&gt;0,(TODAY()-Tabela3[[#This Row],[Data da compra]])/365,"")</f>
        <v/>
      </c>
      <c r="P1793" s="7" t="str">
        <f>IFERROR(VLOOKUP(Tabela3[[#This Row],[Categoria]],Cadastros!A:C,3,0),"")</f>
        <v/>
      </c>
      <c r="Q1793" s="9" t="str">
        <f ca="1">IFERROR(Tabela3[[#This Row],[Vida útil]]-Tabela3[[#This Row],[Idade]],"")</f>
        <v/>
      </c>
      <c r="R1793" s="8" t="str">
        <f ca="1">IFERROR(Tabela3[[#This Row],[Valor]]-(Tabela3[[#This Row],[Valor]]*(Tabela3[[#This Row],[Idade]]*VLOOKUP(Tabela3[[#This Row],[Categoria]],Cadastros!A:B,2,0))),"")</f>
        <v/>
      </c>
    </row>
    <row r="1794" spans="4:18" x14ac:dyDescent="0.25">
      <c r="D1794" s="5"/>
      <c r="N1794" s="6" t="str">
        <f>IFERROR(Tabela3[[#This Row],[Última revisão do bem]]+(VLOOKUP(Tabela3[[#This Row],[Categoria]],Cadastros!A:D,4,0)+365),"")</f>
        <v/>
      </c>
      <c r="O1794" s="7" t="str">
        <f ca="1">IF(Tabela3[[#This Row],[Data da compra]]&gt;0,(TODAY()-Tabela3[[#This Row],[Data da compra]])/365,"")</f>
        <v/>
      </c>
      <c r="P1794" s="7" t="str">
        <f>IFERROR(VLOOKUP(Tabela3[[#This Row],[Categoria]],Cadastros!A:C,3,0),"")</f>
        <v/>
      </c>
      <c r="Q1794" s="9" t="str">
        <f ca="1">IFERROR(Tabela3[[#This Row],[Vida útil]]-Tabela3[[#This Row],[Idade]],"")</f>
        <v/>
      </c>
      <c r="R1794" s="8" t="str">
        <f ca="1">IFERROR(Tabela3[[#This Row],[Valor]]-(Tabela3[[#This Row],[Valor]]*(Tabela3[[#This Row],[Idade]]*VLOOKUP(Tabela3[[#This Row],[Categoria]],Cadastros!A:B,2,0))),"")</f>
        <v/>
      </c>
    </row>
    <row r="1795" spans="4:18" x14ac:dyDescent="0.25">
      <c r="D1795" s="5"/>
      <c r="N1795" s="6" t="str">
        <f>IFERROR(Tabela3[[#This Row],[Última revisão do bem]]+(VLOOKUP(Tabela3[[#This Row],[Categoria]],Cadastros!A:D,4,0)+365),"")</f>
        <v/>
      </c>
      <c r="O1795" s="7" t="str">
        <f ca="1">IF(Tabela3[[#This Row],[Data da compra]]&gt;0,(TODAY()-Tabela3[[#This Row],[Data da compra]])/365,"")</f>
        <v/>
      </c>
      <c r="P1795" s="7" t="str">
        <f>IFERROR(VLOOKUP(Tabela3[[#This Row],[Categoria]],Cadastros!A:C,3,0),"")</f>
        <v/>
      </c>
      <c r="Q1795" s="9" t="str">
        <f ca="1">IFERROR(Tabela3[[#This Row],[Vida útil]]-Tabela3[[#This Row],[Idade]],"")</f>
        <v/>
      </c>
      <c r="R1795" s="8" t="str">
        <f ca="1">IFERROR(Tabela3[[#This Row],[Valor]]-(Tabela3[[#This Row],[Valor]]*(Tabela3[[#This Row],[Idade]]*VLOOKUP(Tabela3[[#This Row],[Categoria]],Cadastros!A:B,2,0))),"")</f>
        <v/>
      </c>
    </row>
    <row r="1796" spans="4:18" x14ac:dyDescent="0.25">
      <c r="D1796" s="5"/>
      <c r="N1796" s="6" t="str">
        <f>IFERROR(Tabela3[[#This Row],[Última revisão do bem]]+(VLOOKUP(Tabela3[[#This Row],[Categoria]],Cadastros!A:D,4,0)+365),"")</f>
        <v/>
      </c>
      <c r="O1796" s="7" t="str">
        <f ca="1">IF(Tabela3[[#This Row],[Data da compra]]&gt;0,(TODAY()-Tabela3[[#This Row],[Data da compra]])/365,"")</f>
        <v/>
      </c>
      <c r="P1796" s="7" t="str">
        <f>IFERROR(VLOOKUP(Tabela3[[#This Row],[Categoria]],Cadastros!A:C,3,0),"")</f>
        <v/>
      </c>
      <c r="Q1796" s="9" t="str">
        <f ca="1">IFERROR(Tabela3[[#This Row],[Vida útil]]-Tabela3[[#This Row],[Idade]],"")</f>
        <v/>
      </c>
      <c r="R1796" s="8" t="str">
        <f ca="1">IFERROR(Tabela3[[#This Row],[Valor]]-(Tabela3[[#This Row],[Valor]]*(Tabela3[[#This Row],[Idade]]*VLOOKUP(Tabela3[[#This Row],[Categoria]],Cadastros!A:B,2,0))),"")</f>
        <v/>
      </c>
    </row>
    <row r="1797" spans="4:18" x14ac:dyDescent="0.25">
      <c r="D1797" s="5"/>
      <c r="N1797" s="6" t="str">
        <f>IFERROR(Tabela3[[#This Row],[Última revisão do bem]]+(VLOOKUP(Tabela3[[#This Row],[Categoria]],Cadastros!A:D,4,0)+365),"")</f>
        <v/>
      </c>
      <c r="O1797" s="7" t="str">
        <f ca="1">IF(Tabela3[[#This Row],[Data da compra]]&gt;0,(TODAY()-Tabela3[[#This Row],[Data da compra]])/365,"")</f>
        <v/>
      </c>
      <c r="P1797" s="7" t="str">
        <f>IFERROR(VLOOKUP(Tabela3[[#This Row],[Categoria]],Cadastros!A:C,3,0),"")</f>
        <v/>
      </c>
      <c r="Q1797" s="9" t="str">
        <f ca="1">IFERROR(Tabela3[[#This Row],[Vida útil]]-Tabela3[[#This Row],[Idade]],"")</f>
        <v/>
      </c>
      <c r="R1797" s="8" t="str">
        <f ca="1">IFERROR(Tabela3[[#This Row],[Valor]]-(Tabela3[[#This Row],[Valor]]*(Tabela3[[#This Row],[Idade]]*VLOOKUP(Tabela3[[#This Row],[Categoria]],Cadastros!A:B,2,0))),"")</f>
        <v/>
      </c>
    </row>
    <row r="1798" spans="4:18" x14ac:dyDescent="0.25">
      <c r="D1798" s="5"/>
      <c r="N1798" s="6" t="str">
        <f>IFERROR(Tabela3[[#This Row],[Última revisão do bem]]+(VLOOKUP(Tabela3[[#This Row],[Categoria]],Cadastros!A:D,4,0)+365),"")</f>
        <v/>
      </c>
      <c r="O1798" s="7" t="str">
        <f ca="1">IF(Tabela3[[#This Row],[Data da compra]]&gt;0,(TODAY()-Tabela3[[#This Row],[Data da compra]])/365,"")</f>
        <v/>
      </c>
      <c r="P1798" s="7" t="str">
        <f>IFERROR(VLOOKUP(Tabela3[[#This Row],[Categoria]],Cadastros!A:C,3,0),"")</f>
        <v/>
      </c>
      <c r="Q1798" s="9" t="str">
        <f ca="1">IFERROR(Tabela3[[#This Row],[Vida útil]]-Tabela3[[#This Row],[Idade]],"")</f>
        <v/>
      </c>
      <c r="R1798" s="8" t="str">
        <f ca="1">IFERROR(Tabela3[[#This Row],[Valor]]-(Tabela3[[#This Row],[Valor]]*(Tabela3[[#This Row],[Idade]]*VLOOKUP(Tabela3[[#This Row],[Categoria]],Cadastros!A:B,2,0))),"")</f>
        <v/>
      </c>
    </row>
    <row r="1799" spans="4:18" x14ac:dyDescent="0.25">
      <c r="D1799" s="5"/>
      <c r="N1799" s="6" t="str">
        <f>IFERROR(Tabela3[[#This Row],[Última revisão do bem]]+(VLOOKUP(Tabela3[[#This Row],[Categoria]],Cadastros!A:D,4,0)+365),"")</f>
        <v/>
      </c>
      <c r="O1799" s="7" t="str">
        <f ca="1">IF(Tabela3[[#This Row],[Data da compra]]&gt;0,(TODAY()-Tabela3[[#This Row],[Data da compra]])/365,"")</f>
        <v/>
      </c>
      <c r="P1799" s="7" t="str">
        <f>IFERROR(VLOOKUP(Tabela3[[#This Row],[Categoria]],Cadastros!A:C,3,0),"")</f>
        <v/>
      </c>
      <c r="Q1799" s="9" t="str">
        <f ca="1">IFERROR(Tabela3[[#This Row],[Vida útil]]-Tabela3[[#This Row],[Idade]],"")</f>
        <v/>
      </c>
      <c r="R1799" s="8" t="str">
        <f ca="1">IFERROR(Tabela3[[#This Row],[Valor]]-(Tabela3[[#This Row],[Valor]]*(Tabela3[[#This Row],[Idade]]*VLOOKUP(Tabela3[[#This Row],[Categoria]],Cadastros!A:B,2,0))),"")</f>
        <v/>
      </c>
    </row>
    <row r="1800" spans="4:18" x14ac:dyDescent="0.25">
      <c r="D1800" s="5"/>
      <c r="N1800" s="6" t="str">
        <f>IFERROR(Tabela3[[#This Row],[Última revisão do bem]]+(VLOOKUP(Tabela3[[#This Row],[Categoria]],Cadastros!A:D,4,0)+365),"")</f>
        <v/>
      </c>
      <c r="O1800" s="7" t="str">
        <f ca="1">IF(Tabela3[[#This Row],[Data da compra]]&gt;0,(TODAY()-Tabela3[[#This Row],[Data da compra]])/365,"")</f>
        <v/>
      </c>
      <c r="P1800" s="7" t="str">
        <f>IFERROR(VLOOKUP(Tabela3[[#This Row],[Categoria]],Cadastros!A:C,3,0),"")</f>
        <v/>
      </c>
      <c r="Q1800" s="9" t="str">
        <f ca="1">IFERROR(Tabela3[[#This Row],[Vida útil]]-Tabela3[[#This Row],[Idade]],"")</f>
        <v/>
      </c>
      <c r="R1800" s="8" t="str">
        <f ca="1">IFERROR(Tabela3[[#This Row],[Valor]]-(Tabela3[[#This Row],[Valor]]*(Tabela3[[#This Row],[Idade]]*VLOOKUP(Tabela3[[#This Row],[Categoria]],Cadastros!A:B,2,0))),"")</f>
        <v/>
      </c>
    </row>
    <row r="1801" spans="4:18" x14ac:dyDescent="0.25">
      <c r="D1801" s="5"/>
      <c r="N1801" s="6" t="str">
        <f>IFERROR(Tabela3[[#This Row],[Última revisão do bem]]+(VLOOKUP(Tabela3[[#This Row],[Categoria]],Cadastros!A:D,4,0)+365),"")</f>
        <v/>
      </c>
      <c r="O1801" s="7" t="str">
        <f ca="1">IF(Tabela3[[#This Row],[Data da compra]]&gt;0,(TODAY()-Tabela3[[#This Row],[Data da compra]])/365,"")</f>
        <v/>
      </c>
      <c r="P1801" s="7" t="str">
        <f>IFERROR(VLOOKUP(Tabela3[[#This Row],[Categoria]],Cadastros!A:C,3,0),"")</f>
        <v/>
      </c>
      <c r="Q1801" s="9" t="str">
        <f ca="1">IFERROR(Tabela3[[#This Row],[Vida útil]]-Tabela3[[#This Row],[Idade]],"")</f>
        <v/>
      </c>
      <c r="R1801" s="8" t="str">
        <f ca="1">IFERROR(Tabela3[[#This Row],[Valor]]-(Tabela3[[#This Row],[Valor]]*(Tabela3[[#This Row],[Idade]]*VLOOKUP(Tabela3[[#This Row],[Categoria]],Cadastros!A:B,2,0))),"")</f>
        <v/>
      </c>
    </row>
    <row r="1802" spans="4:18" x14ac:dyDescent="0.25">
      <c r="D1802" s="5"/>
      <c r="N1802" s="6" t="str">
        <f>IFERROR(Tabela3[[#This Row],[Última revisão do bem]]+(VLOOKUP(Tabela3[[#This Row],[Categoria]],Cadastros!A:D,4,0)+365),"")</f>
        <v/>
      </c>
      <c r="O1802" s="7" t="str">
        <f ca="1">IF(Tabela3[[#This Row],[Data da compra]]&gt;0,(TODAY()-Tabela3[[#This Row],[Data da compra]])/365,"")</f>
        <v/>
      </c>
      <c r="P1802" s="7" t="str">
        <f>IFERROR(VLOOKUP(Tabela3[[#This Row],[Categoria]],Cadastros!A:C,3,0),"")</f>
        <v/>
      </c>
      <c r="Q1802" s="9" t="str">
        <f ca="1">IFERROR(Tabela3[[#This Row],[Vida útil]]-Tabela3[[#This Row],[Idade]],"")</f>
        <v/>
      </c>
      <c r="R1802" s="8" t="str">
        <f ca="1">IFERROR(Tabela3[[#This Row],[Valor]]-(Tabela3[[#This Row],[Valor]]*(Tabela3[[#This Row],[Idade]]*VLOOKUP(Tabela3[[#This Row],[Categoria]],Cadastros!A:B,2,0))),"")</f>
        <v/>
      </c>
    </row>
    <row r="1803" spans="4:18" x14ac:dyDescent="0.25">
      <c r="D1803" s="5"/>
      <c r="N1803" s="6" t="str">
        <f>IFERROR(Tabela3[[#This Row],[Última revisão do bem]]+(VLOOKUP(Tabela3[[#This Row],[Categoria]],Cadastros!A:D,4,0)+365),"")</f>
        <v/>
      </c>
      <c r="O1803" s="7" t="str">
        <f ca="1">IF(Tabela3[[#This Row],[Data da compra]]&gt;0,(TODAY()-Tabela3[[#This Row],[Data da compra]])/365,"")</f>
        <v/>
      </c>
      <c r="P1803" s="7" t="str">
        <f>IFERROR(VLOOKUP(Tabela3[[#This Row],[Categoria]],Cadastros!A:C,3,0),"")</f>
        <v/>
      </c>
      <c r="Q1803" s="9" t="str">
        <f ca="1">IFERROR(Tabela3[[#This Row],[Vida útil]]-Tabela3[[#This Row],[Idade]],"")</f>
        <v/>
      </c>
      <c r="R1803" s="8" t="str">
        <f ca="1">IFERROR(Tabela3[[#This Row],[Valor]]-(Tabela3[[#This Row],[Valor]]*(Tabela3[[#This Row],[Idade]]*VLOOKUP(Tabela3[[#This Row],[Categoria]],Cadastros!A:B,2,0))),"")</f>
        <v/>
      </c>
    </row>
    <row r="1804" spans="4:18" x14ac:dyDescent="0.25">
      <c r="D1804" s="5"/>
      <c r="N1804" s="6" t="str">
        <f>IFERROR(Tabela3[[#This Row],[Última revisão do bem]]+(VLOOKUP(Tabela3[[#This Row],[Categoria]],Cadastros!A:D,4,0)+365),"")</f>
        <v/>
      </c>
      <c r="O1804" s="7" t="str">
        <f ca="1">IF(Tabela3[[#This Row],[Data da compra]]&gt;0,(TODAY()-Tabela3[[#This Row],[Data da compra]])/365,"")</f>
        <v/>
      </c>
      <c r="P1804" s="7" t="str">
        <f>IFERROR(VLOOKUP(Tabela3[[#This Row],[Categoria]],Cadastros!A:C,3,0),"")</f>
        <v/>
      </c>
      <c r="Q1804" s="9" t="str">
        <f ca="1">IFERROR(Tabela3[[#This Row],[Vida útil]]-Tabela3[[#This Row],[Idade]],"")</f>
        <v/>
      </c>
      <c r="R1804" s="8" t="str">
        <f ca="1">IFERROR(Tabela3[[#This Row],[Valor]]-(Tabela3[[#This Row],[Valor]]*(Tabela3[[#This Row],[Idade]]*VLOOKUP(Tabela3[[#This Row],[Categoria]],Cadastros!A:B,2,0))),"")</f>
        <v/>
      </c>
    </row>
    <row r="1805" spans="4:18" x14ac:dyDescent="0.25">
      <c r="D1805" s="5"/>
      <c r="N1805" s="6" t="str">
        <f>IFERROR(Tabela3[[#This Row],[Última revisão do bem]]+(VLOOKUP(Tabela3[[#This Row],[Categoria]],Cadastros!A:D,4,0)+365),"")</f>
        <v/>
      </c>
      <c r="O1805" s="7" t="str">
        <f ca="1">IF(Tabela3[[#This Row],[Data da compra]]&gt;0,(TODAY()-Tabela3[[#This Row],[Data da compra]])/365,"")</f>
        <v/>
      </c>
      <c r="P1805" s="7" t="str">
        <f>IFERROR(VLOOKUP(Tabela3[[#This Row],[Categoria]],Cadastros!A:C,3,0),"")</f>
        <v/>
      </c>
      <c r="Q1805" s="9" t="str">
        <f ca="1">IFERROR(Tabela3[[#This Row],[Vida útil]]-Tabela3[[#This Row],[Idade]],"")</f>
        <v/>
      </c>
      <c r="R1805" s="8" t="str">
        <f ca="1">IFERROR(Tabela3[[#This Row],[Valor]]-(Tabela3[[#This Row],[Valor]]*(Tabela3[[#This Row],[Idade]]*VLOOKUP(Tabela3[[#This Row],[Categoria]],Cadastros!A:B,2,0))),"")</f>
        <v/>
      </c>
    </row>
    <row r="1806" spans="4:18" x14ac:dyDescent="0.25">
      <c r="D1806" s="22"/>
      <c r="N1806" s="6" t="str">
        <f>IFERROR(Tabela3[[#This Row],[Última revisão do bem]]+(VLOOKUP(Tabela3[[#This Row],[Categoria]],Cadastros!A:D,4,0)+365),"")</f>
        <v/>
      </c>
      <c r="O1806" s="7" t="str">
        <f ca="1">IF(Tabela3[[#This Row],[Data da compra]]&gt;0,(TODAY()-Tabela3[[#This Row],[Data da compra]])/365,"")</f>
        <v/>
      </c>
      <c r="P1806" s="7" t="str">
        <f>IFERROR(VLOOKUP(Tabela3[[#This Row],[Categoria]],Cadastros!A:C,3,0),"")</f>
        <v/>
      </c>
      <c r="Q1806" s="9" t="str">
        <f ca="1">IFERROR(Tabela3[[#This Row],[Vida útil]]-Tabela3[[#This Row],[Idade]],"")</f>
        <v/>
      </c>
      <c r="R1806" s="23" t="str">
        <f ca="1">IFERROR(Tabela3[[#This Row],[Valor]]-(Tabela3[[#This Row],[Valor]]*(Tabela3[[#This Row],[Idade]]*VLOOKUP(Tabela3[[#This Row],[Categoria]],Cadastros!A:B,2,0))),"")</f>
        <v/>
      </c>
    </row>
    <row r="1807" spans="4:18" x14ac:dyDescent="0.25">
      <c r="D1807" s="5"/>
      <c r="N1807" s="6" t="str">
        <f>IFERROR(Tabela3[[#This Row],[Última revisão do bem]]+(VLOOKUP(Tabela3[[#This Row],[Categoria]],Cadastros!A:D,4,0)+365),"")</f>
        <v/>
      </c>
      <c r="O1807" s="7" t="str">
        <f ca="1">IF(Tabela3[[#This Row],[Data da compra]]&gt;0,(TODAY()-Tabela3[[#This Row],[Data da compra]])/365,"")</f>
        <v/>
      </c>
      <c r="P1807" s="7" t="str">
        <f>IFERROR(VLOOKUP(Tabela3[[#This Row],[Categoria]],Cadastros!A:C,3,0),"")</f>
        <v/>
      </c>
      <c r="Q1807" s="9" t="str">
        <f ca="1">IFERROR(Tabela3[[#This Row],[Vida útil]]-Tabela3[[#This Row],[Idade]],"")</f>
        <v/>
      </c>
      <c r="R1807" s="8" t="str">
        <f ca="1">IFERROR(Tabela3[[#This Row],[Valor]]-(Tabela3[[#This Row],[Valor]]*(Tabela3[[#This Row],[Idade]]*VLOOKUP(Tabela3[[#This Row],[Categoria]],Cadastros!A:B,2,0))),"")</f>
        <v/>
      </c>
    </row>
    <row r="1808" spans="4:18" x14ac:dyDescent="0.25">
      <c r="D1808" s="5"/>
      <c r="N1808" s="6" t="str">
        <f>IFERROR(Tabela3[[#This Row],[Última revisão do bem]]+(VLOOKUP(Tabela3[[#This Row],[Categoria]],Cadastros!A:D,4,0)+365),"")</f>
        <v/>
      </c>
      <c r="O1808" s="7" t="str">
        <f ca="1">IF(Tabela3[[#This Row],[Data da compra]]&gt;0,(TODAY()-Tabela3[[#This Row],[Data da compra]])/365,"")</f>
        <v/>
      </c>
      <c r="P1808" s="7" t="str">
        <f>IFERROR(VLOOKUP(Tabela3[[#This Row],[Categoria]],Cadastros!A:C,3,0),"")</f>
        <v/>
      </c>
      <c r="Q1808" s="9" t="str">
        <f ca="1">IFERROR(Tabela3[[#This Row],[Vida útil]]-Tabela3[[#This Row],[Idade]],"")</f>
        <v/>
      </c>
      <c r="R1808" s="8" t="str">
        <f ca="1">IFERROR(Tabela3[[#This Row],[Valor]]-(Tabela3[[#This Row],[Valor]]*(Tabela3[[#This Row],[Idade]]*VLOOKUP(Tabela3[[#This Row],[Categoria]],Cadastros!A:B,2,0))),"")</f>
        <v/>
      </c>
    </row>
    <row r="1809" spans="4:18" x14ac:dyDescent="0.25">
      <c r="D1809" s="5"/>
      <c r="N1809" s="6" t="str">
        <f>IFERROR(Tabela3[[#This Row],[Última revisão do bem]]+(VLOOKUP(Tabela3[[#This Row],[Categoria]],Cadastros!A:D,4,0)+365),"")</f>
        <v/>
      </c>
      <c r="O1809" s="7" t="str">
        <f ca="1">IF(Tabela3[[#This Row],[Data da compra]]&gt;0,(TODAY()-Tabela3[[#This Row],[Data da compra]])/365,"")</f>
        <v/>
      </c>
      <c r="P1809" s="7" t="str">
        <f>IFERROR(VLOOKUP(Tabela3[[#This Row],[Categoria]],Cadastros!A:C,3,0),"")</f>
        <v/>
      </c>
      <c r="Q1809" s="9" t="str">
        <f ca="1">IFERROR(Tabela3[[#This Row],[Vida útil]]-Tabela3[[#This Row],[Idade]],"")</f>
        <v/>
      </c>
      <c r="R1809" s="8" t="str">
        <f ca="1">IFERROR(Tabela3[[#This Row],[Valor]]-(Tabela3[[#This Row],[Valor]]*(Tabela3[[#This Row],[Idade]]*VLOOKUP(Tabela3[[#This Row],[Categoria]],Cadastros!A:B,2,0))),"")</f>
        <v/>
      </c>
    </row>
    <row r="1810" spans="4:18" x14ac:dyDescent="0.25">
      <c r="D1810" s="5"/>
      <c r="N1810" s="6" t="str">
        <f>IFERROR(Tabela3[[#This Row],[Última revisão do bem]]+(VLOOKUP(Tabela3[[#This Row],[Categoria]],Cadastros!A:D,4,0)+365),"")</f>
        <v/>
      </c>
      <c r="O1810" s="7" t="str">
        <f ca="1">IF(Tabela3[[#This Row],[Data da compra]]&gt;0,(TODAY()-Tabela3[[#This Row],[Data da compra]])/365,"")</f>
        <v/>
      </c>
      <c r="P1810" s="7" t="str">
        <f>IFERROR(VLOOKUP(Tabela3[[#This Row],[Categoria]],Cadastros!A:C,3,0),"")</f>
        <v/>
      </c>
      <c r="Q1810" s="9" t="str">
        <f ca="1">IFERROR(Tabela3[[#This Row],[Vida útil]]-Tabela3[[#This Row],[Idade]],"")</f>
        <v/>
      </c>
      <c r="R1810" s="8" t="str">
        <f ca="1">IFERROR(Tabela3[[#This Row],[Valor]]-(Tabela3[[#This Row],[Valor]]*(Tabela3[[#This Row],[Idade]]*VLOOKUP(Tabela3[[#This Row],[Categoria]],Cadastros!A:B,2,0))),"")</f>
        <v/>
      </c>
    </row>
    <row r="1811" spans="4:18" x14ac:dyDescent="0.25">
      <c r="D1811" s="5"/>
      <c r="N1811" s="6" t="str">
        <f>IFERROR(Tabela3[[#This Row],[Última revisão do bem]]+(VLOOKUP(Tabela3[[#This Row],[Categoria]],Cadastros!A:D,4,0)+365),"")</f>
        <v/>
      </c>
      <c r="O1811" s="7" t="str">
        <f ca="1">IF(Tabela3[[#This Row],[Data da compra]]&gt;0,(TODAY()-Tabela3[[#This Row],[Data da compra]])/365,"")</f>
        <v/>
      </c>
      <c r="P1811" s="7" t="str">
        <f>IFERROR(VLOOKUP(Tabela3[[#This Row],[Categoria]],Cadastros!A:C,3,0),"")</f>
        <v/>
      </c>
      <c r="Q1811" s="9" t="str">
        <f ca="1">IFERROR(Tabela3[[#This Row],[Vida útil]]-Tabela3[[#This Row],[Idade]],"")</f>
        <v/>
      </c>
      <c r="R1811" s="8" t="str">
        <f ca="1">IFERROR(Tabela3[[#This Row],[Valor]]-(Tabela3[[#This Row],[Valor]]*(Tabela3[[#This Row],[Idade]]*VLOOKUP(Tabela3[[#This Row],[Categoria]],Cadastros!A:B,2,0))),"")</f>
        <v/>
      </c>
    </row>
    <row r="1812" spans="4:18" x14ac:dyDescent="0.25">
      <c r="D1812" s="5"/>
      <c r="N1812" s="6" t="str">
        <f>IFERROR(Tabela3[[#This Row],[Última revisão do bem]]+(VLOOKUP(Tabela3[[#This Row],[Categoria]],Cadastros!A:D,4,0)+365),"")</f>
        <v/>
      </c>
      <c r="O1812" s="7" t="str">
        <f ca="1">IF(Tabela3[[#This Row],[Data da compra]]&gt;0,(TODAY()-Tabela3[[#This Row],[Data da compra]])/365,"")</f>
        <v/>
      </c>
      <c r="P1812" s="7" t="str">
        <f>IFERROR(VLOOKUP(Tabela3[[#This Row],[Categoria]],Cadastros!A:C,3,0),"")</f>
        <v/>
      </c>
      <c r="Q1812" s="9" t="str">
        <f ca="1">IFERROR(Tabela3[[#This Row],[Vida útil]]-Tabela3[[#This Row],[Idade]],"")</f>
        <v/>
      </c>
      <c r="R1812" s="8" t="str">
        <f ca="1">IFERROR(Tabela3[[#This Row],[Valor]]-(Tabela3[[#This Row],[Valor]]*(Tabela3[[#This Row],[Idade]]*VLOOKUP(Tabela3[[#This Row],[Categoria]],Cadastros!A:B,2,0))),"")</f>
        <v/>
      </c>
    </row>
    <row r="1813" spans="4:18" x14ac:dyDescent="0.25">
      <c r="D1813" s="5"/>
      <c r="N1813" s="6" t="str">
        <f>IFERROR(Tabela3[[#This Row],[Última revisão do bem]]+(VLOOKUP(Tabela3[[#This Row],[Categoria]],Cadastros!A:D,4,0)+365),"")</f>
        <v/>
      </c>
      <c r="O1813" s="7" t="str">
        <f ca="1">IF(Tabela3[[#This Row],[Data da compra]]&gt;0,(TODAY()-Tabela3[[#This Row],[Data da compra]])/365,"")</f>
        <v/>
      </c>
      <c r="P1813" s="7" t="str">
        <f>IFERROR(VLOOKUP(Tabela3[[#This Row],[Categoria]],Cadastros!A:C,3,0),"")</f>
        <v/>
      </c>
      <c r="Q1813" s="9" t="str">
        <f ca="1">IFERROR(Tabela3[[#This Row],[Vida útil]]-Tabela3[[#This Row],[Idade]],"")</f>
        <v/>
      </c>
      <c r="R1813" s="8" t="str">
        <f ca="1">IFERROR(Tabela3[[#This Row],[Valor]]-(Tabela3[[#This Row],[Valor]]*(Tabela3[[#This Row],[Idade]]*VLOOKUP(Tabela3[[#This Row],[Categoria]],Cadastros!A:B,2,0))),"")</f>
        <v/>
      </c>
    </row>
    <row r="1814" spans="4:18" x14ac:dyDescent="0.25">
      <c r="D1814" s="5"/>
      <c r="N1814" s="6" t="str">
        <f>IFERROR(Tabela3[[#This Row],[Última revisão do bem]]+(VLOOKUP(Tabela3[[#This Row],[Categoria]],Cadastros!A:D,4,0)+365),"")</f>
        <v/>
      </c>
      <c r="O1814" s="7" t="str">
        <f ca="1">IF(Tabela3[[#This Row],[Data da compra]]&gt;0,(TODAY()-Tabela3[[#This Row],[Data da compra]])/365,"")</f>
        <v/>
      </c>
      <c r="P1814" s="7" t="str">
        <f>IFERROR(VLOOKUP(Tabela3[[#This Row],[Categoria]],Cadastros!A:C,3,0),"")</f>
        <v/>
      </c>
      <c r="Q1814" s="9" t="str">
        <f ca="1">IFERROR(Tabela3[[#This Row],[Vida útil]]-Tabela3[[#This Row],[Idade]],"")</f>
        <v/>
      </c>
      <c r="R1814" s="8" t="str">
        <f ca="1">IFERROR(Tabela3[[#This Row],[Valor]]-(Tabela3[[#This Row],[Valor]]*(Tabela3[[#This Row],[Idade]]*VLOOKUP(Tabela3[[#This Row],[Categoria]],Cadastros!A:B,2,0))),"")</f>
        <v/>
      </c>
    </row>
    <row r="1815" spans="4:18" x14ac:dyDescent="0.25">
      <c r="D1815" s="5"/>
      <c r="N1815" s="6" t="str">
        <f>IFERROR(Tabela3[[#This Row],[Última revisão do bem]]+(VLOOKUP(Tabela3[[#This Row],[Categoria]],Cadastros!A:D,4,0)+365),"")</f>
        <v/>
      </c>
      <c r="O1815" s="7" t="str">
        <f ca="1">IF(Tabela3[[#This Row],[Data da compra]]&gt;0,(TODAY()-Tabela3[[#This Row],[Data da compra]])/365,"")</f>
        <v/>
      </c>
      <c r="P1815" s="7" t="str">
        <f>IFERROR(VLOOKUP(Tabela3[[#This Row],[Categoria]],Cadastros!A:C,3,0),"")</f>
        <v/>
      </c>
      <c r="Q1815" s="9" t="str">
        <f ca="1">IFERROR(Tabela3[[#This Row],[Vida útil]]-Tabela3[[#This Row],[Idade]],"")</f>
        <v/>
      </c>
      <c r="R1815" s="8" t="str">
        <f ca="1">IFERROR(Tabela3[[#This Row],[Valor]]-(Tabela3[[#This Row],[Valor]]*(Tabela3[[#This Row],[Idade]]*VLOOKUP(Tabela3[[#This Row],[Categoria]],Cadastros!A:B,2,0))),"")</f>
        <v/>
      </c>
    </row>
    <row r="1816" spans="4:18" x14ac:dyDescent="0.25">
      <c r="D1816" s="5"/>
      <c r="N1816" s="6" t="str">
        <f>IFERROR(Tabela3[[#This Row],[Última revisão do bem]]+(VLOOKUP(Tabela3[[#This Row],[Categoria]],Cadastros!A:D,4,0)+365),"")</f>
        <v/>
      </c>
      <c r="O1816" s="7" t="str">
        <f ca="1">IF(Tabela3[[#This Row],[Data da compra]]&gt;0,(TODAY()-Tabela3[[#This Row],[Data da compra]])/365,"")</f>
        <v/>
      </c>
      <c r="P1816" s="7" t="str">
        <f>IFERROR(VLOOKUP(Tabela3[[#This Row],[Categoria]],Cadastros!A:C,3,0),"")</f>
        <v/>
      </c>
      <c r="Q1816" s="9" t="str">
        <f ca="1">IFERROR(Tabela3[[#This Row],[Vida útil]]-Tabela3[[#This Row],[Idade]],"")</f>
        <v/>
      </c>
      <c r="R1816" s="8" t="str">
        <f ca="1">IFERROR(Tabela3[[#This Row],[Valor]]-(Tabela3[[#This Row],[Valor]]*(Tabela3[[#This Row],[Idade]]*VLOOKUP(Tabela3[[#This Row],[Categoria]],Cadastros!A:B,2,0))),"")</f>
        <v/>
      </c>
    </row>
    <row r="1817" spans="4:18" x14ac:dyDescent="0.25">
      <c r="D1817" s="5"/>
      <c r="N1817" s="6" t="str">
        <f>IFERROR(Tabela3[[#This Row],[Última revisão do bem]]+(VLOOKUP(Tabela3[[#This Row],[Categoria]],Cadastros!A:D,4,0)+365),"")</f>
        <v/>
      </c>
      <c r="O1817" s="7" t="str">
        <f ca="1">IF(Tabela3[[#This Row],[Data da compra]]&gt;0,(TODAY()-Tabela3[[#This Row],[Data da compra]])/365,"")</f>
        <v/>
      </c>
      <c r="P1817" s="7" t="str">
        <f>IFERROR(VLOOKUP(Tabela3[[#This Row],[Categoria]],Cadastros!A:C,3,0),"")</f>
        <v/>
      </c>
      <c r="Q1817" s="9" t="str">
        <f ca="1">IFERROR(Tabela3[[#This Row],[Vida útil]]-Tabela3[[#This Row],[Idade]],"")</f>
        <v/>
      </c>
      <c r="R1817" s="8" t="str">
        <f ca="1">IFERROR(Tabela3[[#This Row],[Valor]]-(Tabela3[[#This Row],[Valor]]*(Tabela3[[#This Row],[Idade]]*VLOOKUP(Tabela3[[#This Row],[Categoria]],Cadastros!A:B,2,0))),"")</f>
        <v/>
      </c>
    </row>
    <row r="1818" spans="4:18" x14ac:dyDescent="0.25">
      <c r="D1818" s="5"/>
      <c r="N1818" s="6" t="str">
        <f>IFERROR(Tabela3[[#This Row],[Última revisão do bem]]+(VLOOKUP(Tabela3[[#This Row],[Categoria]],Cadastros!A:D,4,0)+365),"")</f>
        <v/>
      </c>
      <c r="O1818" s="7" t="str">
        <f ca="1">IF(Tabela3[[#This Row],[Data da compra]]&gt;0,(TODAY()-Tabela3[[#This Row],[Data da compra]])/365,"")</f>
        <v/>
      </c>
      <c r="P1818" s="7" t="str">
        <f>IFERROR(VLOOKUP(Tabela3[[#This Row],[Categoria]],Cadastros!A:C,3,0),"")</f>
        <v/>
      </c>
      <c r="Q1818" s="9" t="str">
        <f ca="1">IFERROR(Tabela3[[#This Row],[Vida útil]]-Tabela3[[#This Row],[Idade]],"")</f>
        <v/>
      </c>
      <c r="R1818" s="8" t="str">
        <f ca="1">IFERROR(Tabela3[[#This Row],[Valor]]-(Tabela3[[#This Row],[Valor]]*(Tabela3[[#This Row],[Idade]]*VLOOKUP(Tabela3[[#This Row],[Categoria]],Cadastros!A:B,2,0))),"")</f>
        <v/>
      </c>
    </row>
    <row r="1819" spans="4:18" x14ac:dyDescent="0.25">
      <c r="D1819" s="5"/>
      <c r="N1819" s="6" t="str">
        <f>IFERROR(Tabela3[[#This Row],[Última revisão do bem]]+(VLOOKUP(Tabela3[[#This Row],[Categoria]],Cadastros!A:D,4,0)+365),"")</f>
        <v/>
      </c>
      <c r="O1819" s="7" t="str">
        <f ca="1">IF(Tabela3[[#This Row],[Data da compra]]&gt;0,(TODAY()-Tabela3[[#This Row],[Data da compra]])/365,"")</f>
        <v/>
      </c>
      <c r="P1819" s="7" t="str">
        <f>IFERROR(VLOOKUP(Tabela3[[#This Row],[Categoria]],Cadastros!A:C,3,0),"")</f>
        <v/>
      </c>
      <c r="Q1819" s="9" t="str">
        <f ca="1">IFERROR(Tabela3[[#This Row],[Vida útil]]-Tabela3[[#This Row],[Idade]],"")</f>
        <v/>
      </c>
      <c r="R1819" s="8" t="str">
        <f ca="1">IFERROR(Tabela3[[#This Row],[Valor]]-(Tabela3[[#This Row],[Valor]]*(Tabela3[[#This Row],[Idade]]*VLOOKUP(Tabela3[[#This Row],[Categoria]],Cadastros!A:B,2,0))),"")</f>
        <v/>
      </c>
    </row>
    <row r="1820" spans="4:18" x14ac:dyDescent="0.25">
      <c r="D1820" s="5"/>
      <c r="N1820" s="6" t="str">
        <f>IFERROR(Tabela3[[#This Row],[Última revisão do bem]]+(VLOOKUP(Tabela3[[#This Row],[Categoria]],Cadastros!A:D,4,0)+365),"")</f>
        <v/>
      </c>
      <c r="O1820" s="7" t="str">
        <f ca="1">IF(Tabela3[[#This Row],[Data da compra]]&gt;0,(TODAY()-Tabela3[[#This Row],[Data da compra]])/365,"")</f>
        <v/>
      </c>
      <c r="P1820" s="7" t="str">
        <f>IFERROR(VLOOKUP(Tabela3[[#This Row],[Categoria]],Cadastros!A:C,3,0),"")</f>
        <v/>
      </c>
      <c r="Q1820" s="9" t="str">
        <f ca="1">IFERROR(Tabela3[[#This Row],[Vida útil]]-Tabela3[[#This Row],[Idade]],"")</f>
        <v/>
      </c>
      <c r="R1820" s="8" t="str">
        <f ca="1">IFERROR(Tabela3[[#This Row],[Valor]]-(Tabela3[[#This Row],[Valor]]*(Tabela3[[#This Row],[Idade]]*VLOOKUP(Tabela3[[#This Row],[Categoria]],Cadastros!A:B,2,0))),"")</f>
        <v/>
      </c>
    </row>
    <row r="1821" spans="4:18" x14ac:dyDescent="0.25">
      <c r="D1821" s="5"/>
      <c r="N1821" s="6" t="str">
        <f>IFERROR(Tabela3[[#This Row],[Última revisão do bem]]+(VLOOKUP(Tabela3[[#This Row],[Categoria]],Cadastros!A:D,4,0)+365),"")</f>
        <v/>
      </c>
      <c r="O1821" s="7" t="str">
        <f ca="1">IF(Tabela3[[#This Row],[Data da compra]]&gt;0,(TODAY()-Tabela3[[#This Row],[Data da compra]])/365,"")</f>
        <v/>
      </c>
      <c r="P1821" s="7" t="str">
        <f>IFERROR(VLOOKUP(Tabela3[[#This Row],[Categoria]],Cadastros!A:C,3,0),"")</f>
        <v/>
      </c>
      <c r="Q1821" s="9" t="str">
        <f ca="1">IFERROR(Tabela3[[#This Row],[Vida útil]]-Tabela3[[#This Row],[Idade]],"")</f>
        <v/>
      </c>
      <c r="R1821" s="8" t="str">
        <f ca="1">IFERROR(Tabela3[[#This Row],[Valor]]-(Tabela3[[#This Row],[Valor]]*(Tabela3[[#This Row],[Idade]]*VLOOKUP(Tabela3[[#This Row],[Categoria]],Cadastros!A:B,2,0))),"")</f>
        <v/>
      </c>
    </row>
    <row r="1822" spans="4:18" x14ac:dyDescent="0.25">
      <c r="D1822" s="5"/>
      <c r="N1822" s="6" t="str">
        <f>IFERROR(Tabela3[[#This Row],[Última revisão do bem]]+(VLOOKUP(Tabela3[[#This Row],[Categoria]],Cadastros!A:D,4,0)+365),"")</f>
        <v/>
      </c>
      <c r="O1822" s="7" t="str">
        <f ca="1">IF(Tabela3[[#This Row],[Data da compra]]&gt;0,(TODAY()-Tabela3[[#This Row],[Data da compra]])/365,"")</f>
        <v/>
      </c>
      <c r="P1822" s="7" t="str">
        <f>IFERROR(VLOOKUP(Tabela3[[#This Row],[Categoria]],Cadastros!A:C,3,0),"")</f>
        <v/>
      </c>
      <c r="Q1822" s="9" t="str">
        <f ca="1">IFERROR(Tabela3[[#This Row],[Vida útil]]-Tabela3[[#This Row],[Idade]],"")</f>
        <v/>
      </c>
      <c r="R1822" s="8" t="str">
        <f ca="1">IFERROR(Tabela3[[#This Row],[Valor]]-(Tabela3[[#This Row],[Valor]]*(Tabela3[[#This Row],[Idade]]*VLOOKUP(Tabela3[[#This Row],[Categoria]],Cadastros!A:B,2,0))),"")</f>
        <v/>
      </c>
    </row>
    <row r="1823" spans="4:18" x14ac:dyDescent="0.25">
      <c r="D1823" s="5"/>
      <c r="N1823" s="6" t="str">
        <f>IFERROR(Tabela3[[#This Row],[Última revisão do bem]]+(VLOOKUP(Tabela3[[#This Row],[Categoria]],Cadastros!A:D,4,0)+365),"")</f>
        <v/>
      </c>
      <c r="O1823" s="7" t="str">
        <f ca="1">IF(Tabela3[[#This Row],[Data da compra]]&gt;0,(TODAY()-Tabela3[[#This Row],[Data da compra]])/365,"")</f>
        <v/>
      </c>
      <c r="P1823" s="7" t="str">
        <f>IFERROR(VLOOKUP(Tabela3[[#This Row],[Categoria]],Cadastros!A:C,3,0),"")</f>
        <v/>
      </c>
      <c r="Q1823" s="9" t="str">
        <f ca="1">IFERROR(Tabela3[[#This Row],[Vida útil]]-Tabela3[[#This Row],[Idade]],"")</f>
        <v/>
      </c>
      <c r="R1823" s="8" t="str">
        <f ca="1">IFERROR(Tabela3[[#This Row],[Valor]]-(Tabela3[[#This Row],[Valor]]*(Tabela3[[#This Row],[Idade]]*VLOOKUP(Tabela3[[#This Row],[Categoria]],Cadastros!A:B,2,0))),"")</f>
        <v/>
      </c>
    </row>
    <row r="1824" spans="4:18" x14ac:dyDescent="0.25">
      <c r="D1824" s="22"/>
      <c r="N1824" s="6" t="str">
        <f>IFERROR(Tabela3[[#This Row],[Última revisão do bem]]+(VLOOKUP(Tabela3[[#This Row],[Categoria]],Cadastros!A:D,4,0)+365),"")</f>
        <v/>
      </c>
      <c r="O1824" s="7" t="str">
        <f ca="1">IF(Tabela3[[#This Row],[Data da compra]]&gt;0,(TODAY()-Tabela3[[#This Row],[Data da compra]])/365,"")</f>
        <v/>
      </c>
      <c r="P1824" s="7" t="str">
        <f>IFERROR(VLOOKUP(Tabela3[[#This Row],[Categoria]],Cadastros!A:C,3,0),"")</f>
        <v/>
      </c>
      <c r="Q1824" s="9" t="str">
        <f ca="1">IFERROR(Tabela3[[#This Row],[Vida útil]]-Tabela3[[#This Row],[Idade]],"")</f>
        <v/>
      </c>
      <c r="R1824" s="23" t="str">
        <f ca="1">IFERROR(Tabela3[[#This Row],[Valor]]-(Tabela3[[#This Row],[Valor]]*(Tabela3[[#This Row],[Idade]]*VLOOKUP(Tabela3[[#This Row],[Categoria]],Cadastros!A:B,2,0))),"")</f>
        <v/>
      </c>
    </row>
    <row r="1825" spans="4:18" x14ac:dyDescent="0.25">
      <c r="D1825" s="5"/>
      <c r="N1825" s="6" t="str">
        <f>IFERROR(Tabela3[[#This Row],[Última revisão do bem]]+(VLOOKUP(Tabela3[[#This Row],[Categoria]],Cadastros!A:D,4,0)+365),"")</f>
        <v/>
      </c>
      <c r="O1825" s="7" t="str">
        <f ca="1">IF(Tabela3[[#This Row],[Data da compra]]&gt;0,(TODAY()-Tabela3[[#This Row],[Data da compra]])/365,"")</f>
        <v/>
      </c>
      <c r="P1825" s="7" t="str">
        <f>IFERROR(VLOOKUP(Tabela3[[#This Row],[Categoria]],Cadastros!A:C,3,0),"")</f>
        <v/>
      </c>
      <c r="Q1825" s="9" t="str">
        <f ca="1">IFERROR(Tabela3[[#This Row],[Vida útil]]-Tabela3[[#This Row],[Idade]],"")</f>
        <v/>
      </c>
      <c r="R1825" s="8" t="str">
        <f ca="1">IFERROR(Tabela3[[#This Row],[Valor]]-(Tabela3[[#This Row],[Valor]]*(Tabela3[[#This Row],[Idade]]*VLOOKUP(Tabela3[[#This Row],[Categoria]],Cadastros!A:B,2,0))),"")</f>
        <v/>
      </c>
    </row>
    <row r="1826" spans="4:18" x14ac:dyDescent="0.25">
      <c r="D1826" s="5"/>
      <c r="N1826" s="6" t="str">
        <f>IFERROR(Tabela3[[#This Row],[Última revisão do bem]]+(VLOOKUP(Tabela3[[#This Row],[Categoria]],Cadastros!A:D,4,0)+365),"")</f>
        <v/>
      </c>
      <c r="O1826" s="7" t="str">
        <f ca="1">IF(Tabela3[[#This Row],[Data da compra]]&gt;0,(TODAY()-Tabela3[[#This Row],[Data da compra]])/365,"")</f>
        <v/>
      </c>
      <c r="P1826" s="7" t="str">
        <f>IFERROR(VLOOKUP(Tabela3[[#This Row],[Categoria]],Cadastros!A:C,3,0),"")</f>
        <v/>
      </c>
      <c r="Q1826" s="9" t="str">
        <f ca="1">IFERROR(Tabela3[[#This Row],[Vida útil]]-Tabela3[[#This Row],[Idade]],"")</f>
        <v/>
      </c>
      <c r="R1826" s="8" t="str">
        <f ca="1">IFERROR(Tabela3[[#This Row],[Valor]]-(Tabela3[[#This Row],[Valor]]*(Tabela3[[#This Row],[Idade]]*VLOOKUP(Tabela3[[#This Row],[Categoria]],Cadastros!A:B,2,0))),"")</f>
        <v/>
      </c>
    </row>
    <row r="1827" spans="4:18" x14ac:dyDescent="0.25">
      <c r="D1827" s="5"/>
      <c r="N1827" s="6" t="str">
        <f>IFERROR(Tabela3[[#This Row],[Última revisão do bem]]+(VLOOKUP(Tabela3[[#This Row],[Categoria]],Cadastros!A:D,4,0)+365),"")</f>
        <v/>
      </c>
      <c r="O1827" s="7" t="str">
        <f ca="1">IF(Tabela3[[#This Row],[Data da compra]]&gt;0,(TODAY()-Tabela3[[#This Row],[Data da compra]])/365,"")</f>
        <v/>
      </c>
      <c r="P1827" s="7" t="str">
        <f>IFERROR(VLOOKUP(Tabela3[[#This Row],[Categoria]],Cadastros!A:C,3,0),"")</f>
        <v/>
      </c>
      <c r="Q1827" s="9" t="str">
        <f ca="1">IFERROR(Tabela3[[#This Row],[Vida útil]]-Tabela3[[#This Row],[Idade]],"")</f>
        <v/>
      </c>
      <c r="R1827" s="8" t="str">
        <f ca="1">IFERROR(Tabela3[[#This Row],[Valor]]-(Tabela3[[#This Row],[Valor]]*(Tabela3[[#This Row],[Idade]]*VLOOKUP(Tabela3[[#This Row],[Categoria]],Cadastros!A:B,2,0))),"")</f>
        <v/>
      </c>
    </row>
    <row r="1828" spans="4:18" x14ac:dyDescent="0.25">
      <c r="D1828" s="5"/>
      <c r="N1828" s="6" t="str">
        <f>IFERROR(Tabela3[[#This Row],[Última revisão do bem]]+(VLOOKUP(Tabela3[[#This Row],[Categoria]],Cadastros!A:D,4,0)+365),"")</f>
        <v/>
      </c>
      <c r="O1828" s="7" t="str">
        <f ca="1">IF(Tabela3[[#This Row],[Data da compra]]&gt;0,(TODAY()-Tabela3[[#This Row],[Data da compra]])/365,"")</f>
        <v/>
      </c>
      <c r="P1828" s="7" t="str">
        <f>IFERROR(VLOOKUP(Tabela3[[#This Row],[Categoria]],Cadastros!A:C,3,0),"")</f>
        <v/>
      </c>
      <c r="Q1828" s="9" t="str">
        <f ca="1">IFERROR(Tabela3[[#This Row],[Vida útil]]-Tabela3[[#This Row],[Idade]],"")</f>
        <v/>
      </c>
      <c r="R1828" s="8" t="str">
        <f ca="1">IFERROR(Tabela3[[#This Row],[Valor]]-(Tabela3[[#This Row],[Valor]]*(Tabela3[[#This Row],[Idade]]*VLOOKUP(Tabela3[[#This Row],[Categoria]],Cadastros!A:B,2,0))),"")</f>
        <v/>
      </c>
    </row>
    <row r="1829" spans="4:18" x14ac:dyDescent="0.25">
      <c r="D1829" s="5"/>
      <c r="N1829" s="6" t="str">
        <f>IFERROR(Tabela3[[#This Row],[Última revisão do bem]]+(VLOOKUP(Tabela3[[#This Row],[Categoria]],Cadastros!A:D,4,0)+365),"")</f>
        <v/>
      </c>
      <c r="O1829" s="7" t="str">
        <f ca="1">IF(Tabela3[[#This Row],[Data da compra]]&gt;0,(TODAY()-Tabela3[[#This Row],[Data da compra]])/365,"")</f>
        <v/>
      </c>
      <c r="P1829" s="7" t="str">
        <f>IFERROR(VLOOKUP(Tabela3[[#This Row],[Categoria]],Cadastros!A:C,3,0),"")</f>
        <v/>
      </c>
      <c r="Q1829" s="9" t="str">
        <f ca="1">IFERROR(Tabela3[[#This Row],[Vida útil]]-Tabela3[[#This Row],[Idade]],"")</f>
        <v/>
      </c>
      <c r="R1829" s="8" t="str">
        <f ca="1">IFERROR(Tabela3[[#This Row],[Valor]]-(Tabela3[[#This Row],[Valor]]*(Tabela3[[#This Row],[Idade]]*VLOOKUP(Tabela3[[#This Row],[Categoria]],Cadastros!A:B,2,0))),"")</f>
        <v/>
      </c>
    </row>
    <row r="1830" spans="4:18" x14ac:dyDescent="0.25">
      <c r="D1830" s="5"/>
      <c r="N1830" s="6" t="str">
        <f>IFERROR(Tabela3[[#This Row],[Última revisão do bem]]+(VLOOKUP(Tabela3[[#This Row],[Categoria]],Cadastros!A:D,4,0)+365),"")</f>
        <v/>
      </c>
      <c r="O1830" s="7" t="str">
        <f ca="1">IF(Tabela3[[#This Row],[Data da compra]]&gt;0,(TODAY()-Tabela3[[#This Row],[Data da compra]])/365,"")</f>
        <v/>
      </c>
      <c r="P1830" s="7" t="str">
        <f>IFERROR(VLOOKUP(Tabela3[[#This Row],[Categoria]],Cadastros!A:C,3,0),"")</f>
        <v/>
      </c>
      <c r="Q1830" s="9" t="str">
        <f ca="1">IFERROR(Tabela3[[#This Row],[Vida útil]]-Tabela3[[#This Row],[Idade]],"")</f>
        <v/>
      </c>
      <c r="R1830" s="8" t="str">
        <f ca="1">IFERROR(Tabela3[[#This Row],[Valor]]-(Tabela3[[#This Row],[Valor]]*(Tabela3[[#This Row],[Idade]]*VLOOKUP(Tabela3[[#This Row],[Categoria]],Cadastros!A:B,2,0))),"")</f>
        <v/>
      </c>
    </row>
    <row r="1831" spans="4:18" x14ac:dyDescent="0.25">
      <c r="D1831" s="5"/>
      <c r="N1831" s="6" t="str">
        <f>IFERROR(Tabela3[[#This Row],[Última revisão do bem]]+(VLOOKUP(Tabela3[[#This Row],[Categoria]],Cadastros!A:D,4,0)+365),"")</f>
        <v/>
      </c>
      <c r="O1831" s="7" t="str">
        <f ca="1">IF(Tabela3[[#This Row],[Data da compra]]&gt;0,(TODAY()-Tabela3[[#This Row],[Data da compra]])/365,"")</f>
        <v/>
      </c>
      <c r="P1831" s="7" t="str">
        <f>IFERROR(VLOOKUP(Tabela3[[#This Row],[Categoria]],Cadastros!A:C,3,0),"")</f>
        <v/>
      </c>
      <c r="Q1831" s="9" t="str">
        <f ca="1">IFERROR(Tabela3[[#This Row],[Vida útil]]-Tabela3[[#This Row],[Idade]],"")</f>
        <v/>
      </c>
      <c r="R1831" s="8" t="str">
        <f ca="1">IFERROR(Tabela3[[#This Row],[Valor]]-(Tabela3[[#This Row],[Valor]]*(Tabela3[[#This Row],[Idade]]*VLOOKUP(Tabela3[[#This Row],[Categoria]],Cadastros!A:B,2,0))),"")</f>
        <v/>
      </c>
    </row>
    <row r="1832" spans="4:18" x14ac:dyDescent="0.25">
      <c r="D1832" s="5"/>
      <c r="N1832" s="6" t="str">
        <f>IFERROR(Tabela3[[#This Row],[Última revisão do bem]]+(VLOOKUP(Tabela3[[#This Row],[Categoria]],Cadastros!A:D,4,0)+365),"")</f>
        <v/>
      </c>
      <c r="O1832" s="7" t="str">
        <f ca="1">IF(Tabela3[[#This Row],[Data da compra]]&gt;0,(TODAY()-Tabela3[[#This Row],[Data da compra]])/365,"")</f>
        <v/>
      </c>
      <c r="P1832" s="7" t="str">
        <f>IFERROR(VLOOKUP(Tabela3[[#This Row],[Categoria]],Cadastros!A:C,3,0),"")</f>
        <v/>
      </c>
      <c r="Q1832" s="9" t="str">
        <f ca="1">IFERROR(Tabela3[[#This Row],[Vida útil]]-Tabela3[[#This Row],[Idade]],"")</f>
        <v/>
      </c>
      <c r="R1832" s="8" t="str">
        <f ca="1">IFERROR(Tabela3[[#This Row],[Valor]]-(Tabela3[[#This Row],[Valor]]*(Tabela3[[#This Row],[Idade]]*VLOOKUP(Tabela3[[#This Row],[Categoria]],Cadastros!A:B,2,0))),"")</f>
        <v/>
      </c>
    </row>
    <row r="1833" spans="4:18" x14ac:dyDescent="0.25">
      <c r="D1833" s="5"/>
      <c r="N1833" s="6" t="str">
        <f>IFERROR(Tabela3[[#This Row],[Última revisão do bem]]+(VLOOKUP(Tabela3[[#This Row],[Categoria]],Cadastros!A:D,4,0)+365),"")</f>
        <v/>
      </c>
      <c r="O1833" s="7" t="str">
        <f ca="1">IF(Tabela3[[#This Row],[Data da compra]]&gt;0,(TODAY()-Tabela3[[#This Row],[Data da compra]])/365,"")</f>
        <v/>
      </c>
      <c r="P1833" s="7" t="str">
        <f>IFERROR(VLOOKUP(Tabela3[[#This Row],[Categoria]],Cadastros!A:C,3,0),"")</f>
        <v/>
      </c>
      <c r="Q1833" s="9" t="str">
        <f ca="1">IFERROR(Tabela3[[#This Row],[Vida útil]]-Tabela3[[#This Row],[Idade]],"")</f>
        <v/>
      </c>
      <c r="R1833" s="8" t="str">
        <f ca="1">IFERROR(Tabela3[[#This Row],[Valor]]-(Tabela3[[#This Row],[Valor]]*(Tabela3[[#This Row],[Idade]]*VLOOKUP(Tabela3[[#This Row],[Categoria]],Cadastros!A:B,2,0))),"")</f>
        <v/>
      </c>
    </row>
    <row r="1834" spans="4:18" x14ac:dyDescent="0.25">
      <c r="D1834" s="5"/>
      <c r="N1834" s="6" t="str">
        <f>IFERROR(Tabela3[[#This Row],[Última revisão do bem]]+(VLOOKUP(Tabela3[[#This Row],[Categoria]],Cadastros!A:D,4,0)+365),"")</f>
        <v/>
      </c>
      <c r="O1834" s="7" t="str">
        <f ca="1">IF(Tabela3[[#This Row],[Data da compra]]&gt;0,(TODAY()-Tabela3[[#This Row],[Data da compra]])/365,"")</f>
        <v/>
      </c>
      <c r="P1834" s="7" t="str">
        <f>IFERROR(VLOOKUP(Tabela3[[#This Row],[Categoria]],Cadastros!A:C,3,0),"")</f>
        <v/>
      </c>
      <c r="Q1834" s="9" t="str">
        <f ca="1">IFERROR(Tabela3[[#This Row],[Vida útil]]-Tabela3[[#This Row],[Idade]],"")</f>
        <v/>
      </c>
      <c r="R1834" s="8" t="str">
        <f ca="1">IFERROR(Tabela3[[#This Row],[Valor]]-(Tabela3[[#This Row],[Valor]]*(Tabela3[[#This Row],[Idade]]*VLOOKUP(Tabela3[[#This Row],[Categoria]],Cadastros!A:B,2,0))),"")</f>
        <v/>
      </c>
    </row>
    <row r="1835" spans="4:18" x14ac:dyDescent="0.25">
      <c r="D1835" s="5"/>
      <c r="N1835" s="6" t="str">
        <f>IFERROR(Tabela3[[#This Row],[Última revisão do bem]]+(VLOOKUP(Tabela3[[#This Row],[Categoria]],Cadastros!A:D,4,0)+365),"")</f>
        <v/>
      </c>
      <c r="O1835" s="7" t="str">
        <f ca="1">IF(Tabela3[[#This Row],[Data da compra]]&gt;0,(TODAY()-Tabela3[[#This Row],[Data da compra]])/365,"")</f>
        <v/>
      </c>
      <c r="P1835" s="7" t="str">
        <f>IFERROR(VLOOKUP(Tabela3[[#This Row],[Categoria]],Cadastros!A:C,3,0),"")</f>
        <v/>
      </c>
      <c r="Q1835" s="9" t="str">
        <f ca="1">IFERROR(Tabela3[[#This Row],[Vida útil]]-Tabela3[[#This Row],[Idade]],"")</f>
        <v/>
      </c>
      <c r="R1835" s="8" t="str">
        <f ca="1">IFERROR(Tabela3[[#This Row],[Valor]]-(Tabela3[[#This Row],[Valor]]*(Tabela3[[#This Row],[Idade]]*VLOOKUP(Tabela3[[#This Row],[Categoria]],Cadastros!A:B,2,0))),"")</f>
        <v/>
      </c>
    </row>
    <row r="1836" spans="4:18" x14ac:dyDescent="0.25">
      <c r="D1836" s="5"/>
      <c r="N1836" s="6" t="str">
        <f>IFERROR(Tabela3[[#This Row],[Última revisão do bem]]+(VLOOKUP(Tabela3[[#This Row],[Categoria]],Cadastros!A:D,4,0)+365),"")</f>
        <v/>
      </c>
      <c r="O1836" s="7" t="str">
        <f ca="1">IF(Tabela3[[#This Row],[Data da compra]]&gt;0,(TODAY()-Tabela3[[#This Row],[Data da compra]])/365,"")</f>
        <v/>
      </c>
      <c r="P1836" s="7" t="str">
        <f>IFERROR(VLOOKUP(Tabela3[[#This Row],[Categoria]],Cadastros!A:C,3,0),"")</f>
        <v/>
      </c>
      <c r="Q1836" s="9" t="str">
        <f ca="1">IFERROR(Tabela3[[#This Row],[Vida útil]]-Tabela3[[#This Row],[Idade]],"")</f>
        <v/>
      </c>
      <c r="R1836" s="8" t="str">
        <f ca="1">IFERROR(Tabela3[[#This Row],[Valor]]-(Tabela3[[#This Row],[Valor]]*(Tabela3[[#This Row],[Idade]]*VLOOKUP(Tabela3[[#This Row],[Categoria]],Cadastros!A:B,2,0))),"")</f>
        <v/>
      </c>
    </row>
    <row r="1837" spans="4:18" x14ac:dyDescent="0.25">
      <c r="D1837" s="5"/>
      <c r="N1837" s="6" t="str">
        <f>IFERROR(Tabela3[[#This Row],[Última revisão do bem]]+(VLOOKUP(Tabela3[[#This Row],[Categoria]],Cadastros!A:D,4,0)+365),"")</f>
        <v/>
      </c>
      <c r="O1837" s="7" t="str">
        <f ca="1">IF(Tabela3[[#This Row],[Data da compra]]&gt;0,(TODAY()-Tabela3[[#This Row],[Data da compra]])/365,"")</f>
        <v/>
      </c>
      <c r="P1837" s="7" t="str">
        <f>IFERROR(VLOOKUP(Tabela3[[#This Row],[Categoria]],Cadastros!A:C,3,0),"")</f>
        <v/>
      </c>
      <c r="Q1837" s="9" t="str">
        <f ca="1">IFERROR(Tabela3[[#This Row],[Vida útil]]-Tabela3[[#This Row],[Idade]],"")</f>
        <v/>
      </c>
      <c r="R1837" s="8" t="str">
        <f ca="1">IFERROR(Tabela3[[#This Row],[Valor]]-(Tabela3[[#This Row],[Valor]]*(Tabela3[[#This Row],[Idade]]*VLOOKUP(Tabela3[[#This Row],[Categoria]],Cadastros!A:B,2,0))),"")</f>
        <v/>
      </c>
    </row>
    <row r="1838" spans="4:18" x14ac:dyDescent="0.25">
      <c r="D1838" s="5"/>
      <c r="N1838" s="6" t="str">
        <f>IFERROR(Tabela3[[#This Row],[Última revisão do bem]]+(VLOOKUP(Tabela3[[#This Row],[Categoria]],Cadastros!A:D,4,0)+365),"")</f>
        <v/>
      </c>
      <c r="O1838" s="7" t="str">
        <f ca="1">IF(Tabela3[[#This Row],[Data da compra]]&gt;0,(TODAY()-Tabela3[[#This Row],[Data da compra]])/365,"")</f>
        <v/>
      </c>
      <c r="P1838" s="7" t="str">
        <f>IFERROR(VLOOKUP(Tabela3[[#This Row],[Categoria]],Cadastros!A:C,3,0),"")</f>
        <v/>
      </c>
      <c r="Q1838" s="9" t="str">
        <f ca="1">IFERROR(Tabela3[[#This Row],[Vida útil]]-Tabela3[[#This Row],[Idade]],"")</f>
        <v/>
      </c>
      <c r="R1838" s="8" t="str">
        <f ca="1">IFERROR(Tabela3[[#This Row],[Valor]]-(Tabela3[[#This Row],[Valor]]*(Tabela3[[#This Row],[Idade]]*VLOOKUP(Tabela3[[#This Row],[Categoria]],Cadastros!A:B,2,0))),"")</f>
        <v/>
      </c>
    </row>
    <row r="1839" spans="4:18" x14ac:dyDescent="0.25">
      <c r="D1839" s="5"/>
      <c r="N1839" s="6" t="str">
        <f>IFERROR(Tabela3[[#This Row],[Última revisão do bem]]+(VLOOKUP(Tabela3[[#This Row],[Categoria]],Cadastros!A:D,4,0)+365),"")</f>
        <v/>
      </c>
      <c r="O1839" s="7" t="str">
        <f ca="1">IF(Tabela3[[#This Row],[Data da compra]]&gt;0,(TODAY()-Tabela3[[#This Row],[Data da compra]])/365,"")</f>
        <v/>
      </c>
      <c r="P1839" s="7" t="str">
        <f>IFERROR(VLOOKUP(Tabela3[[#This Row],[Categoria]],Cadastros!A:C,3,0),"")</f>
        <v/>
      </c>
      <c r="Q1839" s="9" t="str">
        <f ca="1">IFERROR(Tabela3[[#This Row],[Vida útil]]-Tabela3[[#This Row],[Idade]],"")</f>
        <v/>
      </c>
      <c r="R1839" s="8" t="str">
        <f ca="1">IFERROR(Tabela3[[#This Row],[Valor]]-(Tabela3[[#This Row],[Valor]]*(Tabela3[[#This Row],[Idade]]*VLOOKUP(Tabela3[[#This Row],[Categoria]],Cadastros!A:B,2,0))),"")</f>
        <v/>
      </c>
    </row>
    <row r="1840" spans="4:18" x14ac:dyDescent="0.25">
      <c r="D1840" s="5"/>
      <c r="N1840" s="6" t="str">
        <f>IFERROR(Tabela3[[#This Row],[Última revisão do bem]]+(VLOOKUP(Tabela3[[#This Row],[Categoria]],Cadastros!A:D,4,0)+365),"")</f>
        <v/>
      </c>
      <c r="O1840" s="7" t="str">
        <f ca="1">IF(Tabela3[[#This Row],[Data da compra]]&gt;0,(TODAY()-Tabela3[[#This Row],[Data da compra]])/365,"")</f>
        <v/>
      </c>
      <c r="P1840" s="7" t="str">
        <f>IFERROR(VLOOKUP(Tabela3[[#This Row],[Categoria]],Cadastros!A:C,3,0),"")</f>
        <v/>
      </c>
      <c r="Q1840" s="9" t="str">
        <f ca="1">IFERROR(Tabela3[[#This Row],[Vida útil]]-Tabela3[[#This Row],[Idade]],"")</f>
        <v/>
      </c>
      <c r="R1840" s="8" t="str">
        <f ca="1">IFERROR(Tabela3[[#This Row],[Valor]]-(Tabela3[[#This Row],[Valor]]*(Tabela3[[#This Row],[Idade]]*VLOOKUP(Tabela3[[#This Row],[Categoria]],Cadastros!A:B,2,0))),"")</f>
        <v/>
      </c>
    </row>
    <row r="1841" spans="4:18" x14ac:dyDescent="0.25">
      <c r="D1841" s="5"/>
      <c r="N1841" s="6" t="str">
        <f>IFERROR(Tabela3[[#This Row],[Última revisão do bem]]+(VLOOKUP(Tabela3[[#This Row],[Categoria]],Cadastros!A:D,4,0)+365),"")</f>
        <v/>
      </c>
      <c r="O1841" s="7" t="str">
        <f ca="1">IF(Tabela3[[#This Row],[Data da compra]]&gt;0,(TODAY()-Tabela3[[#This Row],[Data da compra]])/365,"")</f>
        <v/>
      </c>
      <c r="P1841" s="7" t="str">
        <f>IFERROR(VLOOKUP(Tabela3[[#This Row],[Categoria]],Cadastros!A:C,3,0),"")</f>
        <v/>
      </c>
      <c r="Q1841" s="9" t="str">
        <f ca="1">IFERROR(Tabela3[[#This Row],[Vida útil]]-Tabela3[[#This Row],[Idade]],"")</f>
        <v/>
      </c>
      <c r="R1841" s="8" t="str">
        <f ca="1">IFERROR(Tabela3[[#This Row],[Valor]]-(Tabela3[[#This Row],[Valor]]*(Tabela3[[#This Row],[Idade]]*VLOOKUP(Tabela3[[#This Row],[Categoria]],Cadastros!A:B,2,0))),"")</f>
        <v/>
      </c>
    </row>
    <row r="1842" spans="4:18" x14ac:dyDescent="0.25">
      <c r="D1842" s="22"/>
      <c r="N1842" s="6" t="str">
        <f>IFERROR(Tabela3[[#This Row],[Última revisão do bem]]+(VLOOKUP(Tabela3[[#This Row],[Categoria]],Cadastros!A:D,4,0)+365),"")</f>
        <v/>
      </c>
      <c r="O1842" s="7" t="str">
        <f ca="1">IF(Tabela3[[#This Row],[Data da compra]]&gt;0,(TODAY()-Tabela3[[#This Row],[Data da compra]])/365,"")</f>
        <v/>
      </c>
      <c r="P1842" s="7" t="str">
        <f>IFERROR(VLOOKUP(Tabela3[[#This Row],[Categoria]],Cadastros!A:C,3,0),"")</f>
        <v/>
      </c>
      <c r="Q1842" s="9" t="str">
        <f ca="1">IFERROR(Tabela3[[#This Row],[Vida útil]]-Tabela3[[#This Row],[Idade]],"")</f>
        <v/>
      </c>
      <c r="R1842" s="23" t="str">
        <f ca="1">IFERROR(Tabela3[[#This Row],[Valor]]-(Tabela3[[#This Row],[Valor]]*(Tabela3[[#This Row],[Idade]]*VLOOKUP(Tabela3[[#This Row],[Categoria]],Cadastros!A:B,2,0))),"")</f>
        <v/>
      </c>
    </row>
    <row r="1843" spans="4:18" x14ac:dyDescent="0.25">
      <c r="D1843" s="5"/>
      <c r="N1843" s="6" t="str">
        <f>IFERROR(Tabela3[[#This Row],[Última revisão do bem]]+(VLOOKUP(Tabela3[[#This Row],[Categoria]],Cadastros!A:D,4,0)+365),"")</f>
        <v/>
      </c>
      <c r="O1843" s="7" t="str">
        <f ca="1">IF(Tabela3[[#This Row],[Data da compra]]&gt;0,(TODAY()-Tabela3[[#This Row],[Data da compra]])/365,"")</f>
        <v/>
      </c>
      <c r="P1843" s="7" t="str">
        <f>IFERROR(VLOOKUP(Tabela3[[#This Row],[Categoria]],Cadastros!A:C,3,0),"")</f>
        <v/>
      </c>
      <c r="Q1843" s="9" t="str">
        <f ca="1">IFERROR(Tabela3[[#This Row],[Vida útil]]-Tabela3[[#This Row],[Idade]],"")</f>
        <v/>
      </c>
      <c r="R1843" s="8" t="str">
        <f ca="1">IFERROR(Tabela3[[#This Row],[Valor]]-(Tabela3[[#This Row],[Valor]]*(Tabela3[[#This Row],[Idade]]*VLOOKUP(Tabela3[[#This Row],[Categoria]],Cadastros!A:B,2,0))),"")</f>
        <v/>
      </c>
    </row>
    <row r="1844" spans="4:18" x14ac:dyDescent="0.25">
      <c r="D1844" s="5"/>
      <c r="N1844" s="6" t="str">
        <f>IFERROR(Tabela3[[#This Row],[Última revisão do bem]]+(VLOOKUP(Tabela3[[#This Row],[Categoria]],Cadastros!A:D,4,0)+365),"")</f>
        <v/>
      </c>
      <c r="O1844" s="7" t="str">
        <f ca="1">IF(Tabela3[[#This Row],[Data da compra]]&gt;0,(TODAY()-Tabela3[[#This Row],[Data da compra]])/365,"")</f>
        <v/>
      </c>
      <c r="P1844" s="7" t="str">
        <f>IFERROR(VLOOKUP(Tabela3[[#This Row],[Categoria]],Cadastros!A:C,3,0),"")</f>
        <v/>
      </c>
      <c r="Q1844" s="9" t="str">
        <f ca="1">IFERROR(Tabela3[[#This Row],[Vida útil]]-Tabela3[[#This Row],[Idade]],"")</f>
        <v/>
      </c>
      <c r="R1844" s="8" t="str">
        <f ca="1">IFERROR(Tabela3[[#This Row],[Valor]]-(Tabela3[[#This Row],[Valor]]*(Tabela3[[#This Row],[Idade]]*VLOOKUP(Tabela3[[#This Row],[Categoria]],Cadastros!A:B,2,0))),"")</f>
        <v/>
      </c>
    </row>
    <row r="1845" spans="4:18" x14ac:dyDescent="0.25">
      <c r="D1845" s="5"/>
      <c r="N1845" s="6" t="str">
        <f>IFERROR(Tabela3[[#This Row],[Última revisão do bem]]+(VLOOKUP(Tabela3[[#This Row],[Categoria]],Cadastros!A:D,4,0)+365),"")</f>
        <v/>
      </c>
      <c r="O1845" s="7" t="str">
        <f ca="1">IF(Tabela3[[#This Row],[Data da compra]]&gt;0,(TODAY()-Tabela3[[#This Row],[Data da compra]])/365,"")</f>
        <v/>
      </c>
      <c r="P1845" s="7" t="str">
        <f>IFERROR(VLOOKUP(Tabela3[[#This Row],[Categoria]],Cadastros!A:C,3,0),"")</f>
        <v/>
      </c>
      <c r="Q1845" s="9" t="str">
        <f ca="1">IFERROR(Tabela3[[#This Row],[Vida útil]]-Tabela3[[#This Row],[Idade]],"")</f>
        <v/>
      </c>
      <c r="R1845" s="8" t="str">
        <f ca="1">IFERROR(Tabela3[[#This Row],[Valor]]-(Tabela3[[#This Row],[Valor]]*(Tabela3[[#This Row],[Idade]]*VLOOKUP(Tabela3[[#This Row],[Categoria]],Cadastros!A:B,2,0))),"")</f>
        <v/>
      </c>
    </row>
    <row r="1846" spans="4:18" x14ac:dyDescent="0.25">
      <c r="D1846" s="5"/>
      <c r="N1846" s="6" t="str">
        <f>IFERROR(Tabela3[[#This Row],[Última revisão do bem]]+(VLOOKUP(Tabela3[[#This Row],[Categoria]],Cadastros!A:D,4,0)+365),"")</f>
        <v/>
      </c>
      <c r="O1846" s="7" t="str">
        <f ca="1">IF(Tabela3[[#This Row],[Data da compra]]&gt;0,(TODAY()-Tabela3[[#This Row],[Data da compra]])/365,"")</f>
        <v/>
      </c>
      <c r="P1846" s="7" t="str">
        <f>IFERROR(VLOOKUP(Tabela3[[#This Row],[Categoria]],Cadastros!A:C,3,0),"")</f>
        <v/>
      </c>
      <c r="Q1846" s="9" t="str">
        <f ca="1">IFERROR(Tabela3[[#This Row],[Vida útil]]-Tabela3[[#This Row],[Idade]],"")</f>
        <v/>
      </c>
      <c r="R1846" s="8" t="str">
        <f ca="1">IFERROR(Tabela3[[#This Row],[Valor]]-(Tabela3[[#This Row],[Valor]]*(Tabela3[[#This Row],[Idade]]*VLOOKUP(Tabela3[[#This Row],[Categoria]],Cadastros!A:B,2,0))),"")</f>
        <v/>
      </c>
    </row>
    <row r="1847" spans="4:18" x14ac:dyDescent="0.25">
      <c r="D1847" s="5"/>
      <c r="N1847" s="6" t="str">
        <f>IFERROR(Tabela3[[#This Row],[Última revisão do bem]]+(VLOOKUP(Tabela3[[#This Row],[Categoria]],Cadastros!A:D,4,0)+365),"")</f>
        <v/>
      </c>
      <c r="O1847" s="7" t="str">
        <f ca="1">IF(Tabela3[[#This Row],[Data da compra]]&gt;0,(TODAY()-Tabela3[[#This Row],[Data da compra]])/365,"")</f>
        <v/>
      </c>
      <c r="P1847" s="7" t="str">
        <f>IFERROR(VLOOKUP(Tabela3[[#This Row],[Categoria]],Cadastros!A:C,3,0),"")</f>
        <v/>
      </c>
      <c r="Q1847" s="9" t="str">
        <f ca="1">IFERROR(Tabela3[[#This Row],[Vida útil]]-Tabela3[[#This Row],[Idade]],"")</f>
        <v/>
      </c>
      <c r="R1847" s="8" t="str">
        <f ca="1">IFERROR(Tabela3[[#This Row],[Valor]]-(Tabela3[[#This Row],[Valor]]*(Tabela3[[#This Row],[Idade]]*VLOOKUP(Tabela3[[#This Row],[Categoria]],Cadastros!A:B,2,0))),"")</f>
        <v/>
      </c>
    </row>
    <row r="1848" spans="4:18" x14ac:dyDescent="0.25">
      <c r="D1848" s="5"/>
      <c r="N1848" s="6" t="str">
        <f>IFERROR(Tabela3[[#This Row],[Última revisão do bem]]+(VLOOKUP(Tabela3[[#This Row],[Categoria]],Cadastros!A:D,4,0)+365),"")</f>
        <v/>
      </c>
      <c r="O1848" s="7" t="str">
        <f ca="1">IF(Tabela3[[#This Row],[Data da compra]]&gt;0,(TODAY()-Tabela3[[#This Row],[Data da compra]])/365,"")</f>
        <v/>
      </c>
      <c r="P1848" s="7" t="str">
        <f>IFERROR(VLOOKUP(Tabela3[[#This Row],[Categoria]],Cadastros!A:C,3,0),"")</f>
        <v/>
      </c>
      <c r="Q1848" s="9" t="str">
        <f ca="1">IFERROR(Tabela3[[#This Row],[Vida útil]]-Tabela3[[#This Row],[Idade]],"")</f>
        <v/>
      </c>
      <c r="R1848" s="8" t="str">
        <f ca="1">IFERROR(Tabela3[[#This Row],[Valor]]-(Tabela3[[#This Row],[Valor]]*(Tabela3[[#This Row],[Idade]]*VLOOKUP(Tabela3[[#This Row],[Categoria]],Cadastros!A:B,2,0))),"")</f>
        <v/>
      </c>
    </row>
    <row r="1849" spans="4:18" x14ac:dyDescent="0.25">
      <c r="D1849" s="5"/>
      <c r="N1849" s="6" t="str">
        <f>IFERROR(Tabela3[[#This Row],[Última revisão do bem]]+(VLOOKUP(Tabela3[[#This Row],[Categoria]],Cadastros!A:D,4,0)+365),"")</f>
        <v/>
      </c>
      <c r="O1849" s="7" t="str">
        <f ca="1">IF(Tabela3[[#This Row],[Data da compra]]&gt;0,(TODAY()-Tabela3[[#This Row],[Data da compra]])/365,"")</f>
        <v/>
      </c>
      <c r="P1849" s="7" t="str">
        <f>IFERROR(VLOOKUP(Tabela3[[#This Row],[Categoria]],Cadastros!A:C,3,0),"")</f>
        <v/>
      </c>
      <c r="Q1849" s="9" t="str">
        <f ca="1">IFERROR(Tabela3[[#This Row],[Vida útil]]-Tabela3[[#This Row],[Idade]],"")</f>
        <v/>
      </c>
      <c r="R1849" s="8" t="str">
        <f ca="1">IFERROR(Tabela3[[#This Row],[Valor]]-(Tabela3[[#This Row],[Valor]]*(Tabela3[[#This Row],[Idade]]*VLOOKUP(Tabela3[[#This Row],[Categoria]],Cadastros!A:B,2,0))),"")</f>
        <v/>
      </c>
    </row>
    <row r="1850" spans="4:18" x14ac:dyDescent="0.25">
      <c r="D1850" s="5"/>
      <c r="N1850" s="6" t="str">
        <f>IFERROR(Tabela3[[#This Row],[Última revisão do bem]]+(VLOOKUP(Tabela3[[#This Row],[Categoria]],Cadastros!A:D,4,0)+365),"")</f>
        <v/>
      </c>
      <c r="O1850" s="7" t="str">
        <f ca="1">IF(Tabela3[[#This Row],[Data da compra]]&gt;0,(TODAY()-Tabela3[[#This Row],[Data da compra]])/365,"")</f>
        <v/>
      </c>
      <c r="P1850" s="7" t="str">
        <f>IFERROR(VLOOKUP(Tabela3[[#This Row],[Categoria]],Cadastros!A:C,3,0),"")</f>
        <v/>
      </c>
      <c r="Q1850" s="9" t="str">
        <f ca="1">IFERROR(Tabela3[[#This Row],[Vida útil]]-Tabela3[[#This Row],[Idade]],"")</f>
        <v/>
      </c>
      <c r="R1850" s="8" t="str">
        <f ca="1">IFERROR(Tabela3[[#This Row],[Valor]]-(Tabela3[[#This Row],[Valor]]*(Tabela3[[#This Row],[Idade]]*VLOOKUP(Tabela3[[#This Row],[Categoria]],Cadastros!A:B,2,0))),"")</f>
        <v/>
      </c>
    </row>
    <row r="1851" spans="4:18" x14ac:dyDescent="0.25">
      <c r="D1851" s="5"/>
      <c r="N1851" s="6" t="str">
        <f>IFERROR(Tabela3[[#This Row],[Última revisão do bem]]+(VLOOKUP(Tabela3[[#This Row],[Categoria]],Cadastros!A:D,4,0)+365),"")</f>
        <v/>
      </c>
      <c r="O1851" s="7" t="str">
        <f ca="1">IF(Tabela3[[#This Row],[Data da compra]]&gt;0,(TODAY()-Tabela3[[#This Row],[Data da compra]])/365,"")</f>
        <v/>
      </c>
      <c r="P1851" s="7" t="str">
        <f>IFERROR(VLOOKUP(Tabela3[[#This Row],[Categoria]],Cadastros!A:C,3,0),"")</f>
        <v/>
      </c>
      <c r="Q1851" s="9" t="str">
        <f ca="1">IFERROR(Tabela3[[#This Row],[Vida útil]]-Tabela3[[#This Row],[Idade]],"")</f>
        <v/>
      </c>
      <c r="R1851" s="8" t="str">
        <f ca="1">IFERROR(Tabela3[[#This Row],[Valor]]-(Tabela3[[#This Row],[Valor]]*(Tabela3[[#This Row],[Idade]]*VLOOKUP(Tabela3[[#This Row],[Categoria]],Cadastros!A:B,2,0))),"")</f>
        <v/>
      </c>
    </row>
    <row r="1852" spans="4:18" x14ac:dyDescent="0.25">
      <c r="D1852" s="5"/>
      <c r="N1852" s="6" t="str">
        <f>IFERROR(Tabela3[[#This Row],[Última revisão do bem]]+(VLOOKUP(Tabela3[[#This Row],[Categoria]],Cadastros!A:D,4,0)+365),"")</f>
        <v/>
      </c>
      <c r="O1852" s="7" t="str">
        <f ca="1">IF(Tabela3[[#This Row],[Data da compra]]&gt;0,(TODAY()-Tabela3[[#This Row],[Data da compra]])/365,"")</f>
        <v/>
      </c>
      <c r="P1852" s="7" t="str">
        <f>IFERROR(VLOOKUP(Tabela3[[#This Row],[Categoria]],Cadastros!A:C,3,0),"")</f>
        <v/>
      </c>
      <c r="Q1852" s="9" t="str">
        <f ca="1">IFERROR(Tabela3[[#This Row],[Vida útil]]-Tabela3[[#This Row],[Idade]],"")</f>
        <v/>
      </c>
      <c r="R1852" s="8" t="str">
        <f ca="1">IFERROR(Tabela3[[#This Row],[Valor]]-(Tabela3[[#This Row],[Valor]]*(Tabela3[[#This Row],[Idade]]*VLOOKUP(Tabela3[[#This Row],[Categoria]],Cadastros!A:B,2,0))),"")</f>
        <v/>
      </c>
    </row>
    <row r="1853" spans="4:18" x14ac:dyDescent="0.25">
      <c r="D1853" s="5"/>
      <c r="N1853" s="6" t="str">
        <f>IFERROR(Tabela3[[#This Row],[Última revisão do bem]]+(VLOOKUP(Tabela3[[#This Row],[Categoria]],Cadastros!A:D,4,0)+365),"")</f>
        <v/>
      </c>
      <c r="O1853" s="7" t="str">
        <f ca="1">IF(Tabela3[[#This Row],[Data da compra]]&gt;0,(TODAY()-Tabela3[[#This Row],[Data da compra]])/365,"")</f>
        <v/>
      </c>
      <c r="P1853" s="7" t="str">
        <f>IFERROR(VLOOKUP(Tabela3[[#This Row],[Categoria]],Cadastros!A:C,3,0),"")</f>
        <v/>
      </c>
      <c r="Q1853" s="9" t="str">
        <f ca="1">IFERROR(Tabela3[[#This Row],[Vida útil]]-Tabela3[[#This Row],[Idade]],"")</f>
        <v/>
      </c>
      <c r="R1853" s="8" t="str">
        <f ca="1">IFERROR(Tabela3[[#This Row],[Valor]]-(Tabela3[[#This Row],[Valor]]*(Tabela3[[#This Row],[Idade]]*VLOOKUP(Tabela3[[#This Row],[Categoria]],Cadastros!A:B,2,0))),"")</f>
        <v/>
      </c>
    </row>
    <row r="1854" spans="4:18" x14ac:dyDescent="0.25">
      <c r="D1854" s="5"/>
      <c r="N1854" s="6" t="str">
        <f>IFERROR(Tabela3[[#This Row],[Última revisão do bem]]+(VLOOKUP(Tabela3[[#This Row],[Categoria]],Cadastros!A:D,4,0)+365),"")</f>
        <v/>
      </c>
      <c r="O1854" s="7" t="str">
        <f ca="1">IF(Tabela3[[#This Row],[Data da compra]]&gt;0,(TODAY()-Tabela3[[#This Row],[Data da compra]])/365,"")</f>
        <v/>
      </c>
      <c r="P1854" s="7" t="str">
        <f>IFERROR(VLOOKUP(Tabela3[[#This Row],[Categoria]],Cadastros!A:C,3,0),"")</f>
        <v/>
      </c>
      <c r="Q1854" s="9" t="str">
        <f ca="1">IFERROR(Tabela3[[#This Row],[Vida útil]]-Tabela3[[#This Row],[Idade]],"")</f>
        <v/>
      </c>
      <c r="R1854" s="8" t="str">
        <f ca="1">IFERROR(Tabela3[[#This Row],[Valor]]-(Tabela3[[#This Row],[Valor]]*(Tabela3[[#This Row],[Idade]]*VLOOKUP(Tabela3[[#This Row],[Categoria]],Cadastros!A:B,2,0))),"")</f>
        <v/>
      </c>
    </row>
    <row r="1855" spans="4:18" x14ac:dyDescent="0.25">
      <c r="D1855" s="5"/>
      <c r="N1855" s="6" t="str">
        <f>IFERROR(Tabela3[[#This Row],[Última revisão do bem]]+(VLOOKUP(Tabela3[[#This Row],[Categoria]],Cadastros!A:D,4,0)+365),"")</f>
        <v/>
      </c>
      <c r="O1855" s="7" t="str">
        <f ca="1">IF(Tabela3[[#This Row],[Data da compra]]&gt;0,(TODAY()-Tabela3[[#This Row],[Data da compra]])/365,"")</f>
        <v/>
      </c>
      <c r="P1855" s="7" t="str">
        <f>IFERROR(VLOOKUP(Tabela3[[#This Row],[Categoria]],Cadastros!A:C,3,0),"")</f>
        <v/>
      </c>
      <c r="Q1855" s="9" t="str">
        <f ca="1">IFERROR(Tabela3[[#This Row],[Vida útil]]-Tabela3[[#This Row],[Idade]],"")</f>
        <v/>
      </c>
      <c r="R1855" s="8" t="str">
        <f ca="1">IFERROR(Tabela3[[#This Row],[Valor]]-(Tabela3[[#This Row],[Valor]]*(Tabela3[[#This Row],[Idade]]*VLOOKUP(Tabela3[[#This Row],[Categoria]],Cadastros!A:B,2,0))),"")</f>
        <v/>
      </c>
    </row>
    <row r="1856" spans="4:18" x14ac:dyDescent="0.25">
      <c r="D1856" s="5"/>
      <c r="N1856" s="6" t="str">
        <f>IFERROR(Tabela3[[#This Row],[Última revisão do bem]]+(VLOOKUP(Tabela3[[#This Row],[Categoria]],Cadastros!A:D,4,0)+365),"")</f>
        <v/>
      </c>
      <c r="O1856" s="7" t="str">
        <f ca="1">IF(Tabela3[[#This Row],[Data da compra]]&gt;0,(TODAY()-Tabela3[[#This Row],[Data da compra]])/365,"")</f>
        <v/>
      </c>
      <c r="P1856" s="7" t="str">
        <f>IFERROR(VLOOKUP(Tabela3[[#This Row],[Categoria]],Cadastros!A:C,3,0),"")</f>
        <v/>
      </c>
      <c r="Q1856" s="9" t="str">
        <f ca="1">IFERROR(Tabela3[[#This Row],[Vida útil]]-Tabela3[[#This Row],[Idade]],"")</f>
        <v/>
      </c>
      <c r="R1856" s="8" t="str">
        <f ca="1">IFERROR(Tabela3[[#This Row],[Valor]]-(Tabela3[[#This Row],[Valor]]*(Tabela3[[#This Row],[Idade]]*VLOOKUP(Tabela3[[#This Row],[Categoria]],Cadastros!A:B,2,0))),"")</f>
        <v/>
      </c>
    </row>
    <row r="1857" spans="4:18" x14ac:dyDescent="0.25">
      <c r="D1857" s="5"/>
      <c r="N1857" s="6" t="str">
        <f>IFERROR(Tabela3[[#This Row],[Última revisão do bem]]+(VLOOKUP(Tabela3[[#This Row],[Categoria]],Cadastros!A:D,4,0)+365),"")</f>
        <v/>
      </c>
      <c r="O1857" s="7" t="str">
        <f ca="1">IF(Tabela3[[#This Row],[Data da compra]]&gt;0,(TODAY()-Tabela3[[#This Row],[Data da compra]])/365,"")</f>
        <v/>
      </c>
      <c r="P1857" s="7" t="str">
        <f>IFERROR(VLOOKUP(Tabela3[[#This Row],[Categoria]],Cadastros!A:C,3,0),"")</f>
        <v/>
      </c>
      <c r="Q1857" s="9" t="str">
        <f ca="1">IFERROR(Tabela3[[#This Row],[Vida útil]]-Tabela3[[#This Row],[Idade]],"")</f>
        <v/>
      </c>
      <c r="R1857" s="8" t="str">
        <f ca="1">IFERROR(Tabela3[[#This Row],[Valor]]-(Tabela3[[#This Row],[Valor]]*(Tabela3[[#This Row],[Idade]]*VLOOKUP(Tabela3[[#This Row],[Categoria]],Cadastros!A:B,2,0))),"")</f>
        <v/>
      </c>
    </row>
    <row r="1858" spans="4:18" x14ac:dyDescent="0.25">
      <c r="D1858" s="5"/>
      <c r="N1858" s="6" t="str">
        <f>IFERROR(Tabela3[[#This Row],[Última revisão do bem]]+(VLOOKUP(Tabela3[[#This Row],[Categoria]],Cadastros!A:D,4,0)+365),"")</f>
        <v/>
      </c>
      <c r="O1858" s="7" t="str">
        <f ca="1">IF(Tabela3[[#This Row],[Data da compra]]&gt;0,(TODAY()-Tabela3[[#This Row],[Data da compra]])/365,"")</f>
        <v/>
      </c>
      <c r="P1858" s="7" t="str">
        <f>IFERROR(VLOOKUP(Tabela3[[#This Row],[Categoria]],Cadastros!A:C,3,0),"")</f>
        <v/>
      </c>
      <c r="Q1858" s="9" t="str">
        <f ca="1">IFERROR(Tabela3[[#This Row],[Vida útil]]-Tabela3[[#This Row],[Idade]],"")</f>
        <v/>
      </c>
      <c r="R1858" s="8" t="str">
        <f ca="1">IFERROR(Tabela3[[#This Row],[Valor]]-(Tabela3[[#This Row],[Valor]]*(Tabela3[[#This Row],[Idade]]*VLOOKUP(Tabela3[[#This Row],[Categoria]],Cadastros!A:B,2,0))),"")</f>
        <v/>
      </c>
    </row>
    <row r="1859" spans="4:18" x14ac:dyDescent="0.25">
      <c r="D1859" s="5"/>
      <c r="N1859" s="6" t="str">
        <f>IFERROR(Tabela3[[#This Row],[Última revisão do bem]]+(VLOOKUP(Tabela3[[#This Row],[Categoria]],Cadastros!A:D,4,0)+365),"")</f>
        <v/>
      </c>
      <c r="O1859" s="7" t="str">
        <f ca="1">IF(Tabela3[[#This Row],[Data da compra]]&gt;0,(TODAY()-Tabela3[[#This Row],[Data da compra]])/365,"")</f>
        <v/>
      </c>
      <c r="P1859" s="7" t="str">
        <f>IFERROR(VLOOKUP(Tabela3[[#This Row],[Categoria]],Cadastros!A:C,3,0),"")</f>
        <v/>
      </c>
      <c r="Q1859" s="9" t="str">
        <f ca="1">IFERROR(Tabela3[[#This Row],[Vida útil]]-Tabela3[[#This Row],[Idade]],"")</f>
        <v/>
      </c>
      <c r="R1859" s="8" t="str">
        <f ca="1">IFERROR(Tabela3[[#This Row],[Valor]]-(Tabela3[[#This Row],[Valor]]*(Tabela3[[#This Row],[Idade]]*VLOOKUP(Tabela3[[#This Row],[Categoria]],Cadastros!A:B,2,0))),"")</f>
        <v/>
      </c>
    </row>
    <row r="1860" spans="4:18" x14ac:dyDescent="0.25">
      <c r="D1860" s="22"/>
      <c r="N1860" s="6" t="str">
        <f>IFERROR(Tabela3[[#This Row],[Última revisão do bem]]+(VLOOKUP(Tabela3[[#This Row],[Categoria]],Cadastros!A:D,4,0)+365),"")</f>
        <v/>
      </c>
      <c r="O1860" s="7" t="str">
        <f ca="1">IF(Tabela3[[#This Row],[Data da compra]]&gt;0,(TODAY()-Tabela3[[#This Row],[Data da compra]])/365,"")</f>
        <v/>
      </c>
      <c r="P1860" s="7" t="str">
        <f>IFERROR(VLOOKUP(Tabela3[[#This Row],[Categoria]],Cadastros!A:C,3,0),"")</f>
        <v/>
      </c>
      <c r="Q1860" s="9" t="str">
        <f ca="1">IFERROR(Tabela3[[#This Row],[Vida útil]]-Tabela3[[#This Row],[Idade]],"")</f>
        <v/>
      </c>
      <c r="R1860" s="23" t="str">
        <f ca="1">IFERROR(Tabela3[[#This Row],[Valor]]-(Tabela3[[#This Row],[Valor]]*(Tabela3[[#This Row],[Idade]]*VLOOKUP(Tabela3[[#This Row],[Categoria]],Cadastros!A:B,2,0))),"")</f>
        <v/>
      </c>
    </row>
    <row r="1861" spans="4:18" x14ac:dyDescent="0.25">
      <c r="D1861" s="5"/>
      <c r="N1861" s="6" t="str">
        <f>IFERROR(Tabela3[[#This Row],[Última revisão do bem]]+(VLOOKUP(Tabela3[[#This Row],[Categoria]],Cadastros!A:D,4,0)+365),"")</f>
        <v/>
      </c>
      <c r="O1861" s="7" t="str">
        <f ca="1">IF(Tabela3[[#This Row],[Data da compra]]&gt;0,(TODAY()-Tabela3[[#This Row],[Data da compra]])/365,"")</f>
        <v/>
      </c>
      <c r="P1861" s="7" t="str">
        <f>IFERROR(VLOOKUP(Tabela3[[#This Row],[Categoria]],Cadastros!A:C,3,0),"")</f>
        <v/>
      </c>
      <c r="Q1861" s="9" t="str">
        <f ca="1">IFERROR(Tabela3[[#This Row],[Vida útil]]-Tabela3[[#This Row],[Idade]],"")</f>
        <v/>
      </c>
      <c r="R1861" s="8" t="str">
        <f ca="1">IFERROR(Tabela3[[#This Row],[Valor]]-(Tabela3[[#This Row],[Valor]]*(Tabela3[[#This Row],[Idade]]*VLOOKUP(Tabela3[[#This Row],[Categoria]],Cadastros!A:B,2,0))),"")</f>
        <v/>
      </c>
    </row>
    <row r="1862" spans="4:18" x14ac:dyDescent="0.25">
      <c r="D1862" s="5"/>
      <c r="N1862" s="6" t="str">
        <f>IFERROR(Tabela3[[#This Row],[Última revisão do bem]]+(VLOOKUP(Tabela3[[#This Row],[Categoria]],Cadastros!A:D,4,0)+365),"")</f>
        <v/>
      </c>
      <c r="O1862" s="7" t="str">
        <f ca="1">IF(Tabela3[[#This Row],[Data da compra]]&gt;0,(TODAY()-Tabela3[[#This Row],[Data da compra]])/365,"")</f>
        <v/>
      </c>
      <c r="P1862" s="7" t="str">
        <f>IFERROR(VLOOKUP(Tabela3[[#This Row],[Categoria]],Cadastros!A:C,3,0),"")</f>
        <v/>
      </c>
      <c r="Q1862" s="9" t="str">
        <f ca="1">IFERROR(Tabela3[[#This Row],[Vida útil]]-Tabela3[[#This Row],[Idade]],"")</f>
        <v/>
      </c>
      <c r="R1862" s="8" t="str">
        <f ca="1">IFERROR(Tabela3[[#This Row],[Valor]]-(Tabela3[[#This Row],[Valor]]*(Tabela3[[#This Row],[Idade]]*VLOOKUP(Tabela3[[#This Row],[Categoria]],Cadastros!A:B,2,0))),"")</f>
        <v/>
      </c>
    </row>
    <row r="1863" spans="4:18" x14ac:dyDescent="0.25">
      <c r="D1863" s="5"/>
      <c r="N1863" s="6" t="str">
        <f>IFERROR(Tabela3[[#This Row],[Última revisão do bem]]+(VLOOKUP(Tabela3[[#This Row],[Categoria]],Cadastros!A:D,4,0)+365),"")</f>
        <v/>
      </c>
      <c r="O1863" s="7" t="str">
        <f ca="1">IF(Tabela3[[#This Row],[Data da compra]]&gt;0,(TODAY()-Tabela3[[#This Row],[Data da compra]])/365,"")</f>
        <v/>
      </c>
      <c r="P1863" s="7" t="str">
        <f>IFERROR(VLOOKUP(Tabela3[[#This Row],[Categoria]],Cadastros!A:C,3,0),"")</f>
        <v/>
      </c>
      <c r="Q1863" s="9" t="str">
        <f ca="1">IFERROR(Tabela3[[#This Row],[Vida útil]]-Tabela3[[#This Row],[Idade]],"")</f>
        <v/>
      </c>
      <c r="R1863" s="8" t="str">
        <f ca="1">IFERROR(Tabela3[[#This Row],[Valor]]-(Tabela3[[#This Row],[Valor]]*(Tabela3[[#This Row],[Idade]]*VLOOKUP(Tabela3[[#This Row],[Categoria]],Cadastros!A:B,2,0))),"")</f>
        <v/>
      </c>
    </row>
    <row r="1864" spans="4:18" x14ac:dyDescent="0.25">
      <c r="D1864" s="5"/>
      <c r="N1864" s="6" t="str">
        <f>IFERROR(Tabela3[[#This Row],[Última revisão do bem]]+(VLOOKUP(Tabela3[[#This Row],[Categoria]],Cadastros!A:D,4,0)+365),"")</f>
        <v/>
      </c>
      <c r="O1864" s="7" t="str">
        <f ca="1">IF(Tabela3[[#This Row],[Data da compra]]&gt;0,(TODAY()-Tabela3[[#This Row],[Data da compra]])/365,"")</f>
        <v/>
      </c>
      <c r="P1864" s="7" t="str">
        <f>IFERROR(VLOOKUP(Tabela3[[#This Row],[Categoria]],Cadastros!A:C,3,0),"")</f>
        <v/>
      </c>
      <c r="Q1864" s="9" t="str">
        <f ca="1">IFERROR(Tabela3[[#This Row],[Vida útil]]-Tabela3[[#This Row],[Idade]],"")</f>
        <v/>
      </c>
      <c r="R1864" s="8" t="str">
        <f ca="1">IFERROR(Tabela3[[#This Row],[Valor]]-(Tabela3[[#This Row],[Valor]]*(Tabela3[[#This Row],[Idade]]*VLOOKUP(Tabela3[[#This Row],[Categoria]],Cadastros!A:B,2,0))),"")</f>
        <v/>
      </c>
    </row>
    <row r="1865" spans="4:18" x14ac:dyDescent="0.25">
      <c r="D1865" s="5"/>
      <c r="N1865" s="6" t="str">
        <f>IFERROR(Tabela3[[#This Row],[Última revisão do bem]]+(VLOOKUP(Tabela3[[#This Row],[Categoria]],Cadastros!A:D,4,0)+365),"")</f>
        <v/>
      </c>
      <c r="O1865" s="7" t="str">
        <f ca="1">IF(Tabela3[[#This Row],[Data da compra]]&gt;0,(TODAY()-Tabela3[[#This Row],[Data da compra]])/365,"")</f>
        <v/>
      </c>
      <c r="P1865" s="7" t="str">
        <f>IFERROR(VLOOKUP(Tabela3[[#This Row],[Categoria]],Cadastros!A:C,3,0),"")</f>
        <v/>
      </c>
      <c r="Q1865" s="9" t="str">
        <f ca="1">IFERROR(Tabela3[[#This Row],[Vida útil]]-Tabela3[[#This Row],[Idade]],"")</f>
        <v/>
      </c>
      <c r="R1865" s="8" t="str">
        <f ca="1">IFERROR(Tabela3[[#This Row],[Valor]]-(Tabela3[[#This Row],[Valor]]*(Tabela3[[#This Row],[Idade]]*VLOOKUP(Tabela3[[#This Row],[Categoria]],Cadastros!A:B,2,0))),"")</f>
        <v/>
      </c>
    </row>
    <row r="1866" spans="4:18" x14ac:dyDescent="0.25">
      <c r="D1866" s="5"/>
      <c r="N1866" s="6" t="str">
        <f>IFERROR(Tabela3[[#This Row],[Última revisão do bem]]+(VLOOKUP(Tabela3[[#This Row],[Categoria]],Cadastros!A:D,4,0)+365),"")</f>
        <v/>
      </c>
      <c r="O1866" s="7" t="str">
        <f ca="1">IF(Tabela3[[#This Row],[Data da compra]]&gt;0,(TODAY()-Tabela3[[#This Row],[Data da compra]])/365,"")</f>
        <v/>
      </c>
      <c r="P1866" s="7" t="str">
        <f>IFERROR(VLOOKUP(Tabela3[[#This Row],[Categoria]],Cadastros!A:C,3,0),"")</f>
        <v/>
      </c>
      <c r="Q1866" s="9" t="str">
        <f ca="1">IFERROR(Tabela3[[#This Row],[Vida útil]]-Tabela3[[#This Row],[Idade]],"")</f>
        <v/>
      </c>
      <c r="R1866" s="8" t="str">
        <f ca="1">IFERROR(Tabela3[[#This Row],[Valor]]-(Tabela3[[#This Row],[Valor]]*(Tabela3[[#This Row],[Idade]]*VLOOKUP(Tabela3[[#This Row],[Categoria]],Cadastros!A:B,2,0))),"")</f>
        <v/>
      </c>
    </row>
    <row r="1867" spans="4:18" x14ac:dyDescent="0.25">
      <c r="D1867" s="5"/>
      <c r="N1867" s="6" t="str">
        <f>IFERROR(Tabela3[[#This Row],[Última revisão do bem]]+(VLOOKUP(Tabela3[[#This Row],[Categoria]],Cadastros!A:D,4,0)+365),"")</f>
        <v/>
      </c>
      <c r="O1867" s="7" t="str">
        <f ca="1">IF(Tabela3[[#This Row],[Data da compra]]&gt;0,(TODAY()-Tabela3[[#This Row],[Data da compra]])/365,"")</f>
        <v/>
      </c>
      <c r="P1867" s="7" t="str">
        <f>IFERROR(VLOOKUP(Tabela3[[#This Row],[Categoria]],Cadastros!A:C,3,0),"")</f>
        <v/>
      </c>
      <c r="Q1867" s="9" t="str">
        <f ca="1">IFERROR(Tabela3[[#This Row],[Vida útil]]-Tabela3[[#This Row],[Idade]],"")</f>
        <v/>
      </c>
      <c r="R1867" s="8" t="str">
        <f ca="1">IFERROR(Tabela3[[#This Row],[Valor]]-(Tabela3[[#This Row],[Valor]]*(Tabela3[[#This Row],[Idade]]*VLOOKUP(Tabela3[[#This Row],[Categoria]],Cadastros!A:B,2,0))),"")</f>
        <v/>
      </c>
    </row>
    <row r="1868" spans="4:18" x14ac:dyDescent="0.25">
      <c r="D1868" s="5"/>
      <c r="N1868" s="6" t="str">
        <f>IFERROR(Tabela3[[#This Row],[Última revisão do bem]]+(VLOOKUP(Tabela3[[#This Row],[Categoria]],Cadastros!A:D,4,0)+365),"")</f>
        <v/>
      </c>
      <c r="O1868" s="7" t="str">
        <f ca="1">IF(Tabela3[[#This Row],[Data da compra]]&gt;0,(TODAY()-Tabela3[[#This Row],[Data da compra]])/365,"")</f>
        <v/>
      </c>
      <c r="P1868" s="7" t="str">
        <f>IFERROR(VLOOKUP(Tabela3[[#This Row],[Categoria]],Cadastros!A:C,3,0),"")</f>
        <v/>
      </c>
      <c r="Q1868" s="9" t="str">
        <f ca="1">IFERROR(Tabela3[[#This Row],[Vida útil]]-Tabela3[[#This Row],[Idade]],"")</f>
        <v/>
      </c>
      <c r="R1868" s="8" t="str">
        <f ca="1">IFERROR(Tabela3[[#This Row],[Valor]]-(Tabela3[[#This Row],[Valor]]*(Tabela3[[#This Row],[Idade]]*VLOOKUP(Tabela3[[#This Row],[Categoria]],Cadastros!A:B,2,0))),"")</f>
        <v/>
      </c>
    </row>
    <row r="1869" spans="4:18" x14ac:dyDescent="0.25">
      <c r="D1869" s="5"/>
      <c r="N1869" s="6" t="str">
        <f>IFERROR(Tabela3[[#This Row],[Última revisão do bem]]+(VLOOKUP(Tabela3[[#This Row],[Categoria]],Cadastros!A:D,4,0)+365),"")</f>
        <v/>
      </c>
      <c r="O1869" s="7" t="str">
        <f ca="1">IF(Tabela3[[#This Row],[Data da compra]]&gt;0,(TODAY()-Tabela3[[#This Row],[Data da compra]])/365,"")</f>
        <v/>
      </c>
      <c r="P1869" s="7" t="str">
        <f>IFERROR(VLOOKUP(Tabela3[[#This Row],[Categoria]],Cadastros!A:C,3,0),"")</f>
        <v/>
      </c>
      <c r="Q1869" s="9" t="str">
        <f ca="1">IFERROR(Tabela3[[#This Row],[Vida útil]]-Tabela3[[#This Row],[Idade]],"")</f>
        <v/>
      </c>
      <c r="R1869" s="8" t="str">
        <f ca="1">IFERROR(Tabela3[[#This Row],[Valor]]-(Tabela3[[#This Row],[Valor]]*(Tabela3[[#This Row],[Idade]]*VLOOKUP(Tabela3[[#This Row],[Categoria]],Cadastros!A:B,2,0))),"")</f>
        <v/>
      </c>
    </row>
    <row r="1870" spans="4:18" x14ac:dyDescent="0.25">
      <c r="D1870" s="5"/>
      <c r="N1870" s="6" t="str">
        <f>IFERROR(Tabela3[[#This Row],[Última revisão do bem]]+(VLOOKUP(Tabela3[[#This Row],[Categoria]],Cadastros!A:D,4,0)+365),"")</f>
        <v/>
      </c>
      <c r="O1870" s="7" t="str">
        <f ca="1">IF(Tabela3[[#This Row],[Data da compra]]&gt;0,(TODAY()-Tabela3[[#This Row],[Data da compra]])/365,"")</f>
        <v/>
      </c>
      <c r="P1870" s="7" t="str">
        <f>IFERROR(VLOOKUP(Tabela3[[#This Row],[Categoria]],Cadastros!A:C,3,0),"")</f>
        <v/>
      </c>
      <c r="Q1870" s="9" t="str">
        <f ca="1">IFERROR(Tabela3[[#This Row],[Vida útil]]-Tabela3[[#This Row],[Idade]],"")</f>
        <v/>
      </c>
      <c r="R1870" s="8" t="str">
        <f ca="1">IFERROR(Tabela3[[#This Row],[Valor]]-(Tabela3[[#This Row],[Valor]]*(Tabela3[[#This Row],[Idade]]*VLOOKUP(Tabela3[[#This Row],[Categoria]],Cadastros!A:B,2,0))),"")</f>
        <v/>
      </c>
    </row>
    <row r="1871" spans="4:18" x14ac:dyDescent="0.25">
      <c r="D1871" s="5"/>
      <c r="N1871" s="6" t="str">
        <f>IFERROR(Tabela3[[#This Row],[Última revisão do bem]]+(VLOOKUP(Tabela3[[#This Row],[Categoria]],Cadastros!A:D,4,0)+365),"")</f>
        <v/>
      </c>
      <c r="O1871" s="7" t="str">
        <f ca="1">IF(Tabela3[[#This Row],[Data da compra]]&gt;0,(TODAY()-Tabela3[[#This Row],[Data da compra]])/365,"")</f>
        <v/>
      </c>
      <c r="P1871" s="7" t="str">
        <f>IFERROR(VLOOKUP(Tabela3[[#This Row],[Categoria]],Cadastros!A:C,3,0),"")</f>
        <v/>
      </c>
      <c r="Q1871" s="9" t="str">
        <f ca="1">IFERROR(Tabela3[[#This Row],[Vida útil]]-Tabela3[[#This Row],[Idade]],"")</f>
        <v/>
      </c>
      <c r="R1871" s="8" t="str">
        <f ca="1">IFERROR(Tabela3[[#This Row],[Valor]]-(Tabela3[[#This Row],[Valor]]*(Tabela3[[#This Row],[Idade]]*VLOOKUP(Tabela3[[#This Row],[Categoria]],Cadastros!A:B,2,0))),"")</f>
        <v/>
      </c>
    </row>
    <row r="1872" spans="4:18" x14ac:dyDescent="0.25">
      <c r="D1872" s="5"/>
      <c r="N1872" s="6" t="str">
        <f>IFERROR(Tabela3[[#This Row],[Última revisão do bem]]+(VLOOKUP(Tabela3[[#This Row],[Categoria]],Cadastros!A:D,4,0)+365),"")</f>
        <v/>
      </c>
      <c r="O1872" s="7" t="str">
        <f ca="1">IF(Tabela3[[#This Row],[Data da compra]]&gt;0,(TODAY()-Tabela3[[#This Row],[Data da compra]])/365,"")</f>
        <v/>
      </c>
      <c r="P1872" s="7" t="str">
        <f>IFERROR(VLOOKUP(Tabela3[[#This Row],[Categoria]],Cadastros!A:C,3,0),"")</f>
        <v/>
      </c>
      <c r="Q1872" s="9" t="str">
        <f ca="1">IFERROR(Tabela3[[#This Row],[Vida útil]]-Tabela3[[#This Row],[Idade]],"")</f>
        <v/>
      </c>
      <c r="R1872" s="8" t="str">
        <f ca="1">IFERROR(Tabela3[[#This Row],[Valor]]-(Tabela3[[#This Row],[Valor]]*(Tabela3[[#This Row],[Idade]]*VLOOKUP(Tabela3[[#This Row],[Categoria]],Cadastros!A:B,2,0))),"")</f>
        <v/>
      </c>
    </row>
    <row r="1873" spans="4:18" x14ac:dyDescent="0.25">
      <c r="D1873" s="5"/>
      <c r="N1873" s="6" t="str">
        <f>IFERROR(Tabela3[[#This Row],[Última revisão do bem]]+(VLOOKUP(Tabela3[[#This Row],[Categoria]],Cadastros!A:D,4,0)+365),"")</f>
        <v/>
      </c>
      <c r="O1873" s="7" t="str">
        <f ca="1">IF(Tabela3[[#This Row],[Data da compra]]&gt;0,(TODAY()-Tabela3[[#This Row],[Data da compra]])/365,"")</f>
        <v/>
      </c>
      <c r="P1873" s="7" t="str">
        <f>IFERROR(VLOOKUP(Tabela3[[#This Row],[Categoria]],Cadastros!A:C,3,0),"")</f>
        <v/>
      </c>
      <c r="Q1873" s="9" t="str">
        <f ca="1">IFERROR(Tabela3[[#This Row],[Vida útil]]-Tabela3[[#This Row],[Idade]],"")</f>
        <v/>
      </c>
      <c r="R1873" s="8" t="str">
        <f ca="1">IFERROR(Tabela3[[#This Row],[Valor]]-(Tabela3[[#This Row],[Valor]]*(Tabela3[[#This Row],[Idade]]*VLOOKUP(Tabela3[[#This Row],[Categoria]],Cadastros!A:B,2,0))),"")</f>
        <v/>
      </c>
    </row>
    <row r="1874" spans="4:18" x14ac:dyDescent="0.25">
      <c r="D1874" s="5"/>
      <c r="N1874" s="6" t="str">
        <f>IFERROR(Tabela3[[#This Row],[Última revisão do bem]]+(VLOOKUP(Tabela3[[#This Row],[Categoria]],Cadastros!A:D,4,0)+365),"")</f>
        <v/>
      </c>
      <c r="O1874" s="7" t="str">
        <f ca="1">IF(Tabela3[[#This Row],[Data da compra]]&gt;0,(TODAY()-Tabela3[[#This Row],[Data da compra]])/365,"")</f>
        <v/>
      </c>
      <c r="P1874" s="7" t="str">
        <f>IFERROR(VLOOKUP(Tabela3[[#This Row],[Categoria]],Cadastros!A:C,3,0),"")</f>
        <v/>
      </c>
      <c r="Q1874" s="9" t="str">
        <f ca="1">IFERROR(Tabela3[[#This Row],[Vida útil]]-Tabela3[[#This Row],[Idade]],"")</f>
        <v/>
      </c>
      <c r="R1874" s="8" t="str">
        <f ca="1">IFERROR(Tabela3[[#This Row],[Valor]]-(Tabela3[[#This Row],[Valor]]*(Tabela3[[#This Row],[Idade]]*VLOOKUP(Tabela3[[#This Row],[Categoria]],Cadastros!A:B,2,0))),"")</f>
        <v/>
      </c>
    </row>
    <row r="1875" spans="4:18" x14ac:dyDescent="0.25">
      <c r="D1875" s="5"/>
      <c r="N1875" s="6" t="str">
        <f>IFERROR(Tabela3[[#This Row],[Última revisão do bem]]+(VLOOKUP(Tabela3[[#This Row],[Categoria]],Cadastros!A:D,4,0)+365),"")</f>
        <v/>
      </c>
      <c r="O1875" s="7" t="str">
        <f ca="1">IF(Tabela3[[#This Row],[Data da compra]]&gt;0,(TODAY()-Tabela3[[#This Row],[Data da compra]])/365,"")</f>
        <v/>
      </c>
      <c r="P1875" s="7" t="str">
        <f>IFERROR(VLOOKUP(Tabela3[[#This Row],[Categoria]],Cadastros!A:C,3,0),"")</f>
        <v/>
      </c>
      <c r="Q1875" s="9" t="str">
        <f ca="1">IFERROR(Tabela3[[#This Row],[Vida útil]]-Tabela3[[#This Row],[Idade]],"")</f>
        <v/>
      </c>
      <c r="R1875" s="8" t="str">
        <f ca="1">IFERROR(Tabela3[[#This Row],[Valor]]-(Tabela3[[#This Row],[Valor]]*(Tabela3[[#This Row],[Idade]]*VLOOKUP(Tabela3[[#This Row],[Categoria]],Cadastros!A:B,2,0))),"")</f>
        <v/>
      </c>
    </row>
    <row r="1876" spans="4:18" x14ac:dyDescent="0.25">
      <c r="D1876" s="5"/>
      <c r="N1876" s="6" t="str">
        <f>IFERROR(Tabela3[[#This Row],[Última revisão do bem]]+(VLOOKUP(Tabela3[[#This Row],[Categoria]],Cadastros!A:D,4,0)+365),"")</f>
        <v/>
      </c>
      <c r="O1876" s="7" t="str">
        <f ca="1">IF(Tabela3[[#This Row],[Data da compra]]&gt;0,(TODAY()-Tabela3[[#This Row],[Data da compra]])/365,"")</f>
        <v/>
      </c>
      <c r="P1876" s="7" t="str">
        <f>IFERROR(VLOOKUP(Tabela3[[#This Row],[Categoria]],Cadastros!A:C,3,0),"")</f>
        <v/>
      </c>
      <c r="Q1876" s="9" t="str">
        <f ca="1">IFERROR(Tabela3[[#This Row],[Vida útil]]-Tabela3[[#This Row],[Idade]],"")</f>
        <v/>
      </c>
      <c r="R1876" s="8" t="str">
        <f ca="1">IFERROR(Tabela3[[#This Row],[Valor]]-(Tabela3[[#This Row],[Valor]]*(Tabela3[[#This Row],[Idade]]*VLOOKUP(Tabela3[[#This Row],[Categoria]],Cadastros!A:B,2,0))),"")</f>
        <v/>
      </c>
    </row>
    <row r="1877" spans="4:18" x14ac:dyDescent="0.25">
      <c r="D1877" s="5"/>
      <c r="N1877" s="6" t="str">
        <f>IFERROR(Tabela3[[#This Row],[Última revisão do bem]]+(VLOOKUP(Tabela3[[#This Row],[Categoria]],Cadastros!A:D,4,0)+365),"")</f>
        <v/>
      </c>
      <c r="O1877" s="7" t="str">
        <f ca="1">IF(Tabela3[[#This Row],[Data da compra]]&gt;0,(TODAY()-Tabela3[[#This Row],[Data da compra]])/365,"")</f>
        <v/>
      </c>
      <c r="P1877" s="7" t="str">
        <f>IFERROR(VLOOKUP(Tabela3[[#This Row],[Categoria]],Cadastros!A:C,3,0),"")</f>
        <v/>
      </c>
      <c r="Q1877" s="9" t="str">
        <f ca="1">IFERROR(Tabela3[[#This Row],[Vida útil]]-Tabela3[[#This Row],[Idade]],"")</f>
        <v/>
      </c>
      <c r="R1877" s="8" t="str">
        <f ca="1">IFERROR(Tabela3[[#This Row],[Valor]]-(Tabela3[[#This Row],[Valor]]*(Tabela3[[#This Row],[Idade]]*VLOOKUP(Tabela3[[#This Row],[Categoria]],Cadastros!A:B,2,0))),"")</f>
        <v/>
      </c>
    </row>
    <row r="1878" spans="4:18" x14ac:dyDescent="0.25">
      <c r="D1878" s="5"/>
      <c r="N1878" s="6" t="str">
        <f>IFERROR(Tabela3[[#This Row],[Última revisão do bem]]+(VLOOKUP(Tabela3[[#This Row],[Categoria]],Cadastros!A:D,4,0)+365),"")</f>
        <v/>
      </c>
      <c r="O1878" s="7" t="str">
        <f ca="1">IF(Tabela3[[#This Row],[Data da compra]]&gt;0,(TODAY()-Tabela3[[#This Row],[Data da compra]])/365,"")</f>
        <v/>
      </c>
      <c r="P1878" s="7" t="str">
        <f>IFERROR(VLOOKUP(Tabela3[[#This Row],[Categoria]],Cadastros!A:C,3,0),"")</f>
        <v/>
      </c>
      <c r="Q1878" s="9" t="str">
        <f ca="1">IFERROR(Tabela3[[#This Row],[Vida útil]]-Tabela3[[#This Row],[Idade]],"")</f>
        <v/>
      </c>
      <c r="R1878" s="8" t="str">
        <f ca="1">IFERROR(Tabela3[[#This Row],[Valor]]-(Tabela3[[#This Row],[Valor]]*(Tabela3[[#This Row],[Idade]]*VLOOKUP(Tabela3[[#This Row],[Categoria]],Cadastros!A:B,2,0))),"")</f>
        <v/>
      </c>
    </row>
    <row r="1879" spans="4:18" x14ac:dyDescent="0.25">
      <c r="D1879" s="5"/>
      <c r="N1879" s="6" t="str">
        <f>IFERROR(Tabela3[[#This Row],[Última revisão do bem]]+(VLOOKUP(Tabela3[[#This Row],[Categoria]],Cadastros!A:D,4,0)+365),"")</f>
        <v/>
      </c>
      <c r="O1879" s="7" t="str">
        <f ca="1">IF(Tabela3[[#This Row],[Data da compra]]&gt;0,(TODAY()-Tabela3[[#This Row],[Data da compra]])/365,"")</f>
        <v/>
      </c>
      <c r="P1879" s="7" t="str">
        <f>IFERROR(VLOOKUP(Tabela3[[#This Row],[Categoria]],Cadastros!A:C,3,0),"")</f>
        <v/>
      </c>
      <c r="Q1879" s="9" t="str">
        <f ca="1">IFERROR(Tabela3[[#This Row],[Vida útil]]-Tabela3[[#This Row],[Idade]],"")</f>
        <v/>
      </c>
      <c r="R1879" s="8" t="str">
        <f ca="1">IFERROR(Tabela3[[#This Row],[Valor]]-(Tabela3[[#This Row],[Valor]]*(Tabela3[[#This Row],[Idade]]*VLOOKUP(Tabela3[[#This Row],[Categoria]],Cadastros!A:B,2,0))),"")</f>
        <v/>
      </c>
    </row>
    <row r="1880" spans="4:18" x14ac:dyDescent="0.25">
      <c r="D1880" s="5"/>
      <c r="N1880" s="6" t="str">
        <f>IFERROR(Tabela3[[#This Row],[Última revisão do bem]]+(VLOOKUP(Tabela3[[#This Row],[Categoria]],Cadastros!A:D,4,0)+365),"")</f>
        <v/>
      </c>
      <c r="O1880" s="7" t="str">
        <f ca="1">IF(Tabela3[[#This Row],[Data da compra]]&gt;0,(TODAY()-Tabela3[[#This Row],[Data da compra]])/365,"")</f>
        <v/>
      </c>
      <c r="P1880" s="7" t="str">
        <f>IFERROR(VLOOKUP(Tabela3[[#This Row],[Categoria]],Cadastros!A:C,3,0),"")</f>
        <v/>
      </c>
      <c r="Q1880" s="9" t="str">
        <f ca="1">IFERROR(Tabela3[[#This Row],[Vida útil]]-Tabela3[[#This Row],[Idade]],"")</f>
        <v/>
      </c>
      <c r="R1880" s="8" t="str">
        <f ca="1">IFERROR(Tabela3[[#This Row],[Valor]]-(Tabela3[[#This Row],[Valor]]*(Tabela3[[#This Row],[Idade]]*VLOOKUP(Tabela3[[#This Row],[Categoria]],Cadastros!A:B,2,0))),"")</f>
        <v/>
      </c>
    </row>
    <row r="1881" spans="4:18" x14ac:dyDescent="0.25">
      <c r="D1881" s="5"/>
      <c r="N1881" s="6" t="str">
        <f>IFERROR(Tabela3[[#This Row],[Última revisão do bem]]+(VLOOKUP(Tabela3[[#This Row],[Categoria]],Cadastros!A:D,4,0)+365),"")</f>
        <v/>
      </c>
      <c r="O1881" s="7" t="str">
        <f ca="1">IF(Tabela3[[#This Row],[Data da compra]]&gt;0,(TODAY()-Tabela3[[#This Row],[Data da compra]])/365,"")</f>
        <v/>
      </c>
      <c r="P1881" s="7" t="str">
        <f>IFERROR(VLOOKUP(Tabela3[[#This Row],[Categoria]],Cadastros!A:C,3,0),"")</f>
        <v/>
      </c>
      <c r="Q1881" s="9" t="str">
        <f ca="1">IFERROR(Tabela3[[#This Row],[Vida útil]]-Tabela3[[#This Row],[Idade]],"")</f>
        <v/>
      </c>
      <c r="R1881" s="8" t="str">
        <f ca="1">IFERROR(Tabela3[[#This Row],[Valor]]-(Tabela3[[#This Row],[Valor]]*(Tabela3[[#This Row],[Idade]]*VLOOKUP(Tabela3[[#This Row],[Categoria]],Cadastros!A:B,2,0))),"")</f>
        <v/>
      </c>
    </row>
    <row r="1882" spans="4:18" x14ac:dyDescent="0.25">
      <c r="D1882" s="5"/>
      <c r="N1882" s="6" t="str">
        <f>IFERROR(Tabela3[[#This Row],[Última revisão do bem]]+(VLOOKUP(Tabela3[[#This Row],[Categoria]],Cadastros!A:D,4,0)+365),"")</f>
        <v/>
      </c>
      <c r="O1882" s="7" t="str">
        <f ca="1">IF(Tabela3[[#This Row],[Data da compra]]&gt;0,(TODAY()-Tabela3[[#This Row],[Data da compra]])/365,"")</f>
        <v/>
      </c>
      <c r="P1882" s="7" t="str">
        <f>IFERROR(VLOOKUP(Tabela3[[#This Row],[Categoria]],Cadastros!A:C,3,0),"")</f>
        <v/>
      </c>
      <c r="Q1882" s="9" t="str">
        <f ca="1">IFERROR(Tabela3[[#This Row],[Vida útil]]-Tabela3[[#This Row],[Idade]],"")</f>
        <v/>
      </c>
      <c r="R1882" s="8" t="str">
        <f ca="1">IFERROR(Tabela3[[#This Row],[Valor]]-(Tabela3[[#This Row],[Valor]]*(Tabela3[[#This Row],[Idade]]*VLOOKUP(Tabela3[[#This Row],[Categoria]],Cadastros!A:B,2,0))),"")</f>
        <v/>
      </c>
    </row>
    <row r="1883" spans="4:18" x14ac:dyDescent="0.25">
      <c r="D1883" s="5"/>
      <c r="N1883" s="6" t="str">
        <f>IFERROR(Tabela3[[#This Row],[Última revisão do bem]]+(VLOOKUP(Tabela3[[#This Row],[Categoria]],Cadastros!A:D,4,0)+365),"")</f>
        <v/>
      </c>
      <c r="O1883" s="7" t="str">
        <f ca="1">IF(Tabela3[[#This Row],[Data da compra]]&gt;0,(TODAY()-Tabela3[[#This Row],[Data da compra]])/365,"")</f>
        <v/>
      </c>
      <c r="P1883" s="7" t="str">
        <f>IFERROR(VLOOKUP(Tabela3[[#This Row],[Categoria]],Cadastros!A:C,3,0),"")</f>
        <v/>
      </c>
      <c r="Q1883" s="9" t="str">
        <f ca="1">IFERROR(Tabela3[[#This Row],[Vida útil]]-Tabela3[[#This Row],[Idade]],"")</f>
        <v/>
      </c>
      <c r="R1883" s="8" t="str">
        <f ca="1">IFERROR(Tabela3[[#This Row],[Valor]]-(Tabela3[[#This Row],[Valor]]*(Tabela3[[#This Row],[Idade]]*VLOOKUP(Tabela3[[#This Row],[Categoria]],Cadastros!A:B,2,0))),"")</f>
        <v/>
      </c>
    </row>
    <row r="1884" spans="4:18" x14ac:dyDescent="0.25">
      <c r="D1884" s="5"/>
      <c r="N1884" s="6" t="str">
        <f>IFERROR(Tabela3[[#This Row],[Última revisão do bem]]+(VLOOKUP(Tabela3[[#This Row],[Categoria]],Cadastros!A:D,4,0)+365),"")</f>
        <v/>
      </c>
      <c r="O1884" s="7" t="str">
        <f ca="1">IF(Tabela3[[#This Row],[Data da compra]]&gt;0,(TODAY()-Tabela3[[#This Row],[Data da compra]])/365,"")</f>
        <v/>
      </c>
      <c r="P1884" s="7" t="str">
        <f>IFERROR(VLOOKUP(Tabela3[[#This Row],[Categoria]],Cadastros!A:C,3,0),"")</f>
        <v/>
      </c>
      <c r="Q1884" s="9" t="str">
        <f ca="1">IFERROR(Tabela3[[#This Row],[Vida útil]]-Tabela3[[#This Row],[Idade]],"")</f>
        <v/>
      </c>
      <c r="R1884" s="8" t="str">
        <f ca="1">IFERROR(Tabela3[[#This Row],[Valor]]-(Tabela3[[#This Row],[Valor]]*(Tabela3[[#This Row],[Idade]]*VLOOKUP(Tabela3[[#This Row],[Categoria]],Cadastros!A:B,2,0))),"")</f>
        <v/>
      </c>
    </row>
    <row r="1885" spans="4:18" x14ac:dyDescent="0.25">
      <c r="D1885" s="5"/>
      <c r="N1885" s="6" t="str">
        <f>IFERROR(Tabela3[[#This Row],[Última revisão do bem]]+(VLOOKUP(Tabela3[[#This Row],[Categoria]],Cadastros!A:D,4,0)+365),"")</f>
        <v/>
      </c>
      <c r="O1885" s="7" t="str">
        <f ca="1">IF(Tabela3[[#This Row],[Data da compra]]&gt;0,(TODAY()-Tabela3[[#This Row],[Data da compra]])/365,"")</f>
        <v/>
      </c>
      <c r="P1885" s="7" t="str">
        <f>IFERROR(VLOOKUP(Tabela3[[#This Row],[Categoria]],Cadastros!A:C,3,0),"")</f>
        <v/>
      </c>
      <c r="Q1885" s="9" t="str">
        <f ca="1">IFERROR(Tabela3[[#This Row],[Vida útil]]-Tabela3[[#This Row],[Idade]],"")</f>
        <v/>
      </c>
      <c r="R1885" s="8" t="str">
        <f ca="1">IFERROR(Tabela3[[#This Row],[Valor]]-(Tabela3[[#This Row],[Valor]]*(Tabela3[[#This Row],[Idade]]*VLOOKUP(Tabela3[[#This Row],[Categoria]],Cadastros!A:B,2,0))),"")</f>
        <v/>
      </c>
    </row>
    <row r="1886" spans="4:18" x14ac:dyDescent="0.25">
      <c r="D1886" s="5"/>
      <c r="N1886" s="6" t="str">
        <f>IFERROR(Tabela3[[#This Row],[Última revisão do bem]]+(VLOOKUP(Tabela3[[#This Row],[Categoria]],Cadastros!A:D,4,0)+365),"")</f>
        <v/>
      </c>
      <c r="O1886" s="7" t="str">
        <f ca="1">IF(Tabela3[[#This Row],[Data da compra]]&gt;0,(TODAY()-Tabela3[[#This Row],[Data da compra]])/365,"")</f>
        <v/>
      </c>
      <c r="P1886" s="7" t="str">
        <f>IFERROR(VLOOKUP(Tabela3[[#This Row],[Categoria]],Cadastros!A:C,3,0),"")</f>
        <v/>
      </c>
      <c r="Q1886" s="9" t="str">
        <f ca="1">IFERROR(Tabela3[[#This Row],[Vida útil]]-Tabela3[[#This Row],[Idade]],"")</f>
        <v/>
      </c>
      <c r="R1886" s="8" t="str">
        <f ca="1">IFERROR(Tabela3[[#This Row],[Valor]]-(Tabela3[[#This Row],[Valor]]*(Tabela3[[#This Row],[Idade]]*VLOOKUP(Tabela3[[#This Row],[Categoria]],Cadastros!A:B,2,0))),"")</f>
        <v/>
      </c>
    </row>
    <row r="1887" spans="4:18" x14ac:dyDescent="0.25">
      <c r="D1887" s="5"/>
      <c r="N1887" s="6" t="str">
        <f>IFERROR(Tabela3[[#This Row],[Última revisão do bem]]+(VLOOKUP(Tabela3[[#This Row],[Categoria]],Cadastros!A:D,4,0)+365),"")</f>
        <v/>
      </c>
      <c r="O1887" s="7" t="str">
        <f ca="1">IF(Tabela3[[#This Row],[Data da compra]]&gt;0,(TODAY()-Tabela3[[#This Row],[Data da compra]])/365,"")</f>
        <v/>
      </c>
      <c r="P1887" s="7" t="str">
        <f>IFERROR(VLOOKUP(Tabela3[[#This Row],[Categoria]],Cadastros!A:C,3,0),"")</f>
        <v/>
      </c>
      <c r="Q1887" s="9" t="str">
        <f ca="1">IFERROR(Tabela3[[#This Row],[Vida útil]]-Tabela3[[#This Row],[Idade]],"")</f>
        <v/>
      </c>
      <c r="R1887" s="8" t="str">
        <f ca="1">IFERROR(Tabela3[[#This Row],[Valor]]-(Tabela3[[#This Row],[Valor]]*(Tabela3[[#This Row],[Idade]]*VLOOKUP(Tabela3[[#This Row],[Categoria]],Cadastros!A:B,2,0))),"")</f>
        <v/>
      </c>
    </row>
    <row r="1888" spans="4:18" x14ac:dyDescent="0.25">
      <c r="D1888" s="5"/>
      <c r="N1888" s="6" t="str">
        <f>IFERROR(Tabela3[[#This Row],[Última revisão do bem]]+(VLOOKUP(Tabela3[[#This Row],[Categoria]],Cadastros!A:D,4,0)+365),"")</f>
        <v/>
      </c>
      <c r="O1888" s="7" t="str">
        <f ca="1">IF(Tabela3[[#This Row],[Data da compra]]&gt;0,(TODAY()-Tabela3[[#This Row],[Data da compra]])/365,"")</f>
        <v/>
      </c>
      <c r="P1888" s="7" t="str">
        <f>IFERROR(VLOOKUP(Tabela3[[#This Row],[Categoria]],Cadastros!A:C,3,0),"")</f>
        <v/>
      </c>
      <c r="Q1888" s="9" t="str">
        <f ca="1">IFERROR(Tabela3[[#This Row],[Vida útil]]-Tabela3[[#This Row],[Idade]],"")</f>
        <v/>
      </c>
      <c r="R1888" s="8" t="str">
        <f ca="1">IFERROR(Tabela3[[#This Row],[Valor]]-(Tabela3[[#This Row],[Valor]]*(Tabela3[[#This Row],[Idade]]*VLOOKUP(Tabela3[[#This Row],[Categoria]],Cadastros!A:B,2,0))),"")</f>
        <v/>
      </c>
    </row>
    <row r="1889" spans="4:18" x14ac:dyDescent="0.25">
      <c r="D1889" s="5"/>
      <c r="N1889" s="6" t="str">
        <f>IFERROR(Tabela3[[#This Row],[Última revisão do bem]]+(VLOOKUP(Tabela3[[#This Row],[Categoria]],Cadastros!A:D,4,0)+365),"")</f>
        <v/>
      </c>
      <c r="O1889" s="7" t="str">
        <f ca="1">IF(Tabela3[[#This Row],[Data da compra]]&gt;0,(TODAY()-Tabela3[[#This Row],[Data da compra]])/365,"")</f>
        <v/>
      </c>
      <c r="P1889" s="7" t="str">
        <f>IFERROR(VLOOKUP(Tabela3[[#This Row],[Categoria]],Cadastros!A:C,3,0),"")</f>
        <v/>
      </c>
      <c r="Q1889" s="9" t="str">
        <f ca="1">IFERROR(Tabela3[[#This Row],[Vida útil]]-Tabela3[[#This Row],[Idade]],"")</f>
        <v/>
      </c>
      <c r="R1889" s="8" t="str">
        <f ca="1">IFERROR(Tabela3[[#This Row],[Valor]]-(Tabela3[[#This Row],[Valor]]*(Tabela3[[#This Row],[Idade]]*VLOOKUP(Tabela3[[#This Row],[Categoria]],Cadastros!A:B,2,0))),"")</f>
        <v/>
      </c>
    </row>
    <row r="1890" spans="4:18" x14ac:dyDescent="0.25">
      <c r="D1890" s="5"/>
      <c r="N1890" s="6" t="str">
        <f>IFERROR(Tabela3[[#This Row],[Última revisão do bem]]+(VLOOKUP(Tabela3[[#This Row],[Categoria]],Cadastros!A:D,4,0)+365),"")</f>
        <v/>
      </c>
      <c r="O1890" s="7" t="str">
        <f ca="1">IF(Tabela3[[#This Row],[Data da compra]]&gt;0,(TODAY()-Tabela3[[#This Row],[Data da compra]])/365,"")</f>
        <v/>
      </c>
      <c r="P1890" s="7" t="str">
        <f>IFERROR(VLOOKUP(Tabela3[[#This Row],[Categoria]],Cadastros!A:C,3,0),"")</f>
        <v/>
      </c>
      <c r="Q1890" s="9" t="str">
        <f ca="1">IFERROR(Tabela3[[#This Row],[Vida útil]]-Tabela3[[#This Row],[Idade]],"")</f>
        <v/>
      </c>
      <c r="R1890" s="8" t="str">
        <f ca="1">IFERROR(Tabela3[[#This Row],[Valor]]-(Tabela3[[#This Row],[Valor]]*(Tabela3[[#This Row],[Idade]]*VLOOKUP(Tabela3[[#This Row],[Categoria]],Cadastros!A:B,2,0))),"")</f>
        <v/>
      </c>
    </row>
    <row r="1891" spans="4:18" x14ac:dyDescent="0.25">
      <c r="D1891" s="5"/>
      <c r="N1891" s="6" t="str">
        <f>IFERROR(Tabela3[[#This Row],[Última revisão do bem]]+(VLOOKUP(Tabela3[[#This Row],[Categoria]],Cadastros!A:D,4,0)+365),"")</f>
        <v/>
      </c>
      <c r="O1891" s="7" t="str">
        <f ca="1">IF(Tabela3[[#This Row],[Data da compra]]&gt;0,(TODAY()-Tabela3[[#This Row],[Data da compra]])/365,"")</f>
        <v/>
      </c>
      <c r="P1891" s="7" t="str">
        <f>IFERROR(VLOOKUP(Tabela3[[#This Row],[Categoria]],Cadastros!A:C,3,0),"")</f>
        <v/>
      </c>
      <c r="Q1891" s="9" t="str">
        <f ca="1">IFERROR(Tabela3[[#This Row],[Vida útil]]-Tabela3[[#This Row],[Idade]],"")</f>
        <v/>
      </c>
      <c r="R1891" s="8" t="str">
        <f ca="1">IFERROR(Tabela3[[#This Row],[Valor]]-(Tabela3[[#This Row],[Valor]]*(Tabela3[[#This Row],[Idade]]*VLOOKUP(Tabela3[[#This Row],[Categoria]],Cadastros!A:B,2,0))),"")</f>
        <v/>
      </c>
    </row>
    <row r="1892" spans="4:18" x14ac:dyDescent="0.25">
      <c r="D1892" s="5"/>
      <c r="N1892" s="6" t="str">
        <f>IFERROR(Tabela3[[#This Row],[Última revisão do bem]]+(VLOOKUP(Tabela3[[#This Row],[Categoria]],Cadastros!A:D,4,0)+365),"")</f>
        <v/>
      </c>
      <c r="O1892" s="7" t="str">
        <f ca="1">IF(Tabela3[[#This Row],[Data da compra]]&gt;0,(TODAY()-Tabela3[[#This Row],[Data da compra]])/365,"")</f>
        <v/>
      </c>
      <c r="P1892" s="7" t="str">
        <f>IFERROR(VLOOKUP(Tabela3[[#This Row],[Categoria]],Cadastros!A:C,3,0),"")</f>
        <v/>
      </c>
      <c r="Q1892" s="9" t="str">
        <f ca="1">IFERROR(Tabela3[[#This Row],[Vida útil]]-Tabela3[[#This Row],[Idade]],"")</f>
        <v/>
      </c>
      <c r="R1892" s="8" t="str">
        <f ca="1">IFERROR(Tabela3[[#This Row],[Valor]]-(Tabela3[[#This Row],[Valor]]*(Tabela3[[#This Row],[Idade]]*VLOOKUP(Tabela3[[#This Row],[Categoria]],Cadastros!A:B,2,0))),"")</f>
        <v/>
      </c>
    </row>
    <row r="1893" spans="4:18" x14ac:dyDescent="0.25">
      <c r="D1893" s="5"/>
      <c r="N1893" s="6" t="str">
        <f>IFERROR(Tabela3[[#This Row],[Última revisão do bem]]+(VLOOKUP(Tabela3[[#This Row],[Categoria]],Cadastros!A:D,4,0)+365),"")</f>
        <v/>
      </c>
      <c r="O1893" s="7" t="str">
        <f ca="1">IF(Tabela3[[#This Row],[Data da compra]]&gt;0,(TODAY()-Tabela3[[#This Row],[Data da compra]])/365,"")</f>
        <v/>
      </c>
      <c r="P1893" s="7" t="str">
        <f>IFERROR(VLOOKUP(Tabela3[[#This Row],[Categoria]],Cadastros!A:C,3,0),"")</f>
        <v/>
      </c>
      <c r="Q1893" s="9" t="str">
        <f ca="1">IFERROR(Tabela3[[#This Row],[Vida útil]]-Tabela3[[#This Row],[Idade]],"")</f>
        <v/>
      </c>
      <c r="R1893" s="8" t="str">
        <f ca="1">IFERROR(Tabela3[[#This Row],[Valor]]-(Tabela3[[#This Row],[Valor]]*(Tabela3[[#This Row],[Idade]]*VLOOKUP(Tabela3[[#This Row],[Categoria]],Cadastros!A:B,2,0))),"")</f>
        <v/>
      </c>
    </row>
    <row r="1894" spans="4:18" x14ac:dyDescent="0.25">
      <c r="D1894" s="5"/>
      <c r="N1894" s="6" t="str">
        <f>IFERROR(Tabela3[[#This Row],[Última revisão do bem]]+(VLOOKUP(Tabela3[[#This Row],[Categoria]],Cadastros!A:D,4,0)+365),"")</f>
        <v/>
      </c>
      <c r="O1894" s="7" t="str">
        <f ca="1">IF(Tabela3[[#This Row],[Data da compra]]&gt;0,(TODAY()-Tabela3[[#This Row],[Data da compra]])/365,"")</f>
        <v/>
      </c>
      <c r="P1894" s="7" t="str">
        <f>IFERROR(VLOOKUP(Tabela3[[#This Row],[Categoria]],Cadastros!A:C,3,0),"")</f>
        <v/>
      </c>
      <c r="Q1894" s="9" t="str">
        <f ca="1">IFERROR(Tabela3[[#This Row],[Vida útil]]-Tabela3[[#This Row],[Idade]],"")</f>
        <v/>
      </c>
      <c r="R1894" s="8" t="str">
        <f ca="1">IFERROR(Tabela3[[#This Row],[Valor]]-(Tabela3[[#This Row],[Valor]]*(Tabela3[[#This Row],[Idade]]*VLOOKUP(Tabela3[[#This Row],[Categoria]],Cadastros!A:B,2,0))),"")</f>
        <v/>
      </c>
    </row>
    <row r="1895" spans="4:18" x14ac:dyDescent="0.25">
      <c r="D1895" s="5"/>
      <c r="N1895" s="6" t="str">
        <f>IFERROR(Tabela3[[#This Row],[Última revisão do bem]]+(VLOOKUP(Tabela3[[#This Row],[Categoria]],Cadastros!A:D,4,0)+365),"")</f>
        <v/>
      </c>
      <c r="O1895" s="7" t="str">
        <f ca="1">IF(Tabela3[[#This Row],[Data da compra]]&gt;0,(TODAY()-Tabela3[[#This Row],[Data da compra]])/365,"")</f>
        <v/>
      </c>
      <c r="P1895" s="7" t="str">
        <f>IFERROR(VLOOKUP(Tabela3[[#This Row],[Categoria]],Cadastros!A:C,3,0),"")</f>
        <v/>
      </c>
      <c r="Q1895" s="9" t="str">
        <f ca="1">IFERROR(Tabela3[[#This Row],[Vida útil]]-Tabela3[[#This Row],[Idade]],"")</f>
        <v/>
      </c>
      <c r="R1895" s="8" t="str">
        <f ca="1">IFERROR(Tabela3[[#This Row],[Valor]]-(Tabela3[[#This Row],[Valor]]*(Tabela3[[#This Row],[Idade]]*VLOOKUP(Tabela3[[#This Row],[Categoria]],Cadastros!A:B,2,0))),"")</f>
        <v/>
      </c>
    </row>
    <row r="1896" spans="4:18" x14ac:dyDescent="0.25">
      <c r="D1896" s="5"/>
      <c r="N1896" s="6" t="str">
        <f>IFERROR(Tabela3[[#This Row],[Última revisão do bem]]+(VLOOKUP(Tabela3[[#This Row],[Categoria]],Cadastros!A:D,4,0)+365),"")</f>
        <v/>
      </c>
      <c r="O1896" s="7" t="str">
        <f ca="1">IF(Tabela3[[#This Row],[Data da compra]]&gt;0,(TODAY()-Tabela3[[#This Row],[Data da compra]])/365,"")</f>
        <v/>
      </c>
      <c r="P1896" s="7" t="str">
        <f>IFERROR(VLOOKUP(Tabela3[[#This Row],[Categoria]],Cadastros!A:C,3,0),"")</f>
        <v/>
      </c>
      <c r="Q1896" s="9" t="str">
        <f ca="1">IFERROR(Tabela3[[#This Row],[Vida útil]]-Tabela3[[#This Row],[Idade]],"")</f>
        <v/>
      </c>
      <c r="R1896" s="8" t="str">
        <f ca="1">IFERROR(Tabela3[[#This Row],[Valor]]-(Tabela3[[#This Row],[Valor]]*(Tabela3[[#This Row],[Idade]]*VLOOKUP(Tabela3[[#This Row],[Categoria]],Cadastros!A:B,2,0))),"")</f>
        <v/>
      </c>
    </row>
    <row r="1897" spans="4:18" x14ac:dyDescent="0.25">
      <c r="D1897" s="5"/>
      <c r="N1897" s="6" t="str">
        <f>IFERROR(Tabela3[[#This Row],[Última revisão do bem]]+(VLOOKUP(Tabela3[[#This Row],[Categoria]],Cadastros!A:D,4,0)+365),"")</f>
        <v/>
      </c>
      <c r="O1897" s="7" t="str">
        <f ca="1">IF(Tabela3[[#This Row],[Data da compra]]&gt;0,(TODAY()-Tabela3[[#This Row],[Data da compra]])/365,"")</f>
        <v/>
      </c>
      <c r="P1897" s="7" t="str">
        <f>IFERROR(VLOOKUP(Tabela3[[#This Row],[Categoria]],Cadastros!A:C,3,0),"")</f>
        <v/>
      </c>
      <c r="Q1897" s="9" t="str">
        <f ca="1">IFERROR(Tabela3[[#This Row],[Vida útil]]-Tabela3[[#This Row],[Idade]],"")</f>
        <v/>
      </c>
      <c r="R1897" s="8" t="str">
        <f ca="1">IFERROR(Tabela3[[#This Row],[Valor]]-(Tabela3[[#This Row],[Valor]]*(Tabela3[[#This Row],[Idade]]*VLOOKUP(Tabela3[[#This Row],[Categoria]],Cadastros!A:B,2,0))),"")</f>
        <v/>
      </c>
    </row>
    <row r="1898" spans="4:18" x14ac:dyDescent="0.25">
      <c r="D1898" s="5"/>
      <c r="N1898" s="6" t="str">
        <f>IFERROR(Tabela3[[#This Row],[Última revisão do bem]]+(VLOOKUP(Tabela3[[#This Row],[Categoria]],Cadastros!A:D,4,0)+365),"")</f>
        <v/>
      </c>
      <c r="O1898" s="7" t="str">
        <f ca="1">IF(Tabela3[[#This Row],[Data da compra]]&gt;0,(TODAY()-Tabela3[[#This Row],[Data da compra]])/365,"")</f>
        <v/>
      </c>
      <c r="P1898" s="7" t="str">
        <f>IFERROR(VLOOKUP(Tabela3[[#This Row],[Categoria]],Cadastros!A:C,3,0),"")</f>
        <v/>
      </c>
      <c r="Q1898" s="9" t="str">
        <f ca="1">IFERROR(Tabela3[[#This Row],[Vida útil]]-Tabela3[[#This Row],[Idade]],"")</f>
        <v/>
      </c>
      <c r="R1898" s="8" t="str">
        <f ca="1">IFERROR(Tabela3[[#This Row],[Valor]]-(Tabela3[[#This Row],[Valor]]*(Tabela3[[#This Row],[Idade]]*VLOOKUP(Tabela3[[#This Row],[Categoria]],Cadastros!A:B,2,0))),"")</f>
        <v/>
      </c>
    </row>
    <row r="1899" spans="4:18" x14ac:dyDescent="0.25">
      <c r="D1899" s="5"/>
      <c r="N1899" s="6" t="str">
        <f>IFERROR(Tabela3[[#This Row],[Última revisão do bem]]+(VLOOKUP(Tabela3[[#This Row],[Categoria]],Cadastros!A:D,4,0)+365),"")</f>
        <v/>
      </c>
      <c r="O1899" s="7" t="str">
        <f ca="1">IF(Tabela3[[#This Row],[Data da compra]]&gt;0,(TODAY()-Tabela3[[#This Row],[Data da compra]])/365,"")</f>
        <v/>
      </c>
      <c r="P1899" s="7" t="str">
        <f>IFERROR(VLOOKUP(Tabela3[[#This Row],[Categoria]],Cadastros!A:C,3,0),"")</f>
        <v/>
      </c>
      <c r="Q1899" s="9" t="str">
        <f ca="1">IFERROR(Tabela3[[#This Row],[Vida útil]]-Tabela3[[#This Row],[Idade]],"")</f>
        <v/>
      </c>
      <c r="R1899" s="8" t="str">
        <f ca="1">IFERROR(Tabela3[[#This Row],[Valor]]-(Tabela3[[#This Row],[Valor]]*(Tabela3[[#This Row],[Idade]]*VLOOKUP(Tabela3[[#This Row],[Categoria]],Cadastros!A:B,2,0))),"")</f>
        <v/>
      </c>
    </row>
    <row r="1900" spans="4:18" x14ac:dyDescent="0.25">
      <c r="D1900" s="5"/>
      <c r="N1900" s="6" t="str">
        <f>IFERROR(Tabela3[[#This Row],[Última revisão do bem]]+(VLOOKUP(Tabela3[[#This Row],[Categoria]],Cadastros!A:D,4,0)+365),"")</f>
        <v/>
      </c>
      <c r="O1900" s="7" t="str">
        <f ca="1">IF(Tabela3[[#This Row],[Data da compra]]&gt;0,(TODAY()-Tabela3[[#This Row],[Data da compra]])/365,"")</f>
        <v/>
      </c>
      <c r="P1900" s="7" t="str">
        <f>IFERROR(VLOOKUP(Tabela3[[#This Row],[Categoria]],Cadastros!A:C,3,0),"")</f>
        <v/>
      </c>
      <c r="Q1900" s="9" t="str">
        <f ca="1">IFERROR(Tabela3[[#This Row],[Vida útil]]-Tabela3[[#This Row],[Idade]],"")</f>
        <v/>
      </c>
      <c r="R1900" s="8" t="str">
        <f ca="1">IFERROR(Tabela3[[#This Row],[Valor]]-(Tabela3[[#This Row],[Valor]]*(Tabela3[[#This Row],[Idade]]*VLOOKUP(Tabela3[[#This Row],[Categoria]],Cadastros!A:B,2,0))),"")</f>
        <v/>
      </c>
    </row>
    <row r="1901" spans="4:18" x14ac:dyDescent="0.25">
      <c r="D1901" s="5"/>
      <c r="N1901" s="6" t="str">
        <f>IFERROR(Tabela3[[#This Row],[Última revisão do bem]]+(VLOOKUP(Tabela3[[#This Row],[Categoria]],Cadastros!A:D,4,0)+365),"")</f>
        <v/>
      </c>
      <c r="O1901" s="7" t="str">
        <f ca="1">IF(Tabela3[[#This Row],[Data da compra]]&gt;0,(TODAY()-Tabela3[[#This Row],[Data da compra]])/365,"")</f>
        <v/>
      </c>
      <c r="P1901" s="7" t="str">
        <f>IFERROR(VLOOKUP(Tabela3[[#This Row],[Categoria]],Cadastros!A:C,3,0),"")</f>
        <v/>
      </c>
      <c r="Q1901" s="9" t="str">
        <f ca="1">IFERROR(Tabela3[[#This Row],[Vida útil]]-Tabela3[[#This Row],[Idade]],"")</f>
        <v/>
      </c>
      <c r="R1901" s="8" t="str">
        <f ca="1">IFERROR(Tabela3[[#This Row],[Valor]]-(Tabela3[[#This Row],[Valor]]*(Tabela3[[#This Row],[Idade]]*VLOOKUP(Tabela3[[#This Row],[Categoria]],Cadastros!A:B,2,0))),"")</f>
        <v/>
      </c>
    </row>
    <row r="1902" spans="4:18" x14ac:dyDescent="0.25">
      <c r="D1902" s="5"/>
      <c r="N1902" s="6" t="str">
        <f>IFERROR(Tabela3[[#This Row],[Última revisão do bem]]+(VLOOKUP(Tabela3[[#This Row],[Categoria]],Cadastros!A:D,4,0)+365),"")</f>
        <v/>
      </c>
      <c r="O1902" s="7" t="str">
        <f ca="1">IF(Tabela3[[#This Row],[Data da compra]]&gt;0,(TODAY()-Tabela3[[#This Row],[Data da compra]])/365,"")</f>
        <v/>
      </c>
      <c r="P1902" s="7" t="str">
        <f>IFERROR(VLOOKUP(Tabela3[[#This Row],[Categoria]],Cadastros!A:C,3,0),"")</f>
        <v/>
      </c>
      <c r="Q1902" s="9" t="str">
        <f ca="1">IFERROR(Tabela3[[#This Row],[Vida útil]]-Tabela3[[#This Row],[Idade]],"")</f>
        <v/>
      </c>
      <c r="R1902" s="8" t="str">
        <f ca="1">IFERROR(Tabela3[[#This Row],[Valor]]-(Tabela3[[#This Row],[Valor]]*(Tabela3[[#This Row],[Idade]]*VLOOKUP(Tabela3[[#This Row],[Categoria]],Cadastros!A:B,2,0))),"")</f>
        <v/>
      </c>
    </row>
    <row r="1903" spans="4:18" x14ac:dyDescent="0.25">
      <c r="D1903" s="5"/>
      <c r="N1903" s="6" t="str">
        <f>IFERROR(Tabela3[[#This Row],[Última revisão do bem]]+(VLOOKUP(Tabela3[[#This Row],[Categoria]],Cadastros!A:D,4,0)+365),"")</f>
        <v/>
      </c>
      <c r="O1903" s="7" t="str">
        <f ca="1">IF(Tabela3[[#This Row],[Data da compra]]&gt;0,(TODAY()-Tabela3[[#This Row],[Data da compra]])/365,"")</f>
        <v/>
      </c>
      <c r="P1903" s="7" t="str">
        <f>IFERROR(VLOOKUP(Tabela3[[#This Row],[Categoria]],Cadastros!A:C,3,0),"")</f>
        <v/>
      </c>
      <c r="Q1903" s="9" t="str">
        <f ca="1">IFERROR(Tabela3[[#This Row],[Vida útil]]-Tabela3[[#This Row],[Idade]],"")</f>
        <v/>
      </c>
      <c r="R1903" s="8" t="str">
        <f ca="1">IFERROR(Tabela3[[#This Row],[Valor]]-(Tabela3[[#This Row],[Valor]]*(Tabela3[[#This Row],[Idade]]*VLOOKUP(Tabela3[[#This Row],[Categoria]],Cadastros!A:B,2,0))),"")</f>
        <v/>
      </c>
    </row>
    <row r="1904" spans="4:18" x14ac:dyDescent="0.25">
      <c r="D1904" s="5"/>
      <c r="N1904" s="6" t="str">
        <f>IFERROR(Tabela3[[#This Row],[Última revisão do bem]]+(VLOOKUP(Tabela3[[#This Row],[Categoria]],Cadastros!A:D,4,0)+365),"")</f>
        <v/>
      </c>
      <c r="O1904" s="7" t="str">
        <f ca="1">IF(Tabela3[[#This Row],[Data da compra]]&gt;0,(TODAY()-Tabela3[[#This Row],[Data da compra]])/365,"")</f>
        <v/>
      </c>
      <c r="P1904" s="7" t="str">
        <f>IFERROR(VLOOKUP(Tabela3[[#This Row],[Categoria]],Cadastros!A:C,3,0),"")</f>
        <v/>
      </c>
      <c r="Q1904" s="9" t="str">
        <f ca="1">IFERROR(Tabela3[[#This Row],[Vida útil]]-Tabela3[[#This Row],[Idade]],"")</f>
        <v/>
      </c>
      <c r="R1904" s="8" t="str">
        <f ca="1">IFERROR(Tabela3[[#This Row],[Valor]]-(Tabela3[[#This Row],[Valor]]*(Tabela3[[#This Row],[Idade]]*VLOOKUP(Tabela3[[#This Row],[Categoria]],Cadastros!A:B,2,0))),"")</f>
        <v/>
      </c>
    </row>
    <row r="1905" spans="4:18" x14ac:dyDescent="0.25">
      <c r="D1905" s="5"/>
      <c r="N1905" s="6" t="str">
        <f>IFERROR(Tabela3[[#This Row],[Última revisão do bem]]+(VLOOKUP(Tabela3[[#This Row],[Categoria]],Cadastros!A:D,4,0)+365),"")</f>
        <v/>
      </c>
      <c r="O1905" s="7" t="str">
        <f ca="1">IF(Tabela3[[#This Row],[Data da compra]]&gt;0,(TODAY()-Tabela3[[#This Row],[Data da compra]])/365,"")</f>
        <v/>
      </c>
      <c r="P1905" s="7" t="str">
        <f>IFERROR(VLOOKUP(Tabela3[[#This Row],[Categoria]],Cadastros!A:C,3,0),"")</f>
        <v/>
      </c>
      <c r="Q1905" s="9" t="str">
        <f ca="1">IFERROR(Tabela3[[#This Row],[Vida útil]]-Tabela3[[#This Row],[Idade]],"")</f>
        <v/>
      </c>
      <c r="R1905" s="8" t="str">
        <f ca="1">IFERROR(Tabela3[[#This Row],[Valor]]-(Tabela3[[#This Row],[Valor]]*(Tabela3[[#This Row],[Idade]]*VLOOKUP(Tabela3[[#This Row],[Categoria]],Cadastros!A:B,2,0))),"")</f>
        <v/>
      </c>
    </row>
    <row r="1906" spans="4:18" x14ac:dyDescent="0.25">
      <c r="D1906" s="5"/>
      <c r="N1906" s="6" t="str">
        <f>IFERROR(Tabela3[[#This Row],[Última revisão do bem]]+(VLOOKUP(Tabela3[[#This Row],[Categoria]],Cadastros!A:D,4,0)+365),"")</f>
        <v/>
      </c>
      <c r="O1906" s="7" t="str">
        <f ca="1">IF(Tabela3[[#This Row],[Data da compra]]&gt;0,(TODAY()-Tabela3[[#This Row],[Data da compra]])/365,"")</f>
        <v/>
      </c>
      <c r="P1906" s="7" t="str">
        <f>IFERROR(VLOOKUP(Tabela3[[#This Row],[Categoria]],Cadastros!A:C,3,0),"")</f>
        <v/>
      </c>
      <c r="Q1906" s="9" t="str">
        <f ca="1">IFERROR(Tabela3[[#This Row],[Vida útil]]-Tabela3[[#This Row],[Idade]],"")</f>
        <v/>
      </c>
      <c r="R1906" s="8" t="str">
        <f ca="1">IFERROR(Tabela3[[#This Row],[Valor]]-(Tabela3[[#This Row],[Valor]]*(Tabela3[[#This Row],[Idade]]*VLOOKUP(Tabela3[[#This Row],[Categoria]],Cadastros!A:B,2,0))),"")</f>
        <v/>
      </c>
    </row>
    <row r="1907" spans="4:18" x14ac:dyDescent="0.25">
      <c r="D1907" s="5"/>
      <c r="N1907" s="6" t="str">
        <f>IFERROR(Tabela3[[#This Row],[Última revisão do bem]]+(VLOOKUP(Tabela3[[#This Row],[Categoria]],Cadastros!A:D,4,0)+365),"")</f>
        <v/>
      </c>
      <c r="O1907" s="7" t="str">
        <f ca="1">IF(Tabela3[[#This Row],[Data da compra]]&gt;0,(TODAY()-Tabela3[[#This Row],[Data da compra]])/365,"")</f>
        <v/>
      </c>
      <c r="P1907" s="7" t="str">
        <f>IFERROR(VLOOKUP(Tabela3[[#This Row],[Categoria]],Cadastros!A:C,3,0),"")</f>
        <v/>
      </c>
      <c r="Q1907" s="9" t="str">
        <f ca="1">IFERROR(Tabela3[[#This Row],[Vida útil]]-Tabela3[[#This Row],[Idade]],"")</f>
        <v/>
      </c>
      <c r="R1907" s="8" t="str">
        <f ca="1">IFERROR(Tabela3[[#This Row],[Valor]]-(Tabela3[[#This Row],[Valor]]*(Tabela3[[#This Row],[Idade]]*VLOOKUP(Tabela3[[#This Row],[Categoria]],Cadastros!A:B,2,0))),"")</f>
        <v/>
      </c>
    </row>
    <row r="1908" spans="4:18" x14ac:dyDescent="0.25">
      <c r="D1908" s="5"/>
      <c r="N1908" s="6" t="str">
        <f>IFERROR(Tabela3[[#This Row],[Última revisão do bem]]+(VLOOKUP(Tabela3[[#This Row],[Categoria]],Cadastros!A:D,4,0)+365),"")</f>
        <v/>
      </c>
      <c r="O1908" s="7" t="str">
        <f ca="1">IF(Tabela3[[#This Row],[Data da compra]]&gt;0,(TODAY()-Tabela3[[#This Row],[Data da compra]])/365,"")</f>
        <v/>
      </c>
      <c r="P1908" s="7" t="str">
        <f>IFERROR(VLOOKUP(Tabela3[[#This Row],[Categoria]],Cadastros!A:C,3,0),"")</f>
        <v/>
      </c>
      <c r="Q1908" s="9" t="str">
        <f ca="1">IFERROR(Tabela3[[#This Row],[Vida útil]]-Tabela3[[#This Row],[Idade]],"")</f>
        <v/>
      </c>
      <c r="R1908" s="8" t="str">
        <f ca="1">IFERROR(Tabela3[[#This Row],[Valor]]-(Tabela3[[#This Row],[Valor]]*(Tabela3[[#This Row],[Idade]]*VLOOKUP(Tabela3[[#This Row],[Categoria]],Cadastros!A:B,2,0))),"")</f>
        <v/>
      </c>
    </row>
    <row r="1909" spans="4:18" x14ac:dyDescent="0.25">
      <c r="D1909" s="5"/>
      <c r="N1909" s="6" t="str">
        <f>IFERROR(Tabela3[[#This Row],[Última revisão do bem]]+(VLOOKUP(Tabela3[[#This Row],[Categoria]],Cadastros!A:D,4,0)+365),"")</f>
        <v/>
      </c>
      <c r="O1909" s="7" t="str">
        <f ca="1">IF(Tabela3[[#This Row],[Data da compra]]&gt;0,(TODAY()-Tabela3[[#This Row],[Data da compra]])/365,"")</f>
        <v/>
      </c>
      <c r="P1909" s="7" t="str">
        <f>IFERROR(VLOOKUP(Tabela3[[#This Row],[Categoria]],Cadastros!A:C,3,0),"")</f>
        <v/>
      </c>
      <c r="Q1909" s="9" t="str">
        <f ca="1">IFERROR(Tabela3[[#This Row],[Vida útil]]-Tabela3[[#This Row],[Idade]],"")</f>
        <v/>
      </c>
      <c r="R1909" s="8" t="str">
        <f ca="1">IFERROR(Tabela3[[#This Row],[Valor]]-(Tabela3[[#This Row],[Valor]]*(Tabela3[[#This Row],[Idade]]*VLOOKUP(Tabela3[[#This Row],[Categoria]],Cadastros!A:B,2,0))),"")</f>
        <v/>
      </c>
    </row>
    <row r="1910" spans="4:18" x14ac:dyDescent="0.25">
      <c r="D1910" s="5"/>
      <c r="N1910" s="6" t="str">
        <f>IFERROR(Tabela3[[#This Row],[Última revisão do bem]]+(VLOOKUP(Tabela3[[#This Row],[Categoria]],Cadastros!A:D,4,0)+365),"")</f>
        <v/>
      </c>
      <c r="O1910" s="7" t="str">
        <f ca="1">IF(Tabela3[[#This Row],[Data da compra]]&gt;0,(TODAY()-Tabela3[[#This Row],[Data da compra]])/365,"")</f>
        <v/>
      </c>
      <c r="P1910" s="7" t="str">
        <f>IFERROR(VLOOKUP(Tabela3[[#This Row],[Categoria]],Cadastros!A:C,3,0),"")</f>
        <v/>
      </c>
      <c r="Q1910" s="9" t="str">
        <f ca="1">IFERROR(Tabela3[[#This Row],[Vida útil]]-Tabela3[[#This Row],[Idade]],"")</f>
        <v/>
      </c>
      <c r="R1910" s="8" t="str">
        <f ca="1">IFERROR(Tabela3[[#This Row],[Valor]]-(Tabela3[[#This Row],[Valor]]*(Tabela3[[#This Row],[Idade]]*VLOOKUP(Tabela3[[#This Row],[Categoria]],Cadastros!A:B,2,0))),"")</f>
        <v/>
      </c>
    </row>
    <row r="1911" spans="4:18" x14ac:dyDescent="0.25">
      <c r="D1911" s="5"/>
      <c r="N1911" s="6" t="str">
        <f>IFERROR(Tabela3[[#This Row],[Última revisão do bem]]+(VLOOKUP(Tabela3[[#This Row],[Categoria]],Cadastros!A:D,4,0)+365),"")</f>
        <v/>
      </c>
      <c r="O1911" s="7" t="str">
        <f ca="1">IF(Tabela3[[#This Row],[Data da compra]]&gt;0,(TODAY()-Tabela3[[#This Row],[Data da compra]])/365,"")</f>
        <v/>
      </c>
      <c r="P1911" s="7" t="str">
        <f>IFERROR(VLOOKUP(Tabela3[[#This Row],[Categoria]],Cadastros!A:C,3,0),"")</f>
        <v/>
      </c>
      <c r="Q1911" s="9" t="str">
        <f ca="1">IFERROR(Tabela3[[#This Row],[Vida útil]]-Tabela3[[#This Row],[Idade]],"")</f>
        <v/>
      </c>
      <c r="R1911" s="8" t="str">
        <f ca="1">IFERROR(Tabela3[[#This Row],[Valor]]-(Tabela3[[#This Row],[Valor]]*(Tabela3[[#This Row],[Idade]]*VLOOKUP(Tabela3[[#This Row],[Categoria]],Cadastros!A:B,2,0))),"")</f>
        <v/>
      </c>
    </row>
    <row r="1912" spans="4:18" x14ac:dyDescent="0.25">
      <c r="D1912" s="5"/>
      <c r="N1912" s="6" t="str">
        <f>IFERROR(Tabela3[[#This Row],[Última revisão do bem]]+(VLOOKUP(Tabela3[[#This Row],[Categoria]],Cadastros!A:D,4,0)+365),"")</f>
        <v/>
      </c>
      <c r="O1912" s="7" t="str">
        <f ca="1">IF(Tabela3[[#This Row],[Data da compra]]&gt;0,(TODAY()-Tabela3[[#This Row],[Data da compra]])/365,"")</f>
        <v/>
      </c>
      <c r="P1912" s="7" t="str">
        <f>IFERROR(VLOOKUP(Tabela3[[#This Row],[Categoria]],Cadastros!A:C,3,0),"")</f>
        <v/>
      </c>
      <c r="Q1912" s="9" t="str">
        <f ca="1">IFERROR(Tabela3[[#This Row],[Vida útil]]-Tabela3[[#This Row],[Idade]],"")</f>
        <v/>
      </c>
      <c r="R1912" s="8" t="str">
        <f ca="1">IFERROR(Tabela3[[#This Row],[Valor]]-(Tabela3[[#This Row],[Valor]]*(Tabela3[[#This Row],[Idade]]*VLOOKUP(Tabela3[[#This Row],[Categoria]],Cadastros!A:B,2,0))),"")</f>
        <v/>
      </c>
    </row>
    <row r="1913" spans="4:18" x14ac:dyDescent="0.25">
      <c r="D1913" s="5"/>
      <c r="N1913" s="6" t="str">
        <f>IFERROR(Tabela3[[#This Row],[Última revisão do bem]]+(VLOOKUP(Tabela3[[#This Row],[Categoria]],Cadastros!A:D,4,0)+365),"")</f>
        <v/>
      </c>
      <c r="O1913" s="7" t="str">
        <f ca="1">IF(Tabela3[[#This Row],[Data da compra]]&gt;0,(TODAY()-Tabela3[[#This Row],[Data da compra]])/365,"")</f>
        <v/>
      </c>
      <c r="P1913" s="7" t="str">
        <f>IFERROR(VLOOKUP(Tabela3[[#This Row],[Categoria]],Cadastros!A:C,3,0),"")</f>
        <v/>
      </c>
      <c r="Q1913" s="9" t="str">
        <f ca="1">IFERROR(Tabela3[[#This Row],[Vida útil]]-Tabela3[[#This Row],[Idade]],"")</f>
        <v/>
      </c>
      <c r="R1913" s="8" t="str">
        <f ca="1">IFERROR(Tabela3[[#This Row],[Valor]]-(Tabela3[[#This Row],[Valor]]*(Tabela3[[#This Row],[Idade]]*VLOOKUP(Tabela3[[#This Row],[Categoria]],Cadastros!A:B,2,0))),"")</f>
        <v/>
      </c>
    </row>
    <row r="1914" spans="4:18" x14ac:dyDescent="0.25">
      <c r="D1914" s="22"/>
      <c r="N1914" s="6" t="str">
        <f>IFERROR(Tabela3[[#This Row],[Última revisão do bem]]+(VLOOKUP(Tabela3[[#This Row],[Categoria]],Cadastros!A:D,4,0)+365),"")</f>
        <v/>
      </c>
      <c r="O1914" s="7" t="str">
        <f ca="1">IF(Tabela3[[#This Row],[Data da compra]]&gt;0,(TODAY()-Tabela3[[#This Row],[Data da compra]])/365,"")</f>
        <v/>
      </c>
      <c r="P1914" s="7" t="str">
        <f>IFERROR(VLOOKUP(Tabela3[[#This Row],[Categoria]],Cadastros!A:C,3,0),"")</f>
        <v/>
      </c>
      <c r="Q1914" s="9" t="str">
        <f ca="1">IFERROR(Tabela3[[#This Row],[Vida útil]]-Tabela3[[#This Row],[Idade]],"")</f>
        <v/>
      </c>
      <c r="R1914" s="23" t="str">
        <f ca="1">IFERROR(Tabela3[[#This Row],[Valor]]-(Tabela3[[#This Row],[Valor]]*(Tabela3[[#This Row],[Idade]]*VLOOKUP(Tabela3[[#This Row],[Categoria]],Cadastros!A:B,2,0))),"")</f>
        <v/>
      </c>
    </row>
    <row r="1915" spans="4:18" x14ac:dyDescent="0.25">
      <c r="D1915" s="5"/>
      <c r="N1915" s="6" t="str">
        <f>IFERROR(Tabela3[[#This Row],[Última revisão do bem]]+(VLOOKUP(Tabela3[[#This Row],[Categoria]],Cadastros!A:D,4,0)+365),"")</f>
        <v/>
      </c>
      <c r="O1915" s="7" t="str">
        <f ca="1">IF(Tabela3[[#This Row],[Data da compra]]&gt;0,(TODAY()-Tabela3[[#This Row],[Data da compra]])/365,"")</f>
        <v/>
      </c>
      <c r="P1915" s="7" t="str">
        <f>IFERROR(VLOOKUP(Tabela3[[#This Row],[Categoria]],Cadastros!A:C,3,0),"")</f>
        <v/>
      </c>
      <c r="Q1915" s="9" t="str">
        <f ca="1">IFERROR(Tabela3[[#This Row],[Vida útil]]-Tabela3[[#This Row],[Idade]],"")</f>
        <v/>
      </c>
      <c r="R1915" s="8" t="str">
        <f ca="1">IFERROR(Tabela3[[#This Row],[Valor]]-(Tabela3[[#This Row],[Valor]]*(Tabela3[[#This Row],[Idade]]*VLOOKUP(Tabela3[[#This Row],[Categoria]],Cadastros!A:B,2,0))),"")</f>
        <v/>
      </c>
    </row>
    <row r="1916" spans="4:18" x14ac:dyDescent="0.25">
      <c r="D1916" s="5"/>
      <c r="N1916" s="6" t="str">
        <f>IFERROR(Tabela3[[#This Row],[Última revisão do bem]]+(VLOOKUP(Tabela3[[#This Row],[Categoria]],Cadastros!A:D,4,0)+365),"")</f>
        <v/>
      </c>
      <c r="O1916" s="7" t="str">
        <f ca="1">IF(Tabela3[[#This Row],[Data da compra]]&gt;0,(TODAY()-Tabela3[[#This Row],[Data da compra]])/365,"")</f>
        <v/>
      </c>
      <c r="P1916" s="7" t="str">
        <f>IFERROR(VLOOKUP(Tabela3[[#This Row],[Categoria]],Cadastros!A:C,3,0),"")</f>
        <v/>
      </c>
      <c r="Q1916" s="9" t="str">
        <f ca="1">IFERROR(Tabela3[[#This Row],[Vida útil]]-Tabela3[[#This Row],[Idade]],"")</f>
        <v/>
      </c>
      <c r="R1916" s="8" t="str">
        <f ca="1">IFERROR(Tabela3[[#This Row],[Valor]]-(Tabela3[[#This Row],[Valor]]*(Tabela3[[#This Row],[Idade]]*VLOOKUP(Tabela3[[#This Row],[Categoria]],Cadastros!A:B,2,0))),"")</f>
        <v/>
      </c>
    </row>
    <row r="1917" spans="4:18" x14ac:dyDescent="0.25">
      <c r="D1917" s="5"/>
      <c r="N1917" s="6" t="str">
        <f>IFERROR(Tabela3[[#This Row],[Última revisão do bem]]+(VLOOKUP(Tabela3[[#This Row],[Categoria]],Cadastros!A:D,4,0)+365),"")</f>
        <v/>
      </c>
      <c r="O1917" s="7" t="str">
        <f ca="1">IF(Tabela3[[#This Row],[Data da compra]]&gt;0,(TODAY()-Tabela3[[#This Row],[Data da compra]])/365,"")</f>
        <v/>
      </c>
      <c r="P1917" s="7" t="str">
        <f>IFERROR(VLOOKUP(Tabela3[[#This Row],[Categoria]],Cadastros!A:C,3,0),"")</f>
        <v/>
      </c>
      <c r="Q1917" s="9" t="str">
        <f ca="1">IFERROR(Tabela3[[#This Row],[Vida útil]]-Tabela3[[#This Row],[Idade]],"")</f>
        <v/>
      </c>
      <c r="R1917" s="8" t="str">
        <f ca="1">IFERROR(Tabela3[[#This Row],[Valor]]-(Tabela3[[#This Row],[Valor]]*(Tabela3[[#This Row],[Idade]]*VLOOKUP(Tabela3[[#This Row],[Categoria]],Cadastros!A:B,2,0))),"")</f>
        <v/>
      </c>
    </row>
    <row r="1918" spans="4:18" x14ac:dyDescent="0.25">
      <c r="D1918" s="5"/>
      <c r="N1918" s="6" t="str">
        <f>IFERROR(Tabela3[[#This Row],[Última revisão do bem]]+(VLOOKUP(Tabela3[[#This Row],[Categoria]],Cadastros!A:D,4,0)+365),"")</f>
        <v/>
      </c>
      <c r="O1918" s="7" t="str">
        <f ca="1">IF(Tabela3[[#This Row],[Data da compra]]&gt;0,(TODAY()-Tabela3[[#This Row],[Data da compra]])/365,"")</f>
        <v/>
      </c>
      <c r="P1918" s="7" t="str">
        <f>IFERROR(VLOOKUP(Tabela3[[#This Row],[Categoria]],Cadastros!A:C,3,0),"")</f>
        <v/>
      </c>
      <c r="Q1918" s="9" t="str">
        <f ca="1">IFERROR(Tabela3[[#This Row],[Vida útil]]-Tabela3[[#This Row],[Idade]],"")</f>
        <v/>
      </c>
      <c r="R1918" s="8" t="str">
        <f ca="1">IFERROR(Tabela3[[#This Row],[Valor]]-(Tabela3[[#This Row],[Valor]]*(Tabela3[[#This Row],[Idade]]*VLOOKUP(Tabela3[[#This Row],[Categoria]],Cadastros!A:B,2,0))),"")</f>
        <v/>
      </c>
    </row>
    <row r="1919" spans="4:18" x14ac:dyDescent="0.25">
      <c r="D1919" s="5"/>
      <c r="N1919" s="6" t="str">
        <f>IFERROR(Tabela3[[#This Row],[Última revisão do bem]]+(VLOOKUP(Tabela3[[#This Row],[Categoria]],Cadastros!A:D,4,0)+365),"")</f>
        <v/>
      </c>
      <c r="O1919" s="7" t="str">
        <f ca="1">IF(Tabela3[[#This Row],[Data da compra]]&gt;0,(TODAY()-Tabela3[[#This Row],[Data da compra]])/365,"")</f>
        <v/>
      </c>
      <c r="P1919" s="7" t="str">
        <f>IFERROR(VLOOKUP(Tabela3[[#This Row],[Categoria]],Cadastros!A:C,3,0),"")</f>
        <v/>
      </c>
      <c r="Q1919" s="9" t="str">
        <f ca="1">IFERROR(Tabela3[[#This Row],[Vida útil]]-Tabela3[[#This Row],[Idade]],"")</f>
        <v/>
      </c>
      <c r="R1919" s="8" t="str">
        <f ca="1">IFERROR(Tabela3[[#This Row],[Valor]]-(Tabela3[[#This Row],[Valor]]*(Tabela3[[#This Row],[Idade]]*VLOOKUP(Tabela3[[#This Row],[Categoria]],Cadastros!A:B,2,0))),"")</f>
        <v/>
      </c>
    </row>
    <row r="1920" spans="4:18" x14ac:dyDescent="0.25">
      <c r="D1920" s="5"/>
      <c r="N1920" s="6" t="str">
        <f>IFERROR(Tabela3[[#This Row],[Última revisão do bem]]+(VLOOKUP(Tabela3[[#This Row],[Categoria]],Cadastros!A:D,4,0)+365),"")</f>
        <v/>
      </c>
      <c r="O1920" s="7" t="str">
        <f ca="1">IF(Tabela3[[#This Row],[Data da compra]]&gt;0,(TODAY()-Tabela3[[#This Row],[Data da compra]])/365,"")</f>
        <v/>
      </c>
      <c r="P1920" s="7" t="str">
        <f>IFERROR(VLOOKUP(Tabela3[[#This Row],[Categoria]],Cadastros!A:C,3,0),"")</f>
        <v/>
      </c>
      <c r="Q1920" s="9" t="str">
        <f ca="1">IFERROR(Tabela3[[#This Row],[Vida útil]]-Tabela3[[#This Row],[Idade]],"")</f>
        <v/>
      </c>
      <c r="R1920" s="8" t="str">
        <f ca="1">IFERROR(Tabela3[[#This Row],[Valor]]-(Tabela3[[#This Row],[Valor]]*(Tabela3[[#This Row],[Idade]]*VLOOKUP(Tabela3[[#This Row],[Categoria]],Cadastros!A:B,2,0))),"")</f>
        <v/>
      </c>
    </row>
    <row r="1921" spans="4:18" x14ac:dyDescent="0.25">
      <c r="D1921" s="5"/>
      <c r="N1921" s="6" t="str">
        <f>IFERROR(Tabela3[[#This Row],[Última revisão do bem]]+(VLOOKUP(Tabela3[[#This Row],[Categoria]],Cadastros!A:D,4,0)+365),"")</f>
        <v/>
      </c>
      <c r="O1921" s="7" t="str">
        <f ca="1">IF(Tabela3[[#This Row],[Data da compra]]&gt;0,(TODAY()-Tabela3[[#This Row],[Data da compra]])/365,"")</f>
        <v/>
      </c>
      <c r="P1921" s="7" t="str">
        <f>IFERROR(VLOOKUP(Tabela3[[#This Row],[Categoria]],Cadastros!A:C,3,0),"")</f>
        <v/>
      </c>
      <c r="Q1921" s="9" t="str">
        <f ca="1">IFERROR(Tabela3[[#This Row],[Vida útil]]-Tabela3[[#This Row],[Idade]],"")</f>
        <v/>
      </c>
      <c r="R1921" s="8" t="str">
        <f ca="1">IFERROR(Tabela3[[#This Row],[Valor]]-(Tabela3[[#This Row],[Valor]]*(Tabela3[[#This Row],[Idade]]*VLOOKUP(Tabela3[[#This Row],[Categoria]],Cadastros!A:B,2,0))),"")</f>
        <v/>
      </c>
    </row>
    <row r="1922" spans="4:18" x14ac:dyDescent="0.25">
      <c r="D1922" s="5"/>
      <c r="N1922" s="6" t="str">
        <f>IFERROR(Tabela3[[#This Row],[Última revisão do bem]]+(VLOOKUP(Tabela3[[#This Row],[Categoria]],Cadastros!A:D,4,0)+365),"")</f>
        <v/>
      </c>
      <c r="O1922" s="7" t="str">
        <f ca="1">IF(Tabela3[[#This Row],[Data da compra]]&gt;0,(TODAY()-Tabela3[[#This Row],[Data da compra]])/365,"")</f>
        <v/>
      </c>
      <c r="P1922" s="7" t="str">
        <f>IFERROR(VLOOKUP(Tabela3[[#This Row],[Categoria]],Cadastros!A:C,3,0),"")</f>
        <v/>
      </c>
      <c r="Q1922" s="9" t="str">
        <f ca="1">IFERROR(Tabela3[[#This Row],[Vida útil]]-Tabela3[[#This Row],[Idade]],"")</f>
        <v/>
      </c>
      <c r="R1922" s="8" t="str">
        <f ca="1">IFERROR(Tabela3[[#This Row],[Valor]]-(Tabela3[[#This Row],[Valor]]*(Tabela3[[#This Row],[Idade]]*VLOOKUP(Tabela3[[#This Row],[Categoria]],Cadastros!A:B,2,0))),"")</f>
        <v/>
      </c>
    </row>
    <row r="1923" spans="4:18" x14ac:dyDescent="0.25">
      <c r="D1923" s="5"/>
      <c r="N1923" s="6" t="str">
        <f>IFERROR(Tabela3[[#This Row],[Última revisão do bem]]+(VLOOKUP(Tabela3[[#This Row],[Categoria]],Cadastros!A:D,4,0)+365),"")</f>
        <v/>
      </c>
      <c r="O1923" s="7" t="str">
        <f ca="1">IF(Tabela3[[#This Row],[Data da compra]]&gt;0,(TODAY()-Tabela3[[#This Row],[Data da compra]])/365,"")</f>
        <v/>
      </c>
      <c r="P1923" s="7" t="str">
        <f>IFERROR(VLOOKUP(Tabela3[[#This Row],[Categoria]],Cadastros!A:C,3,0),"")</f>
        <v/>
      </c>
      <c r="Q1923" s="9" t="str">
        <f ca="1">IFERROR(Tabela3[[#This Row],[Vida útil]]-Tabela3[[#This Row],[Idade]],"")</f>
        <v/>
      </c>
      <c r="R1923" s="8" t="str">
        <f ca="1">IFERROR(Tabela3[[#This Row],[Valor]]-(Tabela3[[#This Row],[Valor]]*(Tabela3[[#This Row],[Idade]]*VLOOKUP(Tabela3[[#This Row],[Categoria]],Cadastros!A:B,2,0))),"")</f>
        <v/>
      </c>
    </row>
    <row r="1924" spans="4:18" x14ac:dyDescent="0.25">
      <c r="D1924" s="5"/>
      <c r="N1924" s="6" t="str">
        <f>IFERROR(Tabela3[[#This Row],[Última revisão do bem]]+(VLOOKUP(Tabela3[[#This Row],[Categoria]],Cadastros!A:D,4,0)+365),"")</f>
        <v/>
      </c>
      <c r="O1924" s="7" t="str">
        <f ca="1">IF(Tabela3[[#This Row],[Data da compra]]&gt;0,(TODAY()-Tabela3[[#This Row],[Data da compra]])/365,"")</f>
        <v/>
      </c>
      <c r="P1924" s="7" t="str">
        <f>IFERROR(VLOOKUP(Tabela3[[#This Row],[Categoria]],Cadastros!A:C,3,0),"")</f>
        <v/>
      </c>
      <c r="Q1924" s="9" t="str">
        <f ca="1">IFERROR(Tabela3[[#This Row],[Vida útil]]-Tabela3[[#This Row],[Idade]],"")</f>
        <v/>
      </c>
      <c r="R1924" s="8" t="str">
        <f ca="1">IFERROR(Tabela3[[#This Row],[Valor]]-(Tabela3[[#This Row],[Valor]]*(Tabela3[[#This Row],[Idade]]*VLOOKUP(Tabela3[[#This Row],[Categoria]],Cadastros!A:B,2,0))),"")</f>
        <v/>
      </c>
    </row>
    <row r="1925" spans="4:18" x14ac:dyDescent="0.25">
      <c r="D1925" s="5"/>
      <c r="N1925" s="6" t="str">
        <f>IFERROR(Tabela3[[#This Row],[Última revisão do bem]]+(VLOOKUP(Tabela3[[#This Row],[Categoria]],Cadastros!A:D,4,0)+365),"")</f>
        <v/>
      </c>
      <c r="O1925" s="7" t="str">
        <f ca="1">IF(Tabela3[[#This Row],[Data da compra]]&gt;0,(TODAY()-Tabela3[[#This Row],[Data da compra]])/365,"")</f>
        <v/>
      </c>
      <c r="P1925" s="7" t="str">
        <f>IFERROR(VLOOKUP(Tabela3[[#This Row],[Categoria]],Cadastros!A:C,3,0),"")</f>
        <v/>
      </c>
      <c r="Q1925" s="9" t="str">
        <f ca="1">IFERROR(Tabela3[[#This Row],[Vida útil]]-Tabela3[[#This Row],[Idade]],"")</f>
        <v/>
      </c>
      <c r="R1925" s="8" t="str">
        <f ca="1">IFERROR(Tabela3[[#This Row],[Valor]]-(Tabela3[[#This Row],[Valor]]*(Tabela3[[#This Row],[Idade]]*VLOOKUP(Tabela3[[#This Row],[Categoria]],Cadastros!A:B,2,0))),"")</f>
        <v/>
      </c>
    </row>
    <row r="1926" spans="4:18" x14ac:dyDescent="0.25">
      <c r="D1926" s="5"/>
      <c r="N1926" s="6" t="str">
        <f>IFERROR(Tabela3[[#This Row],[Última revisão do bem]]+(VLOOKUP(Tabela3[[#This Row],[Categoria]],Cadastros!A:D,4,0)+365),"")</f>
        <v/>
      </c>
      <c r="O1926" s="7" t="str">
        <f ca="1">IF(Tabela3[[#This Row],[Data da compra]]&gt;0,(TODAY()-Tabela3[[#This Row],[Data da compra]])/365,"")</f>
        <v/>
      </c>
      <c r="P1926" s="7" t="str">
        <f>IFERROR(VLOOKUP(Tabela3[[#This Row],[Categoria]],Cadastros!A:C,3,0),"")</f>
        <v/>
      </c>
      <c r="Q1926" s="9" t="str">
        <f ca="1">IFERROR(Tabela3[[#This Row],[Vida útil]]-Tabela3[[#This Row],[Idade]],"")</f>
        <v/>
      </c>
      <c r="R1926" s="8" t="str">
        <f ca="1">IFERROR(Tabela3[[#This Row],[Valor]]-(Tabela3[[#This Row],[Valor]]*(Tabela3[[#This Row],[Idade]]*VLOOKUP(Tabela3[[#This Row],[Categoria]],Cadastros!A:B,2,0))),"")</f>
        <v/>
      </c>
    </row>
    <row r="1927" spans="4:18" x14ac:dyDescent="0.25">
      <c r="D1927" s="5"/>
      <c r="N1927" s="6" t="str">
        <f>IFERROR(Tabela3[[#This Row],[Última revisão do bem]]+(VLOOKUP(Tabela3[[#This Row],[Categoria]],Cadastros!A:D,4,0)+365),"")</f>
        <v/>
      </c>
      <c r="O1927" s="7" t="str">
        <f ca="1">IF(Tabela3[[#This Row],[Data da compra]]&gt;0,(TODAY()-Tabela3[[#This Row],[Data da compra]])/365,"")</f>
        <v/>
      </c>
      <c r="P1927" s="7" t="str">
        <f>IFERROR(VLOOKUP(Tabela3[[#This Row],[Categoria]],Cadastros!A:C,3,0),"")</f>
        <v/>
      </c>
      <c r="Q1927" s="9" t="str">
        <f ca="1">IFERROR(Tabela3[[#This Row],[Vida útil]]-Tabela3[[#This Row],[Idade]],"")</f>
        <v/>
      </c>
      <c r="R1927" s="8" t="str">
        <f ca="1">IFERROR(Tabela3[[#This Row],[Valor]]-(Tabela3[[#This Row],[Valor]]*(Tabela3[[#This Row],[Idade]]*VLOOKUP(Tabela3[[#This Row],[Categoria]],Cadastros!A:B,2,0))),"")</f>
        <v/>
      </c>
    </row>
    <row r="1928" spans="4:18" x14ac:dyDescent="0.25">
      <c r="D1928" s="5"/>
      <c r="N1928" s="6" t="str">
        <f>IFERROR(Tabela3[[#This Row],[Última revisão do bem]]+(VLOOKUP(Tabela3[[#This Row],[Categoria]],Cadastros!A:D,4,0)+365),"")</f>
        <v/>
      </c>
      <c r="O1928" s="7" t="str">
        <f ca="1">IF(Tabela3[[#This Row],[Data da compra]]&gt;0,(TODAY()-Tabela3[[#This Row],[Data da compra]])/365,"")</f>
        <v/>
      </c>
      <c r="P1928" s="7" t="str">
        <f>IFERROR(VLOOKUP(Tabela3[[#This Row],[Categoria]],Cadastros!A:C,3,0),"")</f>
        <v/>
      </c>
      <c r="Q1928" s="9" t="str">
        <f ca="1">IFERROR(Tabela3[[#This Row],[Vida útil]]-Tabela3[[#This Row],[Idade]],"")</f>
        <v/>
      </c>
      <c r="R1928" s="8" t="str">
        <f ca="1">IFERROR(Tabela3[[#This Row],[Valor]]-(Tabela3[[#This Row],[Valor]]*(Tabela3[[#This Row],[Idade]]*VLOOKUP(Tabela3[[#This Row],[Categoria]],Cadastros!A:B,2,0))),"")</f>
        <v/>
      </c>
    </row>
    <row r="1929" spans="4:18" x14ac:dyDescent="0.25">
      <c r="D1929" s="5"/>
      <c r="N1929" s="6" t="str">
        <f>IFERROR(Tabela3[[#This Row],[Última revisão do bem]]+(VLOOKUP(Tabela3[[#This Row],[Categoria]],Cadastros!A:D,4,0)+365),"")</f>
        <v/>
      </c>
      <c r="O1929" s="7" t="str">
        <f ca="1">IF(Tabela3[[#This Row],[Data da compra]]&gt;0,(TODAY()-Tabela3[[#This Row],[Data da compra]])/365,"")</f>
        <v/>
      </c>
      <c r="P1929" s="7" t="str">
        <f>IFERROR(VLOOKUP(Tabela3[[#This Row],[Categoria]],Cadastros!A:C,3,0),"")</f>
        <v/>
      </c>
      <c r="Q1929" s="9" t="str">
        <f ca="1">IFERROR(Tabela3[[#This Row],[Vida útil]]-Tabela3[[#This Row],[Idade]],"")</f>
        <v/>
      </c>
      <c r="R1929" s="8" t="str">
        <f ca="1">IFERROR(Tabela3[[#This Row],[Valor]]-(Tabela3[[#This Row],[Valor]]*(Tabela3[[#This Row],[Idade]]*VLOOKUP(Tabela3[[#This Row],[Categoria]],Cadastros!A:B,2,0))),"")</f>
        <v/>
      </c>
    </row>
    <row r="1930" spans="4:18" x14ac:dyDescent="0.25">
      <c r="D1930" s="5"/>
      <c r="N1930" s="6" t="str">
        <f>IFERROR(Tabela3[[#This Row],[Última revisão do bem]]+(VLOOKUP(Tabela3[[#This Row],[Categoria]],Cadastros!A:D,4,0)+365),"")</f>
        <v/>
      </c>
      <c r="O1930" s="7" t="str">
        <f ca="1">IF(Tabela3[[#This Row],[Data da compra]]&gt;0,(TODAY()-Tabela3[[#This Row],[Data da compra]])/365,"")</f>
        <v/>
      </c>
      <c r="P1930" s="7" t="str">
        <f>IFERROR(VLOOKUP(Tabela3[[#This Row],[Categoria]],Cadastros!A:C,3,0),"")</f>
        <v/>
      </c>
      <c r="Q1930" s="9" t="str">
        <f ca="1">IFERROR(Tabela3[[#This Row],[Vida útil]]-Tabela3[[#This Row],[Idade]],"")</f>
        <v/>
      </c>
      <c r="R1930" s="8" t="str">
        <f ca="1">IFERROR(Tabela3[[#This Row],[Valor]]-(Tabela3[[#This Row],[Valor]]*(Tabela3[[#This Row],[Idade]]*VLOOKUP(Tabela3[[#This Row],[Categoria]],Cadastros!A:B,2,0))),"")</f>
        <v/>
      </c>
    </row>
    <row r="1931" spans="4:18" x14ac:dyDescent="0.25">
      <c r="D1931" s="5"/>
      <c r="N1931" s="6" t="str">
        <f>IFERROR(Tabela3[[#This Row],[Última revisão do bem]]+(VLOOKUP(Tabela3[[#This Row],[Categoria]],Cadastros!A:D,4,0)+365),"")</f>
        <v/>
      </c>
      <c r="O1931" s="7" t="str">
        <f ca="1">IF(Tabela3[[#This Row],[Data da compra]]&gt;0,(TODAY()-Tabela3[[#This Row],[Data da compra]])/365,"")</f>
        <v/>
      </c>
      <c r="P1931" s="7" t="str">
        <f>IFERROR(VLOOKUP(Tabela3[[#This Row],[Categoria]],Cadastros!A:C,3,0),"")</f>
        <v/>
      </c>
      <c r="Q1931" s="9" t="str">
        <f ca="1">IFERROR(Tabela3[[#This Row],[Vida útil]]-Tabela3[[#This Row],[Idade]],"")</f>
        <v/>
      </c>
      <c r="R1931" s="8" t="str">
        <f ca="1">IFERROR(Tabela3[[#This Row],[Valor]]-(Tabela3[[#This Row],[Valor]]*(Tabela3[[#This Row],[Idade]]*VLOOKUP(Tabela3[[#This Row],[Categoria]],Cadastros!A:B,2,0))),"")</f>
        <v/>
      </c>
    </row>
    <row r="1932" spans="4:18" x14ac:dyDescent="0.25">
      <c r="D1932" s="22"/>
      <c r="N1932" s="6" t="str">
        <f>IFERROR(Tabela3[[#This Row],[Última revisão do bem]]+(VLOOKUP(Tabela3[[#This Row],[Categoria]],Cadastros!A:D,4,0)+365),"")</f>
        <v/>
      </c>
      <c r="O1932" s="7" t="str">
        <f ca="1">IF(Tabela3[[#This Row],[Data da compra]]&gt;0,(TODAY()-Tabela3[[#This Row],[Data da compra]])/365,"")</f>
        <v/>
      </c>
      <c r="P1932" s="7" t="str">
        <f>IFERROR(VLOOKUP(Tabela3[[#This Row],[Categoria]],Cadastros!A:C,3,0),"")</f>
        <v/>
      </c>
      <c r="Q1932" s="9" t="str">
        <f ca="1">IFERROR(Tabela3[[#This Row],[Vida útil]]-Tabela3[[#This Row],[Idade]],"")</f>
        <v/>
      </c>
      <c r="R1932" s="23" t="str">
        <f ca="1">IFERROR(Tabela3[[#This Row],[Valor]]-(Tabela3[[#This Row],[Valor]]*(Tabela3[[#This Row],[Idade]]*VLOOKUP(Tabela3[[#This Row],[Categoria]],Cadastros!A:B,2,0))),"")</f>
        <v/>
      </c>
    </row>
    <row r="1933" spans="4:18" x14ac:dyDescent="0.25">
      <c r="D1933" s="5"/>
      <c r="N1933" s="6" t="str">
        <f>IFERROR(Tabela3[[#This Row],[Última revisão do bem]]+(VLOOKUP(Tabela3[[#This Row],[Categoria]],Cadastros!A:D,4,0)+365),"")</f>
        <v/>
      </c>
      <c r="O1933" s="7" t="str">
        <f ca="1">IF(Tabela3[[#This Row],[Data da compra]]&gt;0,(TODAY()-Tabela3[[#This Row],[Data da compra]])/365,"")</f>
        <v/>
      </c>
      <c r="P1933" s="7" t="str">
        <f>IFERROR(VLOOKUP(Tabela3[[#This Row],[Categoria]],Cadastros!A:C,3,0),"")</f>
        <v/>
      </c>
      <c r="Q1933" s="9" t="str">
        <f ca="1">IFERROR(Tabela3[[#This Row],[Vida útil]]-Tabela3[[#This Row],[Idade]],"")</f>
        <v/>
      </c>
      <c r="R1933" s="8" t="str">
        <f ca="1">IFERROR(Tabela3[[#This Row],[Valor]]-(Tabela3[[#This Row],[Valor]]*(Tabela3[[#This Row],[Idade]]*VLOOKUP(Tabela3[[#This Row],[Categoria]],Cadastros!A:B,2,0))),"")</f>
        <v/>
      </c>
    </row>
    <row r="1934" spans="4:18" x14ac:dyDescent="0.25">
      <c r="D1934" s="5"/>
      <c r="N1934" s="6" t="str">
        <f>IFERROR(Tabela3[[#This Row],[Última revisão do bem]]+(VLOOKUP(Tabela3[[#This Row],[Categoria]],Cadastros!A:D,4,0)+365),"")</f>
        <v/>
      </c>
      <c r="O1934" s="7" t="str">
        <f ca="1">IF(Tabela3[[#This Row],[Data da compra]]&gt;0,(TODAY()-Tabela3[[#This Row],[Data da compra]])/365,"")</f>
        <v/>
      </c>
      <c r="P1934" s="7" t="str">
        <f>IFERROR(VLOOKUP(Tabela3[[#This Row],[Categoria]],Cadastros!A:C,3,0),"")</f>
        <v/>
      </c>
      <c r="Q1934" s="9" t="str">
        <f ca="1">IFERROR(Tabela3[[#This Row],[Vida útil]]-Tabela3[[#This Row],[Idade]],"")</f>
        <v/>
      </c>
      <c r="R1934" s="8" t="str">
        <f ca="1">IFERROR(Tabela3[[#This Row],[Valor]]-(Tabela3[[#This Row],[Valor]]*(Tabela3[[#This Row],[Idade]]*VLOOKUP(Tabela3[[#This Row],[Categoria]],Cadastros!A:B,2,0))),"")</f>
        <v/>
      </c>
    </row>
    <row r="1935" spans="4:18" x14ac:dyDescent="0.25">
      <c r="D1935" s="5"/>
      <c r="N1935" s="6" t="str">
        <f>IFERROR(Tabela3[[#This Row],[Última revisão do bem]]+(VLOOKUP(Tabela3[[#This Row],[Categoria]],Cadastros!A:D,4,0)+365),"")</f>
        <v/>
      </c>
      <c r="O1935" s="7" t="str">
        <f ca="1">IF(Tabela3[[#This Row],[Data da compra]]&gt;0,(TODAY()-Tabela3[[#This Row],[Data da compra]])/365,"")</f>
        <v/>
      </c>
      <c r="P1935" s="7" t="str">
        <f>IFERROR(VLOOKUP(Tabela3[[#This Row],[Categoria]],Cadastros!A:C,3,0),"")</f>
        <v/>
      </c>
      <c r="Q1935" s="9" t="str">
        <f ca="1">IFERROR(Tabela3[[#This Row],[Vida útil]]-Tabela3[[#This Row],[Idade]],"")</f>
        <v/>
      </c>
      <c r="R1935" s="8" t="str">
        <f ca="1">IFERROR(Tabela3[[#This Row],[Valor]]-(Tabela3[[#This Row],[Valor]]*(Tabela3[[#This Row],[Idade]]*VLOOKUP(Tabela3[[#This Row],[Categoria]],Cadastros!A:B,2,0))),"")</f>
        <v/>
      </c>
    </row>
    <row r="1936" spans="4:18" x14ac:dyDescent="0.25">
      <c r="D1936" s="5"/>
      <c r="N1936" s="6" t="str">
        <f>IFERROR(Tabela3[[#This Row],[Última revisão do bem]]+(VLOOKUP(Tabela3[[#This Row],[Categoria]],Cadastros!A:D,4,0)+365),"")</f>
        <v/>
      </c>
      <c r="O1936" s="7" t="str">
        <f ca="1">IF(Tabela3[[#This Row],[Data da compra]]&gt;0,(TODAY()-Tabela3[[#This Row],[Data da compra]])/365,"")</f>
        <v/>
      </c>
      <c r="P1936" s="7" t="str">
        <f>IFERROR(VLOOKUP(Tabela3[[#This Row],[Categoria]],Cadastros!A:C,3,0),"")</f>
        <v/>
      </c>
      <c r="Q1936" s="9" t="str">
        <f ca="1">IFERROR(Tabela3[[#This Row],[Vida útil]]-Tabela3[[#This Row],[Idade]],"")</f>
        <v/>
      </c>
      <c r="R1936" s="8" t="str">
        <f ca="1">IFERROR(Tabela3[[#This Row],[Valor]]-(Tabela3[[#This Row],[Valor]]*(Tabela3[[#This Row],[Idade]]*VLOOKUP(Tabela3[[#This Row],[Categoria]],Cadastros!A:B,2,0))),"")</f>
        <v/>
      </c>
    </row>
    <row r="1937" spans="4:18" x14ac:dyDescent="0.25">
      <c r="D1937" s="5"/>
      <c r="N1937" s="6" t="str">
        <f>IFERROR(Tabela3[[#This Row],[Última revisão do bem]]+(VLOOKUP(Tabela3[[#This Row],[Categoria]],Cadastros!A:D,4,0)+365),"")</f>
        <v/>
      </c>
      <c r="O1937" s="7" t="str">
        <f ca="1">IF(Tabela3[[#This Row],[Data da compra]]&gt;0,(TODAY()-Tabela3[[#This Row],[Data da compra]])/365,"")</f>
        <v/>
      </c>
      <c r="P1937" s="7" t="str">
        <f>IFERROR(VLOOKUP(Tabela3[[#This Row],[Categoria]],Cadastros!A:C,3,0),"")</f>
        <v/>
      </c>
      <c r="Q1937" s="9" t="str">
        <f ca="1">IFERROR(Tabela3[[#This Row],[Vida útil]]-Tabela3[[#This Row],[Idade]],"")</f>
        <v/>
      </c>
      <c r="R1937" s="8" t="str">
        <f ca="1">IFERROR(Tabela3[[#This Row],[Valor]]-(Tabela3[[#This Row],[Valor]]*(Tabela3[[#This Row],[Idade]]*VLOOKUP(Tabela3[[#This Row],[Categoria]],Cadastros!A:B,2,0))),"")</f>
        <v/>
      </c>
    </row>
    <row r="1938" spans="4:18" x14ac:dyDescent="0.25">
      <c r="D1938" s="5"/>
      <c r="N1938" s="6" t="str">
        <f>IFERROR(Tabela3[[#This Row],[Última revisão do bem]]+(VLOOKUP(Tabela3[[#This Row],[Categoria]],Cadastros!A:D,4,0)+365),"")</f>
        <v/>
      </c>
      <c r="O1938" s="7" t="str">
        <f ca="1">IF(Tabela3[[#This Row],[Data da compra]]&gt;0,(TODAY()-Tabela3[[#This Row],[Data da compra]])/365,"")</f>
        <v/>
      </c>
      <c r="P1938" s="7" t="str">
        <f>IFERROR(VLOOKUP(Tabela3[[#This Row],[Categoria]],Cadastros!A:C,3,0),"")</f>
        <v/>
      </c>
      <c r="Q1938" s="9" t="str">
        <f ca="1">IFERROR(Tabela3[[#This Row],[Vida útil]]-Tabela3[[#This Row],[Idade]],"")</f>
        <v/>
      </c>
      <c r="R1938" s="8" t="str">
        <f ca="1">IFERROR(Tabela3[[#This Row],[Valor]]-(Tabela3[[#This Row],[Valor]]*(Tabela3[[#This Row],[Idade]]*VLOOKUP(Tabela3[[#This Row],[Categoria]],Cadastros!A:B,2,0))),"")</f>
        <v/>
      </c>
    </row>
    <row r="1939" spans="4:18" x14ac:dyDescent="0.25">
      <c r="D1939" s="5"/>
      <c r="N1939" s="6" t="str">
        <f>IFERROR(Tabela3[[#This Row],[Última revisão do bem]]+(VLOOKUP(Tabela3[[#This Row],[Categoria]],Cadastros!A:D,4,0)+365),"")</f>
        <v/>
      </c>
      <c r="O1939" s="7" t="str">
        <f ca="1">IF(Tabela3[[#This Row],[Data da compra]]&gt;0,(TODAY()-Tabela3[[#This Row],[Data da compra]])/365,"")</f>
        <v/>
      </c>
      <c r="P1939" s="7" t="str">
        <f>IFERROR(VLOOKUP(Tabela3[[#This Row],[Categoria]],Cadastros!A:C,3,0),"")</f>
        <v/>
      </c>
      <c r="Q1939" s="9" t="str">
        <f ca="1">IFERROR(Tabela3[[#This Row],[Vida útil]]-Tabela3[[#This Row],[Idade]],"")</f>
        <v/>
      </c>
      <c r="R1939" s="8" t="str">
        <f ca="1">IFERROR(Tabela3[[#This Row],[Valor]]-(Tabela3[[#This Row],[Valor]]*(Tabela3[[#This Row],[Idade]]*VLOOKUP(Tabela3[[#This Row],[Categoria]],Cadastros!A:B,2,0))),"")</f>
        <v/>
      </c>
    </row>
    <row r="1940" spans="4:18" x14ac:dyDescent="0.25">
      <c r="D1940" s="5"/>
      <c r="N1940" s="6" t="str">
        <f>IFERROR(Tabela3[[#This Row],[Última revisão do bem]]+(VLOOKUP(Tabela3[[#This Row],[Categoria]],Cadastros!A:D,4,0)+365),"")</f>
        <v/>
      </c>
      <c r="O1940" s="7" t="str">
        <f ca="1">IF(Tabela3[[#This Row],[Data da compra]]&gt;0,(TODAY()-Tabela3[[#This Row],[Data da compra]])/365,"")</f>
        <v/>
      </c>
      <c r="P1940" s="7" t="str">
        <f>IFERROR(VLOOKUP(Tabela3[[#This Row],[Categoria]],Cadastros!A:C,3,0),"")</f>
        <v/>
      </c>
      <c r="Q1940" s="9" t="str">
        <f ca="1">IFERROR(Tabela3[[#This Row],[Vida útil]]-Tabela3[[#This Row],[Idade]],"")</f>
        <v/>
      </c>
      <c r="R1940" s="8" t="str">
        <f ca="1">IFERROR(Tabela3[[#This Row],[Valor]]-(Tabela3[[#This Row],[Valor]]*(Tabela3[[#This Row],[Idade]]*VLOOKUP(Tabela3[[#This Row],[Categoria]],Cadastros!A:B,2,0))),"")</f>
        <v/>
      </c>
    </row>
    <row r="1941" spans="4:18" x14ac:dyDescent="0.25">
      <c r="D1941" s="5"/>
      <c r="N1941" s="6" t="str">
        <f>IFERROR(Tabela3[[#This Row],[Última revisão do bem]]+(VLOOKUP(Tabela3[[#This Row],[Categoria]],Cadastros!A:D,4,0)+365),"")</f>
        <v/>
      </c>
      <c r="O1941" s="7" t="str">
        <f ca="1">IF(Tabela3[[#This Row],[Data da compra]]&gt;0,(TODAY()-Tabela3[[#This Row],[Data da compra]])/365,"")</f>
        <v/>
      </c>
      <c r="P1941" s="7" t="str">
        <f>IFERROR(VLOOKUP(Tabela3[[#This Row],[Categoria]],Cadastros!A:C,3,0),"")</f>
        <v/>
      </c>
      <c r="Q1941" s="9" t="str">
        <f ca="1">IFERROR(Tabela3[[#This Row],[Vida útil]]-Tabela3[[#This Row],[Idade]],"")</f>
        <v/>
      </c>
      <c r="R1941" s="8" t="str">
        <f ca="1">IFERROR(Tabela3[[#This Row],[Valor]]-(Tabela3[[#This Row],[Valor]]*(Tabela3[[#This Row],[Idade]]*VLOOKUP(Tabela3[[#This Row],[Categoria]],Cadastros!A:B,2,0))),"")</f>
        <v/>
      </c>
    </row>
    <row r="1942" spans="4:18" x14ac:dyDescent="0.25">
      <c r="D1942" s="5"/>
      <c r="N1942" s="6" t="str">
        <f>IFERROR(Tabela3[[#This Row],[Última revisão do bem]]+(VLOOKUP(Tabela3[[#This Row],[Categoria]],Cadastros!A:D,4,0)+365),"")</f>
        <v/>
      </c>
      <c r="O1942" s="7" t="str">
        <f ca="1">IF(Tabela3[[#This Row],[Data da compra]]&gt;0,(TODAY()-Tabela3[[#This Row],[Data da compra]])/365,"")</f>
        <v/>
      </c>
      <c r="P1942" s="7" t="str">
        <f>IFERROR(VLOOKUP(Tabela3[[#This Row],[Categoria]],Cadastros!A:C,3,0),"")</f>
        <v/>
      </c>
      <c r="Q1942" s="9" t="str">
        <f ca="1">IFERROR(Tabela3[[#This Row],[Vida útil]]-Tabela3[[#This Row],[Idade]],"")</f>
        <v/>
      </c>
      <c r="R1942" s="8" t="str">
        <f ca="1">IFERROR(Tabela3[[#This Row],[Valor]]-(Tabela3[[#This Row],[Valor]]*(Tabela3[[#This Row],[Idade]]*VLOOKUP(Tabela3[[#This Row],[Categoria]],Cadastros!A:B,2,0))),"")</f>
        <v/>
      </c>
    </row>
    <row r="1943" spans="4:18" x14ac:dyDescent="0.25">
      <c r="D1943" s="5"/>
      <c r="N1943" s="6" t="str">
        <f>IFERROR(Tabela3[[#This Row],[Última revisão do bem]]+(VLOOKUP(Tabela3[[#This Row],[Categoria]],Cadastros!A:D,4,0)+365),"")</f>
        <v/>
      </c>
      <c r="O1943" s="7" t="str">
        <f ca="1">IF(Tabela3[[#This Row],[Data da compra]]&gt;0,(TODAY()-Tabela3[[#This Row],[Data da compra]])/365,"")</f>
        <v/>
      </c>
      <c r="P1943" s="7" t="str">
        <f>IFERROR(VLOOKUP(Tabela3[[#This Row],[Categoria]],Cadastros!A:C,3,0),"")</f>
        <v/>
      </c>
      <c r="Q1943" s="9" t="str">
        <f ca="1">IFERROR(Tabela3[[#This Row],[Vida útil]]-Tabela3[[#This Row],[Idade]],"")</f>
        <v/>
      </c>
      <c r="R1943" s="8" t="str">
        <f ca="1">IFERROR(Tabela3[[#This Row],[Valor]]-(Tabela3[[#This Row],[Valor]]*(Tabela3[[#This Row],[Idade]]*VLOOKUP(Tabela3[[#This Row],[Categoria]],Cadastros!A:B,2,0))),"")</f>
        <v/>
      </c>
    </row>
    <row r="1944" spans="4:18" x14ac:dyDescent="0.25">
      <c r="D1944" s="5"/>
      <c r="N1944" s="6" t="str">
        <f>IFERROR(Tabela3[[#This Row],[Última revisão do bem]]+(VLOOKUP(Tabela3[[#This Row],[Categoria]],Cadastros!A:D,4,0)+365),"")</f>
        <v/>
      </c>
      <c r="O1944" s="7" t="str">
        <f ca="1">IF(Tabela3[[#This Row],[Data da compra]]&gt;0,(TODAY()-Tabela3[[#This Row],[Data da compra]])/365,"")</f>
        <v/>
      </c>
      <c r="P1944" s="7" t="str">
        <f>IFERROR(VLOOKUP(Tabela3[[#This Row],[Categoria]],Cadastros!A:C,3,0),"")</f>
        <v/>
      </c>
      <c r="Q1944" s="9" t="str">
        <f ca="1">IFERROR(Tabela3[[#This Row],[Vida útil]]-Tabela3[[#This Row],[Idade]],"")</f>
        <v/>
      </c>
      <c r="R1944" s="8" t="str">
        <f ca="1">IFERROR(Tabela3[[#This Row],[Valor]]-(Tabela3[[#This Row],[Valor]]*(Tabela3[[#This Row],[Idade]]*VLOOKUP(Tabela3[[#This Row],[Categoria]],Cadastros!A:B,2,0))),"")</f>
        <v/>
      </c>
    </row>
    <row r="1945" spans="4:18" x14ac:dyDescent="0.25">
      <c r="D1945" s="5"/>
      <c r="N1945" s="6" t="str">
        <f>IFERROR(Tabela3[[#This Row],[Última revisão do bem]]+(VLOOKUP(Tabela3[[#This Row],[Categoria]],Cadastros!A:D,4,0)+365),"")</f>
        <v/>
      </c>
      <c r="O1945" s="7" t="str">
        <f ca="1">IF(Tabela3[[#This Row],[Data da compra]]&gt;0,(TODAY()-Tabela3[[#This Row],[Data da compra]])/365,"")</f>
        <v/>
      </c>
      <c r="P1945" s="7" t="str">
        <f>IFERROR(VLOOKUP(Tabela3[[#This Row],[Categoria]],Cadastros!A:C,3,0),"")</f>
        <v/>
      </c>
      <c r="Q1945" s="9" t="str">
        <f ca="1">IFERROR(Tabela3[[#This Row],[Vida útil]]-Tabela3[[#This Row],[Idade]],"")</f>
        <v/>
      </c>
      <c r="R1945" s="8" t="str">
        <f ca="1">IFERROR(Tabela3[[#This Row],[Valor]]-(Tabela3[[#This Row],[Valor]]*(Tabela3[[#This Row],[Idade]]*VLOOKUP(Tabela3[[#This Row],[Categoria]],Cadastros!A:B,2,0))),"")</f>
        <v/>
      </c>
    </row>
    <row r="1946" spans="4:18" x14ac:dyDescent="0.25">
      <c r="D1946" s="5"/>
      <c r="N1946" s="6" t="str">
        <f>IFERROR(Tabela3[[#This Row],[Última revisão do bem]]+(VLOOKUP(Tabela3[[#This Row],[Categoria]],Cadastros!A:D,4,0)+365),"")</f>
        <v/>
      </c>
      <c r="O1946" s="7" t="str">
        <f ca="1">IF(Tabela3[[#This Row],[Data da compra]]&gt;0,(TODAY()-Tabela3[[#This Row],[Data da compra]])/365,"")</f>
        <v/>
      </c>
      <c r="P1946" s="7" t="str">
        <f>IFERROR(VLOOKUP(Tabela3[[#This Row],[Categoria]],Cadastros!A:C,3,0),"")</f>
        <v/>
      </c>
      <c r="Q1946" s="9" t="str">
        <f ca="1">IFERROR(Tabela3[[#This Row],[Vida útil]]-Tabela3[[#This Row],[Idade]],"")</f>
        <v/>
      </c>
      <c r="R1946" s="8" t="str">
        <f ca="1">IFERROR(Tabela3[[#This Row],[Valor]]-(Tabela3[[#This Row],[Valor]]*(Tabela3[[#This Row],[Idade]]*VLOOKUP(Tabela3[[#This Row],[Categoria]],Cadastros!A:B,2,0))),"")</f>
        <v/>
      </c>
    </row>
    <row r="1947" spans="4:18" x14ac:dyDescent="0.25">
      <c r="D1947" s="5"/>
      <c r="N1947" s="6" t="str">
        <f>IFERROR(Tabela3[[#This Row],[Última revisão do bem]]+(VLOOKUP(Tabela3[[#This Row],[Categoria]],Cadastros!A:D,4,0)+365),"")</f>
        <v/>
      </c>
      <c r="O1947" s="7" t="str">
        <f ca="1">IF(Tabela3[[#This Row],[Data da compra]]&gt;0,(TODAY()-Tabela3[[#This Row],[Data da compra]])/365,"")</f>
        <v/>
      </c>
      <c r="P1947" s="7" t="str">
        <f>IFERROR(VLOOKUP(Tabela3[[#This Row],[Categoria]],Cadastros!A:C,3,0),"")</f>
        <v/>
      </c>
      <c r="Q1947" s="9" t="str">
        <f ca="1">IFERROR(Tabela3[[#This Row],[Vida útil]]-Tabela3[[#This Row],[Idade]],"")</f>
        <v/>
      </c>
      <c r="R1947" s="8" t="str">
        <f ca="1">IFERROR(Tabela3[[#This Row],[Valor]]-(Tabela3[[#This Row],[Valor]]*(Tabela3[[#This Row],[Idade]]*VLOOKUP(Tabela3[[#This Row],[Categoria]],Cadastros!A:B,2,0))),"")</f>
        <v/>
      </c>
    </row>
    <row r="1948" spans="4:18" x14ac:dyDescent="0.25">
      <c r="D1948" s="5"/>
      <c r="N1948" s="6" t="str">
        <f>IFERROR(Tabela3[[#This Row],[Última revisão do bem]]+(VLOOKUP(Tabela3[[#This Row],[Categoria]],Cadastros!A:D,4,0)+365),"")</f>
        <v/>
      </c>
      <c r="O1948" s="7" t="str">
        <f ca="1">IF(Tabela3[[#This Row],[Data da compra]]&gt;0,(TODAY()-Tabela3[[#This Row],[Data da compra]])/365,"")</f>
        <v/>
      </c>
      <c r="P1948" s="7" t="str">
        <f>IFERROR(VLOOKUP(Tabela3[[#This Row],[Categoria]],Cadastros!A:C,3,0),"")</f>
        <v/>
      </c>
      <c r="Q1948" s="9" t="str">
        <f ca="1">IFERROR(Tabela3[[#This Row],[Vida útil]]-Tabela3[[#This Row],[Idade]],"")</f>
        <v/>
      </c>
      <c r="R1948" s="8" t="str">
        <f ca="1">IFERROR(Tabela3[[#This Row],[Valor]]-(Tabela3[[#This Row],[Valor]]*(Tabela3[[#This Row],[Idade]]*VLOOKUP(Tabela3[[#This Row],[Categoria]],Cadastros!A:B,2,0))),"")</f>
        <v/>
      </c>
    </row>
    <row r="1949" spans="4:18" x14ac:dyDescent="0.25">
      <c r="D1949" s="5"/>
      <c r="N1949" s="6" t="str">
        <f>IFERROR(Tabela3[[#This Row],[Última revisão do bem]]+(VLOOKUP(Tabela3[[#This Row],[Categoria]],Cadastros!A:D,4,0)+365),"")</f>
        <v/>
      </c>
      <c r="O1949" s="7" t="str">
        <f ca="1">IF(Tabela3[[#This Row],[Data da compra]]&gt;0,(TODAY()-Tabela3[[#This Row],[Data da compra]])/365,"")</f>
        <v/>
      </c>
      <c r="P1949" s="7" t="str">
        <f>IFERROR(VLOOKUP(Tabela3[[#This Row],[Categoria]],Cadastros!A:C,3,0),"")</f>
        <v/>
      </c>
      <c r="Q1949" s="9" t="str">
        <f ca="1">IFERROR(Tabela3[[#This Row],[Vida útil]]-Tabela3[[#This Row],[Idade]],"")</f>
        <v/>
      </c>
      <c r="R1949" s="8" t="str">
        <f ca="1">IFERROR(Tabela3[[#This Row],[Valor]]-(Tabela3[[#This Row],[Valor]]*(Tabela3[[#This Row],[Idade]]*VLOOKUP(Tabela3[[#This Row],[Categoria]],Cadastros!A:B,2,0))),"")</f>
        <v/>
      </c>
    </row>
    <row r="1950" spans="4:18" x14ac:dyDescent="0.25">
      <c r="D1950" s="22"/>
      <c r="N1950" s="6" t="str">
        <f>IFERROR(Tabela3[[#This Row],[Última revisão do bem]]+(VLOOKUP(Tabela3[[#This Row],[Categoria]],Cadastros!A:D,4,0)+365),"")</f>
        <v/>
      </c>
      <c r="O1950" s="7" t="str">
        <f ca="1">IF(Tabela3[[#This Row],[Data da compra]]&gt;0,(TODAY()-Tabela3[[#This Row],[Data da compra]])/365,"")</f>
        <v/>
      </c>
      <c r="P1950" s="7" t="str">
        <f>IFERROR(VLOOKUP(Tabela3[[#This Row],[Categoria]],Cadastros!A:C,3,0),"")</f>
        <v/>
      </c>
      <c r="Q1950" s="9" t="str">
        <f ca="1">IFERROR(Tabela3[[#This Row],[Vida útil]]-Tabela3[[#This Row],[Idade]],"")</f>
        <v/>
      </c>
      <c r="R1950" s="23" t="str">
        <f ca="1">IFERROR(Tabela3[[#This Row],[Valor]]-(Tabela3[[#This Row],[Valor]]*(Tabela3[[#This Row],[Idade]]*VLOOKUP(Tabela3[[#This Row],[Categoria]],Cadastros!A:B,2,0))),"")</f>
        <v/>
      </c>
    </row>
    <row r="1951" spans="4:18" x14ac:dyDescent="0.25">
      <c r="D1951" s="5"/>
      <c r="N1951" s="6" t="str">
        <f>IFERROR(Tabela3[[#This Row],[Última revisão do bem]]+(VLOOKUP(Tabela3[[#This Row],[Categoria]],Cadastros!A:D,4,0)+365),"")</f>
        <v/>
      </c>
      <c r="O1951" s="7" t="str">
        <f ca="1">IF(Tabela3[[#This Row],[Data da compra]]&gt;0,(TODAY()-Tabela3[[#This Row],[Data da compra]])/365,"")</f>
        <v/>
      </c>
      <c r="P1951" s="7" t="str">
        <f>IFERROR(VLOOKUP(Tabela3[[#This Row],[Categoria]],Cadastros!A:C,3,0),"")</f>
        <v/>
      </c>
      <c r="Q1951" s="9" t="str">
        <f ca="1">IFERROR(Tabela3[[#This Row],[Vida útil]]-Tabela3[[#This Row],[Idade]],"")</f>
        <v/>
      </c>
      <c r="R1951" s="8" t="str">
        <f ca="1">IFERROR(Tabela3[[#This Row],[Valor]]-(Tabela3[[#This Row],[Valor]]*(Tabela3[[#This Row],[Idade]]*VLOOKUP(Tabela3[[#This Row],[Categoria]],Cadastros!A:B,2,0))),"")</f>
        <v/>
      </c>
    </row>
    <row r="1952" spans="4:18" x14ac:dyDescent="0.25">
      <c r="D1952" s="5"/>
      <c r="N1952" s="6" t="str">
        <f>IFERROR(Tabela3[[#This Row],[Última revisão do bem]]+(VLOOKUP(Tabela3[[#This Row],[Categoria]],Cadastros!A:D,4,0)+365),"")</f>
        <v/>
      </c>
      <c r="O1952" s="7" t="str">
        <f ca="1">IF(Tabela3[[#This Row],[Data da compra]]&gt;0,(TODAY()-Tabela3[[#This Row],[Data da compra]])/365,"")</f>
        <v/>
      </c>
      <c r="P1952" s="7" t="str">
        <f>IFERROR(VLOOKUP(Tabela3[[#This Row],[Categoria]],Cadastros!A:C,3,0),"")</f>
        <v/>
      </c>
      <c r="Q1952" s="9" t="str">
        <f ca="1">IFERROR(Tabela3[[#This Row],[Vida útil]]-Tabela3[[#This Row],[Idade]],"")</f>
        <v/>
      </c>
      <c r="R1952" s="8" t="str">
        <f ca="1">IFERROR(Tabela3[[#This Row],[Valor]]-(Tabela3[[#This Row],[Valor]]*(Tabela3[[#This Row],[Idade]]*VLOOKUP(Tabela3[[#This Row],[Categoria]],Cadastros!A:B,2,0))),"")</f>
        <v/>
      </c>
    </row>
    <row r="1953" spans="4:18" x14ac:dyDescent="0.25">
      <c r="D1953" s="5"/>
      <c r="N1953" s="6" t="str">
        <f>IFERROR(Tabela3[[#This Row],[Última revisão do bem]]+(VLOOKUP(Tabela3[[#This Row],[Categoria]],Cadastros!A:D,4,0)+365),"")</f>
        <v/>
      </c>
      <c r="O1953" s="7" t="str">
        <f ca="1">IF(Tabela3[[#This Row],[Data da compra]]&gt;0,(TODAY()-Tabela3[[#This Row],[Data da compra]])/365,"")</f>
        <v/>
      </c>
      <c r="P1953" s="7" t="str">
        <f>IFERROR(VLOOKUP(Tabela3[[#This Row],[Categoria]],Cadastros!A:C,3,0),"")</f>
        <v/>
      </c>
      <c r="Q1953" s="9" t="str">
        <f ca="1">IFERROR(Tabela3[[#This Row],[Vida útil]]-Tabela3[[#This Row],[Idade]],"")</f>
        <v/>
      </c>
      <c r="R1953" s="8" t="str">
        <f ca="1">IFERROR(Tabela3[[#This Row],[Valor]]-(Tabela3[[#This Row],[Valor]]*(Tabela3[[#This Row],[Idade]]*VLOOKUP(Tabela3[[#This Row],[Categoria]],Cadastros!A:B,2,0))),"")</f>
        <v/>
      </c>
    </row>
    <row r="1954" spans="4:18" x14ac:dyDescent="0.25">
      <c r="D1954" s="5"/>
      <c r="N1954" s="6" t="str">
        <f>IFERROR(Tabela3[[#This Row],[Última revisão do bem]]+(VLOOKUP(Tabela3[[#This Row],[Categoria]],Cadastros!A:D,4,0)+365),"")</f>
        <v/>
      </c>
      <c r="O1954" s="7" t="str">
        <f ca="1">IF(Tabela3[[#This Row],[Data da compra]]&gt;0,(TODAY()-Tabela3[[#This Row],[Data da compra]])/365,"")</f>
        <v/>
      </c>
      <c r="P1954" s="7" t="str">
        <f>IFERROR(VLOOKUP(Tabela3[[#This Row],[Categoria]],Cadastros!A:C,3,0),"")</f>
        <v/>
      </c>
      <c r="Q1954" s="9" t="str">
        <f ca="1">IFERROR(Tabela3[[#This Row],[Vida útil]]-Tabela3[[#This Row],[Idade]],"")</f>
        <v/>
      </c>
      <c r="R1954" s="8" t="str">
        <f ca="1">IFERROR(Tabela3[[#This Row],[Valor]]-(Tabela3[[#This Row],[Valor]]*(Tabela3[[#This Row],[Idade]]*VLOOKUP(Tabela3[[#This Row],[Categoria]],Cadastros!A:B,2,0))),"")</f>
        <v/>
      </c>
    </row>
    <row r="1955" spans="4:18" x14ac:dyDescent="0.25">
      <c r="D1955" s="5"/>
      <c r="N1955" s="6" t="str">
        <f>IFERROR(Tabela3[[#This Row],[Última revisão do bem]]+(VLOOKUP(Tabela3[[#This Row],[Categoria]],Cadastros!A:D,4,0)+365),"")</f>
        <v/>
      </c>
      <c r="O1955" s="7" t="str">
        <f ca="1">IF(Tabela3[[#This Row],[Data da compra]]&gt;0,(TODAY()-Tabela3[[#This Row],[Data da compra]])/365,"")</f>
        <v/>
      </c>
      <c r="P1955" s="7" t="str">
        <f>IFERROR(VLOOKUP(Tabela3[[#This Row],[Categoria]],Cadastros!A:C,3,0),"")</f>
        <v/>
      </c>
      <c r="Q1955" s="9" t="str">
        <f ca="1">IFERROR(Tabela3[[#This Row],[Vida útil]]-Tabela3[[#This Row],[Idade]],"")</f>
        <v/>
      </c>
      <c r="R1955" s="8" t="str">
        <f ca="1">IFERROR(Tabela3[[#This Row],[Valor]]-(Tabela3[[#This Row],[Valor]]*(Tabela3[[#This Row],[Idade]]*VLOOKUP(Tabela3[[#This Row],[Categoria]],Cadastros!A:B,2,0))),"")</f>
        <v/>
      </c>
    </row>
    <row r="1956" spans="4:18" x14ac:dyDescent="0.25">
      <c r="D1956" s="5"/>
      <c r="N1956" s="6" t="str">
        <f>IFERROR(Tabela3[[#This Row],[Última revisão do bem]]+(VLOOKUP(Tabela3[[#This Row],[Categoria]],Cadastros!A:D,4,0)+365),"")</f>
        <v/>
      </c>
      <c r="O1956" s="7" t="str">
        <f ca="1">IF(Tabela3[[#This Row],[Data da compra]]&gt;0,(TODAY()-Tabela3[[#This Row],[Data da compra]])/365,"")</f>
        <v/>
      </c>
      <c r="P1956" s="7" t="str">
        <f>IFERROR(VLOOKUP(Tabela3[[#This Row],[Categoria]],Cadastros!A:C,3,0),"")</f>
        <v/>
      </c>
      <c r="Q1956" s="9" t="str">
        <f ca="1">IFERROR(Tabela3[[#This Row],[Vida útil]]-Tabela3[[#This Row],[Idade]],"")</f>
        <v/>
      </c>
      <c r="R1956" s="8" t="str">
        <f ca="1">IFERROR(Tabela3[[#This Row],[Valor]]-(Tabela3[[#This Row],[Valor]]*(Tabela3[[#This Row],[Idade]]*VLOOKUP(Tabela3[[#This Row],[Categoria]],Cadastros!A:B,2,0))),"")</f>
        <v/>
      </c>
    </row>
    <row r="1957" spans="4:18" x14ac:dyDescent="0.25">
      <c r="D1957" s="5"/>
      <c r="N1957" s="6" t="str">
        <f>IFERROR(Tabela3[[#This Row],[Última revisão do bem]]+(VLOOKUP(Tabela3[[#This Row],[Categoria]],Cadastros!A:D,4,0)+365),"")</f>
        <v/>
      </c>
      <c r="O1957" s="7" t="str">
        <f ca="1">IF(Tabela3[[#This Row],[Data da compra]]&gt;0,(TODAY()-Tabela3[[#This Row],[Data da compra]])/365,"")</f>
        <v/>
      </c>
      <c r="P1957" s="7" t="str">
        <f>IFERROR(VLOOKUP(Tabela3[[#This Row],[Categoria]],Cadastros!A:C,3,0),"")</f>
        <v/>
      </c>
      <c r="Q1957" s="9" t="str">
        <f ca="1">IFERROR(Tabela3[[#This Row],[Vida útil]]-Tabela3[[#This Row],[Idade]],"")</f>
        <v/>
      </c>
      <c r="R1957" s="8" t="str">
        <f ca="1">IFERROR(Tabela3[[#This Row],[Valor]]-(Tabela3[[#This Row],[Valor]]*(Tabela3[[#This Row],[Idade]]*VLOOKUP(Tabela3[[#This Row],[Categoria]],Cadastros!A:B,2,0))),"")</f>
        <v/>
      </c>
    </row>
    <row r="1958" spans="4:18" x14ac:dyDescent="0.25">
      <c r="D1958" s="5"/>
      <c r="N1958" s="6" t="str">
        <f>IFERROR(Tabela3[[#This Row],[Última revisão do bem]]+(VLOOKUP(Tabela3[[#This Row],[Categoria]],Cadastros!A:D,4,0)+365),"")</f>
        <v/>
      </c>
      <c r="O1958" s="7" t="str">
        <f ca="1">IF(Tabela3[[#This Row],[Data da compra]]&gt;0,(TODAY()-Tabela3[[#This Row],[Data da compra]])/365,"")</f>
        <v/>
      </c>
      <c r="P1958" s="7" t="str">
        <f>IFERROR(VLOOKUP(Tabela3[[#This Row],[Categoria]],Cadastros!A:C,3,0),"")</f>
        <v/>
      </c>
      <c r="Q1958" s="9" t="str">
        <f ca="1">IFERROR(Tabela3[[#This Row],[Vida útil]]-Tabela3[[#This Row],[Idade]],"")</f>
        <v/>
      </c>
      <c r="R1958" s="8" t="str">
        <f ca="1">IFERROR(Tabela3[[#This Row],[Valor]]-(Tabela3[[#This Row],[Valor]]*(Tabela3[[#This Row],[Idade]]*VLOOKUP(Tabela3[[#This Row],[Categoria]],Cadastros!A:B,2,0))),"")</f>
        <v/>
      </c>
    </row>
    <row r="1959" spans="4:18" x14ac:dyDescent="0.25">
      <c r="D1959" s="5"/>
      <c r="N1959" s="6" t="str">
        <f>IFERROR(Tabela3[[#This Row],[Última revisão do bem]]+(VLOOKUP(Tabela3[[#This Row],[Categoria]],Cadastros!A:D,4,0)+365),"")</f>
        <v/>
      </c>
      <c r="O1959" s="7" t="str">
        <f ca="1">IF(Tabela3[[#This Row],[Data da compra]]&gt;0,(TODAY()-Tabela3[[#This Row],[Data da compra]])/365,"")</f>
        <v/>
      </c>
      <c r="P1959" s="7" t="str">
        <f>IFERROR(VLOOKUP(Tabela3[[#This Row],[Categoria]],Cadastros!A:C,3,0),"")</f>
        <v/>
      </c>
      <c r="Q1959" s="9" t="str">
        <f ca="1">IFERROR(Tabela3[[#This Row],[Vida útil]]-Tabela3[[#This Row],[Idade]],"")</f>
        <v/>
      </c>
      <c r="R1959" s="8" t="str">
        <f ca="1">IFERROR(Tabela3[[#This Row],[Valor]]-(Tabela3[[#This Row],[Valor]]*(Tabela3[[#This Row],[Idade]]*VLOOKUP(Tabela3[[#This Row],[Categoria]],Cadastros!A:B,2,0))),"")</f>
        <v/>
      </c>
    </row>
    <row r="1960" spans="4:18" x14ac:dyDescent="0.25">
      <c r="D1960" s="5"/>
      <c r="N1960" s="6" t="str">
        <f>IFERROR(Tabela3[[#This Row],[Última revisão do bem]]+(VLOOKUP(Tabela3[[#This Row],[Categoria]],Cadastros!A:D,4,0)+365),"")</f>
        <v/>
      </c>
      <c r="O1960" s="7" t="str">
        <f ca="1">IF(Tabela3[[#This Row],[Data da compra]]&gt;0,(TODAY()-Tabela3[[#This Row],[Data da compra]])/365,"")</f>
        <v/>
      </c>
      <c r="P1960" s="7" t="str">
        <f>IFERROR(VLOOKUP(Tabela3[[#This Row],[Categoria]],Cadastros!A:C,3,0),"")</f>
        <v/>
      </c>
      <c r="Q1960" s="9" t="str">
        <f ca="1">IFERROR(Tabela3[[#This Row],[Vida útil]]-Tabela3[[#This Row],[Idade]],"")</f>
        <v/>
      </c>
      <c r="R1960" s="8" t="str">
        <f ca="1">IFERROR(Tabela3[[#This Row],[Valor]]-(Tabela3[[#This Row],[Valor]]*(Tabela3[[#This Row],[Idade]]*VLOOKUP(Tabela3[[#This Row],[Categoria]],Cadastros!A:B,2,0))),"")</f>
        <v/>
      </c>
    </row>
    <row r="1961" spans="4:18" x14ac:dyDescent="0.25">
      <c r="D1961" s="5"/>
      <c r="N1961" s="6" t="str">
        <f>IFERROR(Tabela3[[#This Row],[Última revisão do bem]]+(VLOOKUP(Tabela3[[#This Row],[Categoria]],Cadastros!A:D,4,0)+365),"")</f>
        <v/>
      </c>
      <c r="O1961" s="7" t="str">
        <f ca="1">IF(Tabela3[[#This Row],[Data da compra]]&gt;0,(TODAY()-Tabela3[[#This Row],[Data da compra]])/365,"")</f>
        <v/>
      </c>
      <c r="P1961" s="7" t="str">
        <f>IFERROR(VLOOKUP(Tabela3[[#This Row],[Categoria]],Cadastros!A:C,3,0),"")</f>
        <v/>
      </c>
      <c r="Q1961" s="9" t="str">
        <f ca="1">IFERROR(Tabela3[[#This Row],[Vida útil]]-Tabela3[[#This Row],[Idade]],"")</f>
        <v/>
      </c>
      <c r="R1961" s="8" t="str">
        <f ca="1">IFERROR(Tabela3[[#This Row],[Valor]]-(Tabela3[[#This Row],[Valor]]*(Tabela3[[#This Row],[Idade]]*VLOOKUP(Tabela3[[#This Row],[Categoria]],Cadastros!A:B,2,0))),"")</f>
        <v/>
      </c>
    </row>
    <row r="1962" spans="4:18" x14ac:dyDescent="0.25">
      <c r="D1962" s="5"/>
      <c r="N1962" s="6" t="str">
        <f>IFERROR(Tabela3[[#This Row],[Última revisão do bem]]+(VLOOKUP(Tabela3[[#This Row],[Categoria]],Cadastros!A:D,4,0)+365),"")</f>
        <v/>
      </c>
      <c r="O1962" s="7" t="str">
        <f ca="1">IF(Tabela3[[#This Row],[Data da compra]]&gt;0,(TODAY()-Tabela3[[#This Row],[Data da compra]])/365,"")</f>
        <v/>
      </c>
      <c r="P1962" s="7" t="str">
        <f>IFERROR(VLOOKUP(Tabela3[[#This Row],[Categoria]],Cadastros!A:C,3,0),"")</f>
        <v/>
      </c>
      <c r="Q1962" s="9" t="str">
        <f ca="1">IFERROR(Tabela3[[#This Row],[Vida útil]]-Tabela3[[#This Row],[Idade]],"")</f>
        <v/>
      </c>
      <c r="R1962" s="8" t="str">
        <f ca="1">IFERROR(Tabela3[[#This Row],[Valor]]-(Tabela3[[#This Row],[Valor]]*(Tabela3[[#This Row],[Idade]]*VLOOKUP(Tabela3[[#This Row],[Categoria]],Cadastros!A:B,2,0))),"")</f>
        <v/>
      </c>
    </row>
    <row r="1963" spans="4:18" x14ac:dyDescent="0.25">
      <c r="D1963" s="5"/>
      <c r="N1963" s="6" t="str">
        <f>IFERROR(Tabela3[[#This Row],[Última revisão do bem]]+(VLOOKUP(Tabela3[[#This Row],[Categoria]],Cadastros!A:D,4,0)+365),"")</f>
        <v/>
      </c>
      <c r="O1963" s="7" t="str">
        <f ca="1">IF(Tabela3[[#This Row],[Data da compra]]&gt;0,(TODAY()-Tabela3[[#This Row],[Data da compra]])/365,"")</f>
        <v/>
      </c>
      <c r="P1963" s="7" t="str">
        <f>IFERROR(VLOOKUP(Tabela3[[#This Row],[Categoria]],Cadastros!A:C,3,0),"")</f>
        <v/>
      </c>
      <c r="Q1963" s="9" t="str">
        <f ca="1">IFERROR(Tabela3[[#This Row],[Vida útil]]-Tabela3[[#This Row],[Idade]],"")</f>
        <v/>
      </c>
      <c r="R1963" s="8" t="str">
        <f ca="1">IFERROR(Tabela3[[#This Row],[Valor]]-(Tabela3[[#This Row],[Valor]]*(Tabela3[[#This Row],[Idade]]*VLOOKUP(Tabela3[[#This Row],[Categoria]],Cadastros!A:B,2,0))),"")</f>
        <v/>
      </c>
    </row>
    <row r="1964" spans="4:18" x14ac:dyDescent="0.25">
      <c r="D1964" s="5"/>
      <c r="N1964" s="6" t="str">
        <f>IFERROR(Tabela3[[#This Row],[Última revisão do bem]]+(VLOOKUP(Tabela3[[#This Row],[Categoria]],Cadastros!A:D,4,0)+365),"")</f>
        <v/>
      </c>
      <c r="O1964" s="7" t="str">
        <f ca="1">IF(Tabela3[[#This Row],[Data da compra]]&gt;0,(TODAY()-Tabela3[[#This Row],[Data da compra]])/365,"")</f>
        <v/>
      </c>
      <c r="P1964" s="7" t="str">
        <f>IFERROR(VLOOKUP(Tabela3[[#This Row],[Categoria]],Cadastros!A:C,3,0),"")</f>
        <v/>
      </c>
      <c r="Q1964" s="9" t="str">
        <f ca="1">IFERROR(Tabela3[[#This Row],[Vida útil]]-Tabela3[[#This Row],[Idade]],"")</f>
        <v/>
      </c>
      <c r="R1964" s="8" t="str">
        <f ca="1">IFERROR(Tabela3[[#This Row],[Valor]]-(Tabela3[[#This Row],[Valor]]*(Tabela3[[#This Row],[Idade]]*VLOOKUP(Tabela3[[#This Row],[Categoria]],Cadastros!A:B,2,0))),"")</f>
        <v/>
      </c>
    </row>
    <row r="1965" spans="4:18" x14ac:dyDescent="0.25">
      <c r="D1965" s="5"/>
      <c r="N1965" s="6" t="str">
        <f>IFERROR(Tabela3[[#This Row],[Última revisão do bem]]+(VLOOKUP(Tabela3[[#This Row],[Categoria]],Cadastros!A:D,4,0)+365),"")</f>
        <v/>
      </c>
      <c r="O1965" s="7" t="str">
        <f ca="1">IF(Tabela3[[#This Row],[Data da compra]]&gt;0,(TODAY()-Tabela3[[#This Row],[Data da compra]])/365,"")</f>
        <v/>
      </c>
      <c r="P1965" s="7" t="str">
        <f>IFERROR(VLOOKUP(Tabela3[[#This Row],[Categoria]],Cadastros!A:C,3,0),"")</f>
        <v/>
      </c>
      <c r="Q1965" s="9" t="str">
        <f ca="1">IFERROR(Tabela3[[#This Row],[Vida útil]]-Tabela3[[#This Row],[Idade]],"")</f>
        <v/>
      </c>
      <c r="R1965" s="8" t="str">
        <f ca="1">IFERROR(Tabela3[[#This Row],[Valor]]-(Tabela3[[#This Row],[Valor]]*(Tabela3[[#This Row],[Idade]]*VLOOKUP(Tabela3[[#This Row],[Categoria]],Cadastros!A:B,2,0))),"")</f>
        <v/>
      </c>
    </row>
    <row r="1966" spans="4:18" x14ac:dyDescent="0.25">
      <c r="D1966" s="5"/>
      <c r="N1966" s="6" t="str">
        <f>IFERROR(Tabela3[[#This Row],[Última revisão do bem]]+(VLOOKUP(Tabela3[[#This Row],[Categoria]],Cadastros!A:D,4,0)+365),"")</f>
        <v/>
      </c>
      <c r="O1966" s="7" t="str">
        <f ca="1">IF(Tabela3[[#This Row],[Data da compra]]&gt;0,(TODAY()-Tabela3[[#This Row],[Data da compra]])/365,"")</f>
        <v/>
      </c>
      <c r="P1966" s="7" t="str">
        <f>IFERROR(VLOOKUP(Tabela3[[#This Row],[Categoria]],Cadastros!A:C,3,0),"")</f>
        <v/>
      </c>
      <c r="Q1966" s="9" t="str">
        <f ca="1">IFERROR(Tabela3[[#This Row],[Vida útil]]-Tabela3[[#This Row],[Idade]],"")</f>
        <v/>
      </c>
      <c r="R1966" s="8" t="str">
        <f ca="1">IFERROR(Tabela3[[#This Row],[Valor]]-(Tabela3[[#This Row],[Valor]]*(Tabela3[[#This Row],[Idade]]*VLOOKUP(Tabela3[[#This Row],[Categoria]],Cadastros!A:B,2,0))),"")</f>
        <v/>
      </c>
    </row>
    <row r="1967" spans="4:18" x14ac:dyDescent="0.25">
      <c r="D1967" s="5"/>
      <c r="N1967" s="6" t="str">
        <f>IFERROR(Tabela3[[#This Row],[Última revisão do bem]]+(VLOOKUP(Tabela3[[#This Row],[Categoria]],Cadastros!A:D,4,0)+365),"")</f>
        <v/>
      </c>
      <c r="O1967" s="7" t="str">
        <f ca="1">IF(Tabela3[[#This Row],[Data da compra]]&gt;0,(TODAY()-Tabela3[[#This Row],[Data da compra]])/365,"")</f>
        <v/>
      </c>
      <c r="P1967" s="7" t="str">
        <f>IFERROR(VLOOKUP(Tabela3[[#This Row],[Categoria]],Cadastros!A:C,3,0),"")</f>
        <v/>
      </c>
      <c r="Q1967" s="9" t="str">
        <f ca="1">IFERROR(Tabela3[[#This Row],[Vida útil]]-Tabela3[[#This Row],[Idade]],"")</f>
        <v/>
      </c>
      <c r="R1967" s="8" t="str">
        <f ca="1">IFERROR(Tabela3[[#This Row],[Valor]]-(Tabela3[[#This Row],[Valor]]*(Tabela3[[#This Row],[Idade]]*VLOOKUP(Tabela3[[#This Row],[Categoria]],Cadastros!A:B,2,0))),"")</f>
        <v/>
      </c>
    </row>
    <row r="1968" spans="4:18" x14ac:dyDescent="0.25">
      <c r="D1968" s="22"/>
      <c r="N1968" s="6" t="str">
        <f>IFERROR(Tabela3[[#This Row],[Última revisão do bem]]+(VLOOKUP(Tabela3[[#This Row],[Categoria]],Cadastros!A:D,4,0)+365),"")</f>
        <v/>
      </c>
      <c r="O1968" s="7" t="str">
        <f ca="1">IF(Tabela3[[#This Row],[Data da compra]]&gt;0,(TODAY()-Tabela3[[#This Row],[Data da compra]])/365,"")</f>
        <v/>
      </c>
      <c r="P1968" s="7" t="str">
        <f>IFERROR(VLOOKUP(Tabela3[[#This Row],[Categoria]],Cadastros!A:C,3,0),"")</f>
        <v/>
      </c>
      <c r="Q1968" s="9" t="str">
        <f ca="1">IFERROR(Tabela3[[#This Row],[Vida útil]]-Tabela3[[#This Row],[Idade]],"")</f>
        <v/>
      </c>
      <c r="R1968" s="23" t="str">
        <f ca="1">IFERROR(Tabela3[[#This Row],[Valor]]-(Tabela3[[#This Row],[Valor]]*(Tabela3[[#This Row],[Idade]]*VLOOKUP(Tabela3[[#This Row],[Categoria]],Cadastros!A:B,2,0))),"")</f>
        <v/>
      </c>
    </row>
    <row r="1969" spans="4:18" x14ac:dyDescent="0.25">
      <c r="D1969" s="5"/>
      <c r="N1969" s="6" t="str">
        <f>IFERROR(Tabela3[[#This Row],[Última revisão do bem]]+(VLOOKUP(Tabela3[[#This Row],[Categoria]],Cadastros!A:D,4,0)+365),"")</f>
        <v/>
      </c>
      <c r="O1969" s="7" t="str">
        <f ca="1">IF(Tabela3[[#This Row],[Data da compra]]&gt;0,(TODAY()-Tabela3[[#This Row],[Data da compra]])/365,"")</f>
        <v/>
      </c>
      <c r="P1969" s="7" t="str">
        <f>IFERROR(VLOOKUP(Tabela3[[#This Row],[Categoria]],Cadastros!A:C,3,0),"")</f>
        <v/>
      </c>
      <c r="Q1969" s="9" t="str">
        <f ca="1">IFERROR(Tabela3[[#This Row],[Vida útil]]-Tabela3[[#This Row],[Idade]],"")</f>
        <v/>
      </c>
      <c r="R1969" s="8" t="str">
        <f ca="1">IFERROR(Tabela3[[#This Row],[Valor]]-(Tabela3[[#This Row],[Valor]]*(Tabela3[[#This Row],[Idade]]*VLOOKUP(Tabela3[[#This Row],[Categoria]],Cadastros!A:B,2,0))),"")</f>
        <v/>
      </c>
    </row>
    <row r="1970" spans="4:18" x14ac:dyDescent="0.25">
      <c r="D1970" s="5"/>
      <c r="N1970" s="6" t="str">
        <f>IFERROR(Tabela3[[#This Row],[Última revisão do bem]]+(VLOOKUP(Tabela3[[#This Row],[Categoria]],Cadastros!A:D,4,0)+365),"")</f>
        <v/>
      </c>
      <c r="O1970" s="7" t="str">
        <f ca="1">IF(Tabela3[[#This Row],[Data da compra]]&gt;0,(TODAY()-Tabela3[[#This Row],[Data da compra]])/365,"")</f>
        <v/>
      </c>
      <c r="P1970" s="7" t="str">
        <f>IFERROR(VLOOKUP(Tabela3[[#This Row],[Categoria]],Cadastros!A:C,3,0),"")</f>
        <v/>
      </c>
      <c r="Q1970" s="9" t="str">
        <f ca="1">IFERROR(Tabela3[[#This Row],[Vida útil]]-Tabela3[[#This Row],[Idade]],"")</f>
        <v/>
      </c>
      <c r="R1970" s="8" t="str">
        <f ca="1">IFERROR(Tabela3[[#This Row],[Valor]]-(Tabela3[[#This Row],[Valor]]*(Tabela3[[#This Row],[Idade]]*VLOOKUP(Tabela3[[#This Row],[Categoria]],Cadastros!A:B,2,0))),"")</f>
        <v/>
      </c>
    </row>
    <row r="1971" spans="4:18" x14ac:dyDescent="0.25">
      <c r="D1971" s="5"/>
      <c r="N1971" s="6" t="str">
        <f>IFERROR(Tabela3[[#This Row],[Última revisão do bem]]+(VLOOKUP(Tabela3[[#This Row],[Categoria]],Cadastros!A:D,4,0)+365),"")</f>
        <v/>
      </c>
      <c r="O1971" s="7" t="str">
        <f ca="1">IF(Tabela3[[#This Row],[Data da compra]]&gt;0,(TODAY()-Tabela3[[#This Row],[Data da compra]])/365,"")</f>
        <v/>
      </c>
      <c r="P1971" s="7" t="str">
        <f>IFERROR(VLOOKUP(Tabela3[[#This Row],[Categoria]],Cadastros!A:C,3,0),"")</f>
        <v/>
      </c>
      <c r="Q1971" s="9" t="str">
        <f ca="1">IFERROR(Tabela3[[#This Row],[Vida útil]]-Tabela3[[#This Row],[Idade]],"")</f>
        <v/>
      </c>
      <c r="R1971" s="8" t="str">
        <f ca="1">IFERROR(Tabela3[[#This Row],[Valor]]-(Tabela3[[#This Row],[Valor]]*(Tabela3[[#This Row],[Idade]]*VLOOKUP(Tabela3[[#This Row],[Categoria]],Cadastros!A:B,2,0))),"")</f>
        <v/>
      </c>
    </row>
    <row r="1972" spans="4:18" x14ac:dyDescent="0.25">
      <c r="D1972" s="5"/>
      <c r="N1972" s="6" t="str">
        <f>IFERROR(Tabela3[[#This Row],[Última revisão do bem]]+(VLOOKUP(Tabela3[[#This Row],[Categoria]],Cadastros!A:D,4,0)+365),"")</f>
        <v/>
      </c>
      <c r="O1972" s="7" t="str">
        <f ca="1">IF(Tabela3[[#This Row],[Data da compra]]&gt;0,(TODAY()-Tabela3[[#This Row],[Data da compra]])/365,"")</f>
        <v/>
      </c>
      <c r="P1972" s="7" t="str">
        <f>IFERROR(VLOOKUP(Tabela3[[#This Row],[Categoria]],Cadastros!A:C,3,0),"")</f>
        <v/>
      </c>
      <c r="Q1972" s="9" t="str">
        <f ca="1">IFERROR(Tabela3[[#This Row],[Vida útil]]-Tabela3[[#This Row],[Idade]],"")</f>
        <v/>
      </c>
      <c r="R1972" s="8" t="str">
        <f ca="1">IFERROR(Tabela3[[#This Row],[Valor]]-(Tabela3[[#This Row],[Valor]]*(Tabela3[[#This Row],[Idade]]*VLOOKUP(Tabela3[[#This Row],[Categoria]],Cadastros!A:B,2,0))),"")</f>
        <v/>
      </c>
    </row>
    <row r="1973" spans="4:18" x14ac:dyDescent="0.25">
      <c r="D1973" s="5"/>
      <c r="N1973" s="6" t="str">
        <f>IFERROR(Tabela3[[#This Row],[Última revisão do bem]]+(VLOOKUP(Tabela3[[#This Row],[Categoria]],Cadastros!A:D,4,0)+365),"")</f>
        <v/>
      </c>
      <c r="O1973" s="7" t="str">
        <f ca="1">IF(Tabela3[[#This Row],[Data da compra]]&gt;0,(TODAY()-Tabela3[[#This Row],[Data da compra]])/365,"")</f>
        <v/>
      </c>
      <c r="P1973" s="7" t="str">
        <f>IFERROR(VLOOKUP(Tabela3[[#This Row],[Categoria]],Cadastros!A:C,3,0),"")</f>
        <v/>
      </c>
      <c r="Q1973" s="9" t="str">
        <f ca="1">IFERROR(Tabela3[[#This Row],[Vida útil]]-Tabela3[[#This Row],[Idade]],"")</f>
        <v/>
      </c>
      <c r="R1973" s="8" t="str">
        <f ca="1">IFERROR(Tabela3[[#This Row],[Valor]]-(Tabela3[[#This Row],[Valor]]*(Tabela3[[#This Row],[Idade]]*VLOOKUP(Tabela3[[#This Row],[Categoria]],Cadastros!A:B,2,0))),"")</f>
        <v/>
      </c>
    </row>
    <row r="1974" spans="4:18" x14ac:dyDescent="0.25">
      <c r="D1974" s="5"/>
      <c r="N1974" s="6" t="str">
        <f>IFERROR(Tabela3[[#This Row],[Última revisão do bem]]+(VLOOKUP(Tabela3[[#This Row],[Categoria]],Cadastros!A:D,4,0)+365),"")</f>
        <v/>
      </c>
      <c r="O1974" s="7" t="str">
        <f ca="1">IF(Tabela3[[#This Row],[Data da compra]]&gt;0,(TODAY()-Tabela3[[#This Row],[Data da compra]])/365,"")</f>
        <v/>
      </c>
      <c r="P1974" s="7" t="str">
        <f>IFERROR(VLOOKUP(Tabela3[[#This Row],[Categoria]],Cadastros!A:C,3,0),"")</f>
        <v/>
      </c>
      <c r="Q1974" s="9" t="str">
        <f ca="1">IFERROR(Tabela3[[#This Row],[Vida útil]]-Tabela3[[#This Row],[Idade]],"")</f>
        <v/>
      </c>
      <c r="R1974" s="8" t="str">
        <f ca="1">IFERROR(Tabela3[[#This Row],[Valor]]-(Tabela3[[#This Row],[Valor]]*(Tabela3[[#This Row],[Idade]]*VLOOKUP(Tabela3[[#This Row],[Categoria]],Cadastros!A:B,2,0))),"")</f>
        <v/>
      </c>
    </row>
    <row r="1975" spans="4:18" x14ac:dyDescent="0.25">
      <c r="D1975" s="5"/>
      <c r="N1975" s="6" t="str">
        <f>IFERROR(Tabela3[[#This Row],[Última revisão do bem]]+(VLOOKUP(Tabela3[[#This Row],[Categoria]],Cadastros!A:D,4,0)+365),"")</f>
        <v/>
      </c>
      <c r="O1975" s="7" t="str">
        <f ca="1">IF(Tabela3[[#This Row],[Data da compra]]&gt;0,(TODAY()-Tabela3[[#This Row],[Data da compra]])/365,"")</f>
        <v/>
      </c>
      <c r="P1975" s="7" t="str">
        <f>IFERROR(VLOOKUP(Tabela3[[#This Row],[Categoria]],Cadastros!A:C,3,0),"")</f>
        <v/>
      </c>
      <c r="Q1975" s="9" t="str">
        <f ca="1">IFERROR(Tabela3[[#This Row],[Vida útil]]-Tabela3[[#This Row],[Idade]],"")</f>
        <v/>
      </c>
      <c r="R1975" s="8" t="str">
        <f ca="1">IFERROR(Tabela3[[#This Row],[Valor]]-(Tabela3[[#This Row],[Valor]]*(Tabela3[[#This Row],[Idade]]*VLOOKUP(Tabela3[[#This Row],[Categoria]],Cadastros!A:B,2,0))),"")</f>
        <v/>
      </c>
    </row>
    <row r="1976" spans="4:18" x14ac:dyDescent="0.25">
      <c r="D1976" s="5"/>
      <c r="N1976" s="6" t="str">
        <f>IFERROR(Tabela3[[#This Row],[Última revisão do bem]]+(VLOOKUP(Tabela3[[#This Row],[Categoria]],Cadastros!A:D,4,0)+365),"")</f>
        <v/>
      </c>
      <c r="O1976" s="7" t="str">
        <f ca="1">IF(Tabela3[[#This Row],[Data da compra]]&gt;0,(TODAY()-Tabela3[[#This Row],[Data da compra]])/365,"")</f>
        <v/>
      </c>
      <c r="P1976" s="7" t="str">
        <f>IFERROR(VLOOKUP(Tabela3[[#This Row],[Categoria]],Cadastros!A:C,3,0),"")</f>
        <v/>
      </c>
      <c r="Q1976" s="9" t="str">
        <f ca="1">IFERROR(Tabela3[[#This Row],[Vida útil]]-Tabela3[[#This Row],[Idade]],"")</f>
        <v/>
      </c>
      <c r="R1976" s="8" t="str">
        <f ca="1">IFERROR(Tabela3[[#This Row],[Valor]]-(Tabela3[[#This Row],[Valor]]*(Tabela3[[#This Row],[Idade]]*VLOOKUP(Tabela3[[#This Row],[Categoria]],Cadastros!A:B,2,0))),"")</f>
        <v/>
      </c>
    </row>
    <row r="1977" spans="4:18" x14ac:dyDescent="0.25">
      <c r="D1977" s="5"/>
      <c r="N1977" s="6" t="str">
        <f>IFERROR(Tabela3[[#This Row],[Última revisão do bem]]+(VLOOKUP(Tabela3[[#This Row],[Categoria]],Cadastros!A:D,4,0)+365),"")</f>
        <v/>
      </c>
      <c r="O1977" s="7" t="str">
        <f ca="1">IF(Tabela3[[#This Row],[Data da compra]]&gt;0,(TODAY()-Tabela3[[#This Row],[Data da compra]])/365,"")</f>
        <v/>
      </c>
      <c r="P1977" s="7" t="str">
        <f>IFERROR(VLOOKUP(Tabela3[[#This Row],[Categoria]],Cadastros!A:C,3,0),"")</f>
        <v/>
      </c>
      <c r="Q1977" s="9" t="str">
        <f ca="1">IFERROR(Tabela3[[#This Row],[Vida útil]]-Tabela3[[#This Row],[Idade]],"")</f>
        <v/>
      </c>
      <c r="R1977" s="8" t="str">
        <f ca="1">IFERROR(Tabela3[[#This Row],[Valor]]-(Tabela3[[#This Row],[Valor]]*(Tabela3[[#This Row],[Idade]]*VLOOKUP(Tabela3[[#This Row],[Categoria]],Cadastros!A:B,2,0))),"")</f>
        <v/>
      </c>
    </row>
    <row r="1978" spans="4:18" x14ac:dyDescent="0.25">
      <c r="D1978" s="5"/>
      <c r="N1978" s="6" t="str">
        <f>IFERROR(Tabela3[[#This Row],[Última revisão do bem]]+(VLOOKUP(Tabela3[[#This Row],[Categoria]],Cadastros!A:D,4,0)+365),"")</f>
        <v/>
      </c>
      <c r="O1978" s="7" t="str">
        <f ca="1">IF(Tabela3[[#This Row],[Data da compra]]&gt;0,(TODAY()-Tabela3[[#This Row],[Data da compra]])/365,"")</f>
        <v/>
      </c>
      <c r="P1978" s="7" t="str">
        <f>IFERROR(VLOOKUP(Tabela3[[#This Row],[Categoria]],Cadastros!A:C,3,0),"")</f>
        <v/>
      </c>
      <c r="Q1978" s="9" t="str">
        <f ca="1">IFERROR(Tabela3[[#This Row],[Vida útil]]-Tabela3[[#This Row],[Idade]],"")</f>
        <v/>
      </c>
      <c r="R1978" s="8" t="str">
        <f ca="1">IFERROR(Tabela3[[#This Row],[Valor]]-(Tabela3[[#This Row],[Valor]]*(Tabela3[[#This Row],[Idade]]*VLOOKUP(Tabela3[[#This Row],[Categoria]],Cadastros!A:B,2,0))),"")</f>
        <v/>
      </c>
    </row>
    <row r="1979" spans="4:18" x14ac:dyDescent="0.25">
      <c r="D1979" s="5"/>
      <c r="N1979" s="6" t="str">
        <f>IFERROR(Tabela3[[#This Row],[Última revisão do bem]]+(VLOOKUP(Tabela3[[#This Row],[Categoria]],Cadastros!A:D,4,0)+365),"")</f>
        <v/>
      </c>
      <c r="O1979" s="7" t="str">
        <f ca="1">IF(Tabela3[[#This Row],[Data da compra]]&gt;0,(TODAY()-Tabela3[[#This Row],[Data da compra]])/365,"")</f>
        <v/>
      </c>
      <c r="P1979" s="7" t="str">
        <f>IFERROR(VLOOKUP(Tabela3[[#This Row],[Categoria]],Cadastros!A:C,3,0),"")</f>
        <v/>
      </c>
      <c r="Q1979" s="9" t="str">
        <f ca="1">IFERROR(Tabela3[[#This Row],[Vida útil]]-Tabela3[[#This Row],[Idade]],"")</f>
        <v/>
      </c>
      <c r="R1979" s="8" t="str">
        <f ca="1">IFERROR(Tabela3[[#This Row],[Valor]]-(Tabela3[[#This Row],[Valor]]*(Tabela3[[#This Row],[Idade]]*VLOOKUP(Tabela3[[#This Row],[Categoria]],Cadastros!A:B,2,0))),"")</f>
        <v/>
      </c>
    </row>
    <row r="1980" spans="4:18" x14ac:dyDescent="0.25">
      <c r="D1980" s="5"/>
      <c r="N1980" s="6" t="str">
        <f>IFERROR(Tabela3[[#This Row],[Última revisão do bem]]+(VLOOKUP(Tabela3[[#This Row],[Categoria]],Cadastros!A:D,4,0)+365),"")</f>
        <v/>
      </c>
      <c r="O1980" s="7" t="str">
        <f ca="1">IF(Tabela3[[#This Row],[Data da compra]]&gt;0,(TODAY()-Tabela3[[#This Row],[Data da compra]])/365,"")</f>
        <v/>
      </c>
      <c r="P1980" s="7" t="str">
        <f>IFERROR(VLOOKUP(Tabela3[[#This Row],[Categoria]],Cadastros!A:C,3,0),"")</f>
        <v/>
      </c>
      <c r="Q1980" s="9" t="str">
        <f ca="1">IFERROR(Tabela3[[#This Row],[Vida útil]]-Tabela3[[#This Row],[Idade]],"")</f>
        <v/>
      </c>
      <c r="R1980" s="8" t="str">
        <f ca="1">IFERROR(Tabela3[[#This Row],[Valor]]-(Tabela3[[#This Row],[Valor]]*(Tabela3[[#This Row],[Idade]]*VLOOKUP(Tabela3[[#This Row],[Categoria]],Cadastros!A:B,2,0))),"")</f>
        <v/>
      </c>
    </row>
    <row r="1981" spans="4:18" x14ac:dyDescent="0.25">
      <c r="D1981" s="5"/>
      <c r="N1981" s="6" t="str">
        <f>IFERROR(Tabela3[[#This Row],[Última revisão do bem]]+(VLOOKUP(Tabela3[[#This Row],[Categoria]],Cadastros!A:D,4,0)+365),"")</f>
        <v/>
      </c>
      <c r="O1981" s="7" t="str">
        <f ca="1">IF(Tabela3[[#This Row],[Data da compra]]&gt;0,(TODAY()-Tabela3[[#This Row],[Data da compra]])/365,"")</f>
        <v/>
      </c>
      <c r="P1981" s="7" t="str">
        <f>IFERROR(VLOOKUP(Tabela3[[#This Row],[Categoria]],Cadastros!A:C,3,0),"")</f>
        <v/>
      </c>
      <c r="Q1981" s="9" t="str">
        <f ca="1">IFERROR(Tabela3[[#This Row],[Vida útil]]-Tabela3[[#This Row],[Idade]],"")</f>
        <v/>
      </c>
      <c r="R1981" s="8" t="str">
        <f ca="1">IFERROR(Tabela3[[#This Row],[Valor]]-(Tabela3[[#This Row],[Valor]]*(Tabela3[[#This Row],[Idade]]*VLOOKUP(Tabela3[[#This Row],[Categoria]],Cadastros!A:B,2,0))),"")</f>
        <v/>
      </c>
    </row>
    <row r="1982" spans="4:18" x14ac:dyDescent="0.25">
      <c r="D1982" s="5"/>
      <c r="N1982" s="6" t="str">
        <f>IFERROR(Tabela3[[#This Row],[Última revisão do bem]]+(VLOOKUP(Tabela3[[#This Row],[Categoria]],Cadastros!A:D,4,0)+365),"")</f>
        <v/>
      </c>
      <c r="O1982" s="7" t="str">
        <f ca="1">IF(Tabela3[[#This Row],[Data da compra]]&gt;0,(TODAY()-Tabela3[[#This Row],[Data da compra]])/365,"")</f>
        <v/>
      </c>
      <c r="P1982" s="7" t="str">
        <f>IFERROR(VLOOKUP(Tabela3[[#This Row],[Categoria]],Cadastros!A:C,3,0),"")</f>
        <v/>
      </c>
      <c r="Q1982" s="9" t="str">
        <f ca="1">IFERROR(Tabela3[[#This Row],[Vida útil]]-Tabela3[[#This Row],[Idade]],"")</f>
        <v/>
      </c>
      <c r="R1982" s="8" t="str">
        <f ca="1">IFERROR(Tabela3[[#This Row],[Valor]]-(Tabela3[[#This Row],[Valor]]*(Tabela3[[#This Row],[Idade]]*VLOOKUP(Tabela3[[#This Row],[Categoria]],Cadastros!A:B,2,0))),"")</f>
        <v/>
      </c>
    </row>
    <row r="1983" spans="4:18" x14ac:dyDescent="0.25">
      <c r="D1983" s="5"/>
      <c r="N1983" s="6" t="str">
        <f>IFERROR(Tabela3[[#This Row],[Última revisão do bem]]+(VLOOKUP(Tabela3[[#This Row],[Categoria]],Cadastros!A:D,4,0)+365),"")</f>
        <v/>
      </c>
      <c r="O1983" s="7" t="str">
        <f ca="1">IF(Tabela3[[#This Row],[Data da compra]]&gt;0,(TODAY()-Tabela3[[#This Row],[Data da compra]])/365,"")</f>
        <v/>
      </c>
      <c r="P1983" s="7" t="str">
        <f>IFERROR(VLOOKUP(Tabela3[[#This Row],[Categoria]],Cadastros!A:C,3,0),"")</f>
        <v/>
      </c>
      <c r="Q1983" s="9" t="str">
        <f ca="1">IFERROR(Tabela3[[#This Row],[Vida útil]]-Tabela3[[#This Row],[Idade]],"")</f>
        <v/>
      </c>
      <c r="R1983" s="8" t="str">
        <f ca="1">IFERROR(Tabela3[[#This Row],[Valor]]-(Tabela3[[#This Row],[Valor]]*(Tabela3[[#This Row],[Idade]]*VLOOKUP(Tabela3[[#This Row],[Categoria]],Cadastros!A:B,2,0))),"")</f>
        <v/>
      </c>
    </row>
    <row r="1984" spans="4:18" x14ac:dyDescent="0.25">
      <c r="D1984" s="5"/>
      <c r="N1984" s="6" t="str">
        <f>IFERROR(Tabela3[[#This Row],[Última revisão do bem]]+(VLOOKUP(Tabela3[[#This Row],[Categoria]],Cadastros!A:D,4,0)+365),"")</f>
        <v/>
      </c>
      <c r="O1984" s="7" t="str">
        <f ca="1">IF(Tabela3[[#This Row],[Data da compra]]&gt;0,(TODAY()-Tabela3[[#This Row],[Data da compra]])/365,"")</f>
        <v/>
      </c>
      <c r="P1984" s="7" t="str">
        <f>IFERROR(VLOOKUP(Tabela3[[#This Row],[Categoria]],Cadastros!A:C,3,0),"")</f>
        <v/>
      </c>
      <c r="Q1984" s="9" t="str">
        <f ca="1">IFERROR(Tabela3[[#This Row],[Vida útil]]-Tabela3[[#This Row],[Idade]],"")</f>
        <v/>
      </c>
      <c r="R1984" s="8" t="str">
        <f ca="1">IFERROR(Tabela3[[#This Row],[Valor]]-(Tabela3[[#This Row],[Valor]]*(Tabela3[[#This Row],[Idade]]*VLOOKUP(Tabela3[[#This Row],[Categoria]],Cadastros!A:B,2,0))),"")</f>
        <v/>
      </c>
    </row>
    <row r="1985" spans="4:18" x14ac:dyDescent="0.25">
      <c r="D1985" s="5"/>
      <c r="N1985" s="6" t="str">
        <f>IFERROR(Tabela3[[#This Row],[Última revisão do bem]]+(VLOOKUP(Tabela3[[#This Row],[Categoria]],Cadastros!A:D,4,0)+365),"")</f>
        <v/>
      </c>
      <c r="O1985" s="7" t="str">
        <f ca="1">IF(Tabela3[[#This Row],[Data da compra]]&gt;0,(TODAY()-Tabela3[[#This Row],[Data da compra]])/365,"")</f>
        <v/>
      </c>
      <c r="P1985" s="7" t="str">
        <f>IFERROR(VLOOKUP(Tabela3[[#This Row],[Categoria]],Cadastros!A:C,3,0),"")</f>
        <v/>
      </c>
      <c r="Q1985" s="9" t="str">
        <f ca="1">IFERROR(Tabela3[[#This Row],[Vida útil]]-Tabela3[[#This Row],[Idade]],"")</f>
        <v/>
      </c>
      <c r="R1985" s="8" t="str">
        <f ca="1">IFERROR(Tabela3[[#This Row],[Valor]]-(Tabela3[[#This Row],[Valor]]*(Tabela3[[#This Row],[Idade]]*VLOOKUP(Tabela3[[#This Row],[Categoria]],Cadastros!A:B,2,0))),"")</f>
        <v/>
      </c>
    </row>
    <row r="1986" spans="4:18" x14ac:dyDescent="0.25">
      <c r="D1986" s="22"/>
      <c r="N1986" s="6" t="str">
        <f>IFERROR(Tabela3[[#This Row],[Última revisão do bem]]+(VLOOKUP(Tabela3[[#This Row],[Categoria]],Cadastros!A:D,4,0)+365),"")</f>
        <v/>
      </c>
      <c r="O1986" s="7" t="str">
        <f ca="1">IF(Tabela3[[#This Row],[Data da compra]]&gt;0,(TODAY()-Tabela3[[#This Row],[Data da compra]])/365,"")</f>
        <v/>
      </c>
      <c r="P1986" s="7" t="str">
        <f>IFERROR(VLOOKUP(Tabela3[[#This Row],[Categoria]],Cadastros!A:C,3,0),"")</f>
        <v/>
      </c>
      <c r="Q1986" s="9" t="str">
        <f ca="1">IFERROR(Tabela3[[#This Row],[Vida útil]]-Tabela3[[#This Row],[Idade]],"")</f>
        <v/>
      </c>
      <c r="R1986" s="23" t="str">
        <f ca="1">IFERROR(Tabela3[[#This Row],[Valor]]-(Tabela3[[#This Row],[Valor]]*(Tabela3[[#This Row],[Idade]]*VLOOKUP(Tabela3[[#This Row],[Categoria]],Cadastros!A:B,2,0))),"")</f>
        <v/>
      </c>
    </row>
    <row r="1987" spans="4:18" x14ac:dyDescent="0.25">
      <c r="D1987" s="5"/>
      <c r="N1987" s="6" t="str">
        <f>IFERROR(Tabela3[[#This Row],[Última revisão do bem]]+(VLOOKUP(Tabela3[[#This Row],[Categoria]],Cadastros!A:D,4,0)+365),"")</f>
        <v/>
      </c>
      <c r="O1987" s="7" t="str">
        <f ca="1">IF(Tabela3[[#This Row],[Data da compra]]&gt;0,(TODAY()-Tabela3[[#This Row],[Data da compra]])/365,"")</f>
        <v/>
      </c>
      <c r="P1987" s="7" t="str">
        <f>IFERROR(VLOOKUP(Tabela3[[#This Row],[Categoria]],Cadastros!A:C,3,0),"")</f>
        <v/>
      </c>
      <c r="Q1987" s="9" t="str">
        <f ca="1">IFERROR(Tabela3[[#This Row],[Vida útil]]-Tabela3[[#This Row],[Idade]],"")</f>
        <v/>
      </c>
      <c r="R1987" s="8" t="str">
        <f ca="1">IFERROR(Tabela3[[#This Row],[Valor]]-(Tabela3[[#This Row],[Valor]]*(Tabela3[[#This Row],[Idade]]*VLOOKUP(Tabela3[[#This Row],[Categoria]],Cadastros!A:B,2,0))),"")</f>
        <v/>
      </c>
    </row>
    <row r="1988" spans="4:18" x14ac:dyDescent="0.25">
      <c r="D1988" s="5"/>
      <c r="N1988" s="6" t="str">
        <f>IFERROR(Tabela3[[#This Row],[Última revisão do bem]]+(VLOOKUP(Tabela3[[#This Row],[Categoria]],Cadastros!A:D,4,0)+365),"")</f>
        <v/>
      </c>
      <c r="O1988" s="7" t="str">
        <f ca="1">IF(Tabela3[[#This Row],[Data da compra]]&gt;0,(TODAY()-Tabela3[[#This Row],[Data da compra]])/365,"")</f>
        <v/>
      </c>
      <c r="P1988" s="7" t="str">
        <f>IFERROR(VLOOKUP(Tabela3[[#This Row],[Categoria]],Cadastros!A:C,3,0),"")</f>
        <v/>
      </c>
      <c r="Q1988" s="9" t="str">
        <f ca="1">IFERROR(Tabela3[[#This Row],[Vida útil]]-Tabela3[[#This Row],[Idade]],"")</f>
        <v/>
      </c>
      <c r="R1988" s="8" t="str">
        <f ca="1">IFERROR(Tabela3[[#This Row],[Valor]]-(Tabela3[[#This Row],[Valor]]*(Tabela3[[#This Row],[Idade]]*VLOOKUP(Tabela3[[#This Row],[Categoria]],Cadastros!A:B,2,0))),"")</f>
        <v/>
      </c>
    </row>
    <row r="1989" spans="4:18" x14ac:dyDescent="0.25">
      <c r="D1989" s="5"/>
      <c r="N1989" s="6" t="str">
        <f>IFERROR(Tabela3[[#This Row],[Última revisão do bem]]+(VLOOKUP(Tabela3[[#This Row],[Categoria]],Cadastros!A:D,4,0)+365),"")</f>
        <v/>
      </c>
      <c r="O1989" s="7" t="str">
        <f ca="1">IF(Tabela3[[#This Row],[Data da compra]]&gt;0,(TODAY()-Tabela3[[#This Row],[Data da compra]])/365,"")</f>
        <v/>
      </c>
      <c r="P1989" s="7" t="str">
        <f>IFERROR(VLOOKUP(Tabela3[[#This Row],[Categoria]],Cadastros!A:C,3,0),"")</f>
        <v/>
      </c>
      <c r="Q1989" s="9" t="str">
        <f ca="1">IFERROR(Tabela3[[#This Row],[Vida útil]]-Tabela3[[#This Row],[Idade]],"")</f>
        <v/>
      </c>
      <c r="R1989" s="8" t="str">
        <f ca="1">IFERROR(Tabela3[[#This Row],[Valor]]-(Tabela3[[#This Row],[Valor]]*(Tabela3[[#This Row],[Idade]]*VLOOKUP(Tabela3[[#This Row],[Categoria]],Cadastros!A:B,2,0))),"")</f>
        <v/>
      </c>
    </row>
    <row r="1990" spans="4:18" x14ac:dyDescent="0.25">
      <c r="D1990" s="5"/>
      <c r="N1990" s="6" t="str">
        <f>IFERROR(Tabela3[[#This Row],[Última revisão do bem]]+(VLOOKUP(Tabela3[[#This Row],[Categoria]],Cadastros!A:D,4,0)+365),"")</f>
        <v/>
      </c>
      <c r="O1990" s="7" t="str">
        <f ca="1">IF(Tabela3[[#This Row],[Data da compra]]&gt;0,(TODAY()-Tabela3[[#This Row],[Data da compra]])/365,"")</f>
        <v/>
      </c>
      <c r="P1990" s="7" t="str">
        <f>IFERROR(VLOOKUP(Tabela3[[#This Row],[Categoria]],Cadastros!A:C,3,0),"")</f>
        <v/>
      </c>
      <c r="Q1990" s="9" t="str">
        <f ca="1">IFERROR(Tabela3[[#This Row],[Vida útil]]-Tabela3[[#This Row],[Idade]],"")</f>
        <v/>
      </c>
      <c r="R1990" s="8" t="str">
        <f ca="1">IFERROR(Tabela3[[#This Row],[Valor]]-(Tabela3[[#This Row],[Valor]]*(Tabela3[[#This Row],[Idade]]*VLOOKUP(Tabela3[[#This Row],[Categoria]],Cadastros!A:B,2,0))),"")</f>
        <v/>
      </c>
    </row>
    <row r="1991" spans="4:18" x14ac:dyDescent="0.25">
      <c r="D1991" s="5"/>
      <c r="N1991" s="6" t="str">
        <f>IFERROR(Tabela3[[#This Row],[Última revisão do bem]]+(VLOOKUP(Tabela3[[#This Row],[Categoria]],Cadastros!A:D,4,0)+365),"")</f>
        <v/>
      </c>
      <c r="O1991" s="7" t="str">
        <f ca="1">IF(Tabela3[[#This Row],[Data da compra]]&gt;0,(TODAY()-Tabela3[[#This Row],[Data da compra]])/365,"")</f>
        <v/>
      </c>
      <c r="P1991" s="7" t="str">
        <f>IFERROR(VLOOKUP(Tabela3[[#This Row],[Categoria]],Cadastros!A:C,3,0),"")</f>
        <v/>
      </c>
      <c r="Q1991" s="9" t="str">
        <f ca="1">IFERROR(Tabela3[[#This Row],[Vida útil]]-Tabela3[[#This Row],[Idade]],"")</f>
        <v/>
      </c>
      <c r="R1991" s="8" t="str">
        <f ca="1">IFERROR(Tabela3[[#This Row],[Valor]]-(Tabela3[[#This Row],[Valor]]*(Tabela3[[#This Row],[Idade]]*VLOOKUP(Tabela3[[#This Row],[Categoria]],Cadastros!A:B,2,0))),"")</f>
        <v/>
      </c>
    </row>
    <row r="1992" spans="4:18" x14ac:dyDescent="0.25">
      <c r="D1992" s="5"/>
      <c r="N1992" s="6" t="str">
        <f>IFERROR(Tabela3[[#This Row],[Última revisão do bem]]+(VLOOKUP(Tabela3[[#This Row],[Categoria]],Cadastros!A:D,4,0)+365),"")</f>
        <v/>
      </c>
      <c r="O1992" s="7" t="str">
        <f ca="1">IF(Tabela3[[#This Row],[Data da compra]]&gt;0,(TODAY()-Tabela3[[#This Row],[Data da compra]])/365,"")</f>
        <v/>
      </c>
      <c r="P1992" s="7" t="str">
        <f>IFERROR(VLOOKUP(Tabela3[[#This Row],[Categoria]],Cadastros!A:C,3,0),"")</f>
        <v/>
      </c>
      <c r="Q1992" s="9" t="str">
        <f ca="1">IFERROR(Tabela3[[#This Row],[Vida útil]]-Tabela3[[#This Row],[Idade]],"")</f>
        <v/>
      </c>
      <c r="R1992" s="8" t="str">
        <f ca="1">IFERROR(Tabela3[[#This Row],[Valor]]-(Tabela3[[#This Row],[Valor]]*(Tabela3[[#This Row],[Idade]]*VLOOKUP(Tabela3[[#This Row],[Categoria]],Cadastros!A:B,2,0))),"")</f>
        <v/>
      </c>
    </row>
    <row r="1993" spans="4:18" x14ac:dyDescent="0.25">
      <c r="D1993" s="5"/>
      <c r="N1993" s="6" t="str">
        <f>IFERROR(Tabela3[[#This Row],[Última revisão do bem]]+(VLOOKUP(Tabela3[[#This Row],[Categoria]],Cadastros!A:D,4,0)+365),"")</f>
        <v/>
      </c>
      <c r="O1993" s="7" t="str">
        <f ca="1">IF(Tabela3[[#This Row],[Data da compra]]&gt;0,(TODAY()-Tabela3[[#This Row],[Data da compra]])/365,"")</f>
        <v/>
      </c>
      <c r="P1993" s="7" t="str">
        <f>IFERROR(VLOOKUP(Tabela3[[#This Row],[Categoria]],Cadastros!A:C,3,0),"")</f>
        <v/>
      </c>
      <c r="Q1993" s="9" t="str">
        <f ca="1">IFERROR(Tabela3[[#This Row],[Vida útil]]-Tabela3[[#This Row],[Idade]],"")</f>
        <v/>
      </c>
      <c r="R1993" s="8" t="str">
        <f ca="1">IFERROR(Tabela3[[#This Row],[Valor]]-(Tabela3[[#This Row],[Valor]]*(Tabela3[[#This Row],[Idade]]*VLOOKUP(Tabela3[[#This Row],[Categoria]],Cadastros!A:B,2,0))),"")</f>
        <v/>
      </c>
    </row>
    <row r="1994" spans="4:18" x14ac:dyDescent="0.25">
      <c r="D1994" s="5"/>
      <c r="N1994" s="6" t="str">
        <f>IFERROR(Tabela3[[#This Row],[Última revisão do bem]]+(VLOOKUP(Tabela3[[#This Row],[Categoria]],Cadastros!A:D,4,0)+365),"")</f>
        <v/>
      </c>
      <c r="O1994" s="7" t="str">
        <f ca="1">IF(Tabela3[[#This Row],[Data da compra]]&gt;0,(TODAY()-Tabela3[[#This Row],[Data da compra]])/365,"")</f>
        <v/>
      </c>
      <c r="P1994" s="7" t="str">
        <f>IFERROR(VLOOKUP(Tabela3[[#This Row],[Categoria]],Cadastros!A:C,3,0),"")</f>
        <v/>
      </c>
      <c r="Q1994" s="9" t="str">
        <f ca="1">IFERROR(Tabela3[[#This Row],[Vida útil]]-Tabela3[[#This Row],[Idade]],"")</f>
        <v/>
      </c>
      <c r="R1994" s="8" t="str">
        <f ca="1">IFERROR(Tabela3[[#This Row],[Valor]]-(Tabela3[[#This Row],[Valor]]*(Tabela3[[#This Row],[Idade]]*VLOOKUP(Tabela3[[#This Row],[Categoria]],Cadastros!A:B,2,0))),"")</f>
        <v/>
      </c>
    </row>
    <row r="1995" spans="4:18" x14ac:dyDescent="0.25">
      <c r="D1995" s="5"/>
      <c r="N1995" s="6" t="str">
        <f>IFERROR(Tabela3[[#This Row],[Última revisão do bem]]+(VLOOKUP(Tabela3[[#This Row],[Categoria]],Cadastros!A:D,4,0)+365),"")</f>
        <v/>
      </c>
      <c r="O1995" s="7" t="str">
        <f ca="1">IF(Tabela3[[#This Row],[Data da compra]]&gt;0,(TODAY()-Tabela3[[#This Row],[Data da compra]])/365,"")</f>
        <v/>
      </c>
      <c r="P1995" s="7" t="str">
        <f>IFERROR(VLOOKUP(Tabela3[[#This Row],[Categoria]],Cadastros!A:C,3,0),"")</f>
        <v/>
      </c>
      <c r="Q1995" s="9" t="str">
        <f ca="1">IFERROR(Tabela3[[#This Row],[Vida útil]]-Tabela3[[#This Row],[Idade]],"")</f>
        <v/>
      </c>
      <c r="R1995" s="8" t="str">
        <f ca="1">IFERROR(Tabela3[[#This Row],[Valor]]-(Tabela3[[#This Row],[Valor]]*(Tabela3[[#This Row],[Idade]]*VLOOKUP(Tabela3[[#This Row],[Categoria]],Cadastros!A:B,2,0))),"")</f>
        <v/>
      </c>
    </row>
    <row r="1996" spans="4:18" x14ac:dyDescent="0.25">
      <c r="D1996" s="5"/>
      <c r="N1996" s="6" t="str">
        <f>IFERROR(Tabela3[[#This Row],[Última revisão do bem]]+(VLOOKUP(Tabela3[[#This Row],[Categoria]],Cadastros!A:D,4,0)+365),"")</f>
        <v/>
      </c>
      <c r="O1996" s="7" t="str">
        <f ca="1">IF(Tabela3[[#This Row],[Data da compra]]&gt;0,(TODAY()-Tabela3[[#This Row],[Data da compra]])/365,"")</f>
        <v/>
      </c>
      <c r="P1996" s="7" t="str">
        <f>IFERROR(VLOOKUP(Tabela3[[#This Row],[Categoria]],Cadastros!A:C,3,0),"")</f>
        <v/>
      </c>
      <c r="Q1996" s="9" t="str">
        <f ca="1">IFERROR(Tabela3[[#This Row],[Vida útil]]-Tabela3[[#This Row],[Idade]],"")</f>
        <v/>
      </c>
      <c r="R1996" s="8" t="str">
        <f ca="1">IFERROR(Tabela3[[#This Row],[Valor]]-(Tabela3[[#This Row],[Valor]]*(Tabela3[[#This Row],[Idade]]*VLOOKUP(Tabela3[[#This Row],[Categoria]],Cadastros!A:B,2,0))),"")</f>
        <v/>
      </c>
    </row>
    <row r="1997" spans="4:18" x14ac:dyDescent="0.25">
      <c r="D1997" s="5"/>
      <c r="N1997" s="6" t="str">
        <f>IFERROR(Tabela3[[#This Row],[Última revisão do bem]]+(VLOOKUP(Tabela3[[#This Row],[Categoria]],Cadastros!A:D,4,0)+365),"")</f>
        <v/>
      </c>
      <c r="O1997" s="7" t="str">
        <f ca="1">IF(Tabela3[[#This Row],[Data da compra]]&gt;0,(TODAY()-Tabela3[[#This Row],[Data da compra]])/365,"")</f>
        <v/>
      </c>
      <c r="P1997" s="7" t="str">
        <f>IFERROR(VLOOKUP(Tabela3[[#This Row],[Categoria]],Cadastros!A:C,3,0),"")</f>
        <v/>
      </c>
      <c r="Q1997" s="9" t="str">
        <f ca="1">IFERROR(Tabela3[[#This Row],[Vida útil]]-Tabela3[[#This Row],[Idade]],"")</f>
        <v/>
      </c>
      <c r="R1997" s="8" t="str">
        <f ca="1">IFERROR(Tabela3[[#This Row],[Valor]]-(Tabela3[[#This Row],[Valor]]*(Tabela3[[#This Row],[Idade]]*VLOOKUP(Tabela3[[#This Row],[Categoria]],Cadastros!A:B,2,0))),"")</f>
        <v/>
      </c>
    </row>
    <row r="1998" spans="4:18" x14ac:dyDescent="0.25">
      <c r="D1998" s="5"/>
      <c r="N1998" s="6" t="str">
        <f>IFERROR(Tabela3[[#This Row],[Última revisão do bem]]+(VLOOKUP(Tabela3[[#This Row],[Categoria]],Cadastros!A:D,4,0)+365),"")</f>
        <v/>
      </c>
      <c r="O1998" s="7" t="str">
        <f ca="1">IF(Tabela3[[#This Row],[Data da compra]]&gt;0,(TODAY()-Tabela3[[#This Row],[Data da compra]])/365,"")</f>
        <v/>
      </c>
      <c r="P1998" s="7" t="str">
        <f>IFERROR(VLOOKUP(Tabela3[[#This Row],[Categoria]],Cadastros!A:C,3,0),"")</f>
        <v/>
      </c>
      <c r="Q1998" s="9" t="str">
        <f ca="1">IFERROR(Tabela3[[#This Row],[Vida útil]]-Tabela3[[#This Row],[Idade]],"")</f>
        <v/>
      </c>
      <c r="R1998" s="8" t="str">
        <f ca="1">IFERROR(Tabela3[[#This Row],[Valor]]-(Tabela3[[#This Row],[Valor]]*(Tabela3[[#This Row],[Idade]]*VLOOKUP(Tabela3[[#This Row],[Categoria]],Cadastros!A:B,2,0))),"")</f>
        <v/>
      </c>
    </row>
    <row r="1999" spans="4:18" x14ac:dyDescent="0.25">
      <c r="D1999" s="5"/>
      <c r="N1999" s="6" t="str">
        <f>IFERROR(Tabela3[[#This Row],[Última revisão do bem]]+(VLOOKUP(Tabela3[[#This Row],[Categoria]],Cadastros!A:D,4,0)+365),"")</f>
        <v/>
      </c>
      <c r="O1999" s="7" t="str">
        <f ca="1">IF(Tabela3[[#This Row],[Data da compra]]&gt;0,(TODAY()-Tabela3[[#This Row],[Data da compra]])/365,"")</f>
        <v/>
      </c>
      <c r="P1999" s="7" t="str">
        <f>IFERROR(VLOOKUP(Tabela3[[#This Row],[Categoria]],Cadastros!A:C,3,0),"")</f>
        <v/>
      </c>
      <c r="Q1999" s="9" t="str">
        <f ca="1">IFERROR(Tabela3[[#This Row],[Vida útil]]-Tabela3[[#This Row],[Idade]],"")</f>
        <v/>
      </c>
      <c r="R1999" s="8" t="str">
        <f ca="1">IFERROR(Tabela3[[#This Row],[Valor]]-(Tabela3[[#This Row],[Valor]]*(Tabela3[[#This Row],[Idade]]*VLOOKUP(Tabela3[[#This Row],[Categoria]],Cadastros!A:B,2,0))),"")</f>
        <v/>
      </c>
    </row>
    <row r="2000" spans="4:18" x14ac:dyDescent="0.25">
      <c r="D2000" s="5"/>
      <c r="N2000" s="6" t="str">
        <f>IFERROR(Tabela3[[#This Row],[Última revisão do bem]]+(VLOOKUP(Tabela3[[#This Row],[Categoria]],Cadastros!A:D,4,0)+365),"")</f>
        <v/>
      </c>
      <c r="O2000" s="7" t="str">
        <f ca="1">IF(Tabela3[[#This Row],[Data da compra]]&gt;0,(TODAY()-Tabela3[[#This Row],[Data da compra]])/365,"")</f>
        <v/>
      </c>
      <c r="P2000" s="7" t="str">
        <f>IFERROR(VLOOKUP(Tabela3[[#This Row],[Categoria]],Cadastros!A:C,3,0),"")</f>
        <v/>
      </c>
      <c r="Q2000" s="9" t="str">
        <f ca="1">IFERROR(Tabela3[[#This Row],[Vida útil]]-Tabela3[[#This Row],[Idade]],"")</f>
        <v/>
      </c>
      <c r="R2000" s="8" t="str">
        <f ca="1">IFERROR(Tabela3[[#This Row],[Valor]]-(Tabela3[[#This Row],[Valor]]*(Tabela3[[#This Row],[Idade]]*VLOOKUP(Tabela3[[#This Row],[Categoria]],Cadastros!A:B,2,0))),"")</f>
        <v/>
      </c>
    </row>
    <row r="2001" spans="4:18" x14ac:dyDescent="0.25">
      <c r="D2001" s="5"/>
      <c r="N2001" s="6" t="str">
        <f>IFERROR(Tabela3[[#This Row],[Última revisão do bem]]+(VLOOKUP(Tabela3[[#This Row],[Categoria]],Cadastros!A:D,4,0)+365),"")</f>
        <v/>
      </c>
      <c r="O2001" s="7" t="str">
        <f ca="1">IF(Tabela3[[#This Row],[Data da compra]]&gt;0,(TODAY()-Tabela3[[#This Row],[Data da compra]])/365,"")</f>
        <v/>
      </c>
      <c r="P2001" s="7" t="str">
        <f>IFERROR(VLOOKUP(Tabela3[[#This Row],[Categoria]],Cadastros!A:C,3,0),"")</f>
        <v/>
      </c>
      <c r="Q2001" s="9" t="str">
        <f ca="1">IFERROR(Tabela3[[#This Row],[Vida útil]]-Tabela3[[#This Row],[Idade]],"")</f>
        <v/>
      </c>
      <c r="R2001" s="8" t="str">
        <f ca="1">IFERROR(Tabela3[[#This Row],[Valor]]-(Tabela3[[#This Row],[Valor]]*(Tabela3[[#This Row],[Idade]]*VLOOKUP(Tabela3[[#This Row],[Categoria]],Cadastros!A:B,2,0))),"")</f>
        <v/>
      </c>
    </row>
    <row r="2002" spans="4:18" x14ac:dyDescent="0.25">
      <c r="D2002" s="5"/>
      <c r="N2002" s="6" t="str">
        <f>IFERROR(Tabela3[[#This Row],[Última revisão do bem]]+(VLOOKUP(Tabela3[[#This Row],[Categoria]],Cadastros!A:D,4,0)+365),"")</f>
        <v/>
      </c>
      <c r="O2002" s="7" t="str">
        <f ca="1">IF(Tabela3[[#This Row],[Data da compra]]&gt;0,(TODAY()-Tabela3[[#This Row],[Data da compra]])/365,"")</f>
        <v/>
      </c>
      <c r="P2002" s="7" t="str">
        <f>IFERROR(VLOOKUP(Tabela3[[#This Row],[Categoria]],Cadastros!A:C,3,0),"")</f>
        <v/>
      </c>
      <c r="Q2002" s="9" t="str">
        <f ca="1">IFERROR(Tabela3[[#This Row],[Vida útil]]-Tabela3[[#This Row],[Idade]],"")</f>
        <v/>
      </c>
      <c r="R2002" s="8" t="str">
        <f ca="1">IFERROR(Tabela3[[#This Row],[Valor]]-(Tabela3[[#This Row],[Valor]]*(Tabela3[[#This Row],[Idade]]*VLOOKUP(Tabela3[[#This Row],[Categoria]],Cadastros!A:B,2,0))),"")</f>
        <v/>
      </c>
    </row>
    <row r="2003" spans="4:18" x14ac:dyDescent="0.25">
      <c r="D2003" s="5"/>
      <c r="N2003" s="6" t="str">
        <f>IFERROR(Tabela3[[#This Row],[Última revisão do bem]]+(VLOOKUP(Tabela3[[#This Row],[Categoria]],Cadastros!A:D,4,0)+365),"")</f>
        <v/>
      </c>
      <c r="O2003" s="7" t="str">
        <f ca="1">IF(Tabela3[[#This Row],[Data da compra]]&gt;0,(TODAY()-Tabela3[[#This Row],[Data da compra]])/365,"")</f>
        <v/>
      </c>
      <c r="P2003" s="7" t="str">
        <f>IFERROR(VLOOKUP(Tabela3[[#This Row],[Categoria]],Cadastros!A:C,3,0),"")</f>
        <v/>
      </c>
      <c r="Q2003" s="9" t="str">
        <f ca="1">IFERROR(Tabela3[[#This Row],[Vida útil]]-Tabela3[[#This Row],[Idade]],"")</f>
        <v/>
      </c>
      <c r="R2003" s="8" t="str">
        <f ca="1">IFERROR(Tabela3[[#This Row],[Valor]]-(Tabela3[[#This Row],[Valor]]*(Tabela3[[#This Row],[Idade]]*VLOOKUP(Tabela3[[#This Row],[Categoria]],Cadastros!A:B,2,0))),"")</f>
        <v/>
      </c>
    </row>
    <row r="2004" spans="4:18" x14ac:dyDescent="0.25">
      <c r="D2004" s="22"/>
      <c r="N2004" s="6" t="str">
        <f>IFERROR(Tabela3[[#This Row],[Última revisão do bem]]+(VLOOKUP(Tabela3[[#This Row],[Categoria]],Cadastros!A:D,4,0)+365),"")</f>
        <v/>
      </c>
      <c r="O2004" s="7" t="str">
        <f ca="1">IF(Tabela3[[#This Row],[Data da compra]]&gt;0,(TODAY()-Tabela3[[#This Row],[Data da compra]])/365,"")</f>
        <v/>
      </c>
      <c r="P2004" s="7" t="str">
        <f>IFERROR(VLOOKUP(Tabela3[[#This Row],[Categoria]],Cadastros!A:C,3,0),"")</f>
        <v/>
      </c>
      <c r="Q2004" s="9" t="str">
        <f ca="1">IFERROR(Tabela3[[#This Row],[Vida útil]]-Tabela3[[#This Row],[Idade]],"")</f>
        <v/>
      </c>
      <c r="R2004" s="23" t="str">
        <f ca="1">IFERROR(Tabela3[[#This Row],[Valor]]-(Tabela3[[#This Row],[Valor]]*(Tabela3[[#This Row],[Idade]]*VLOOKUP(Tabela3[[#This Row],[Categoria]],Cadastros!A:B,2,0))),"")</f>
        <v/>
      </c>
    </row>
    <row r="2005" spans="4:18" x14ac:dyDescent="0.25">
      <c r="D2005" s="5"/>
      <c r="N2005" s="6" t="str">
        <f>IFERROR(Tabela3[[#This Row],[Última revisão do bem]]+(VLOOKUP(Tabela3[[#This Row],[Categoria]],Cadastros!A:D,4,0)+365),"")</f>
        <v/>
      </c>
      <c r="O2005" s="7" t="str">
        <f ca="1">IF(Tabela3[[#This Row],[Data da compra]]&gt;0,(TODAY()-Tabela3[[#This Row],[Data da compra]])/365,"")</f>
        <v/>
      </c>
      <c r="P2005" s="7" t="str">
        <f>IFERROR(VLOOKUP(Tabela3[[#This Row],[Categoria]],Cadastros!A:C,3,0),"")</f>
        <v/>
      </c>
      <c r="Q2005" s="9" t="str">
        <f ca="1">IFERROR(Tabela3[[#This Row],[Vida útil]]-Tabela3[[#This Row],[Idade]],"")</f>
        <v/>
      </c>
      <c r="R2005" s="8" t="str">
        <f ca="1">IFERROR(Tabela3[[#This Row],[Valor]]-(Tabela3[[#This Row],[Valor]]*(Tabela3[[#This Row],[Idade]]*VLOOKUP(Tabela3[[#This Row],[Categoria]],Cadastros!A:B,2,0))),"")</f>
        <v/>
      </c>
    </row>
    <row r="2006" spans="4:18" x14ac:dyDescent="0.25">
      <c r="D2006" s="5"/>
      <c r="N2006" s="6" t="str">
        <f>IFERROR(Tabela3[[#This Row],[Última revisão do bem]]+(VLOOKUP(Tabela3[[#This Row],[Categoria]],Cadastros!A:D,4,0)+365),"")</f>
        <v/>
      </c>
      <c r="O2006" s="7" t="str">
        <f ca="1">IF(Tabela3[[#This Row],[Data da compra]]&gt;0,(TODAY()-Tabela3[[#This Row],[Data da compra]])/365,"")</f>
        <v/>
      </c>
      <c r="P2006" s="7" t="str">
        <f>IFERROR(VLOOKUP(Tabela3[[#This Row],[Categoria]],Cadastros!A:C,3,0),"")</f>
        <v/>
      </c>
      <c r="Q2006" s="9" t="str">
        <f ca="1">IFERROR(Tabela3[[#This Row],[Vida útil]]-Tabela3[[#This Row],[Idade]],"")</f>
        <v/>
      </c>
      <c r="R2006" s="8" t="str">
        <f ca="1">IFERROR(Tabela3[[#This Row],[Valor]]-(Tabela3[[#This Row],[Valor]]*(Tabela3[[#This Row],[Idade]]*VLOOKUP(Tabela3[[#This Row],[Categoria]],Cadastros!A:B,2,0))),"")</f>
        <v/>
      </c>
    </row>
    <row r="2007" spans="4:18" x14ac:dyDescent="0.25">
      <c r="D2007" s="5"/>
      <c r="N2007" s="6" t="str">
        <f>IFERROR(Tabela3[[#This Row],[Última revisão do bem]]+(VLOOKUP(Tabela3[[#This Row],[Categoria]],Cadastros!A:D,4,0)+365),"")</f>
        <v/>
      </c>
      <c r="O2007" s="7" t="str">
        <f ca="1">IF(Tabela3[[#This Row],[Data da compra]]&gt;0,(TODAY()-Tabela3[[#This Row],[Data da compra]])/365,"")</f>
        <v/>
      </c>
      <c r="P2007" s="7" t="str">
        <f>IFERROR(VLOOKUP(Tabela3[[#This Row],[Categoria]],Cadastros!A:C,3,0),"")</f>
        <v/>
      </c>
      <c r="Q2007" s="9" t="str">
        <f ca="1">IFERROR(Tabela3[[#This Row],[Vida útil]]-Tabela3[[#This Row],[Idade]],"")</f>
        <v/>
      </c>
      <c r="R2007" s="8" t="str">
        <f ca="1">IFERROR(Tabela3[[#This Row],[Valor]]-(Tabela3[[#This Row],[Valor]]*(Tabela3[[#This Row],[Idade]]*VLOOKUP(Tabela3[[#This Row],[Categoria]],Cadastros!A:B,2,0))),"")</f>
        <v/>
      </c>
    </row>
    <row r="2008" spans="4:18" x14ac:dyDescent="0.25">
      <c r="D2008" s="5"/>
      <c r="N2008" s="6" t="str">
        <f>IFERROR(Tabela3[[#This Row],[Última revisão do bem]]+(VLOOKUP(Tabela3[[#This Row],[Categoria]],Cadastros!A:D,4,0)+365),"")</f>
        <v/>
      </c>
      <c r="O2008" s="7" t="str">
        <f ca="1">IF(Tabela3[[#This Row],[Data da compra]]&gt;0,(TODAY()-Tabela3[[#This Row],[Data da compra]])/365,"")</f>
        <v/>
      </c>
      <c r="P2008" s="7" t="str">
        <f>IFERROR(VLOOKUP(Tabela3[[#This Row],[Categoria]],Cadastros!A:C,3,0),"")</f>
        <v/>
      </c>
      <c r="Q2008" s="9" t="str">
        <f ca="1">IFERROR(Tabela3[[#This Row],[Vida útil]]-Tabela3[[#This Row],[Idade]],"")</f>
        <v/>
      </c>
      <c r="R2008" s="8" t="str">
        <f ca="1">IFERROR(Tabela3[[#This Row],[Valor]]-(Tabela3[[#This Row],[Valor]]*(Tabela3[[#This Row],[Idade]]*VLOOKUP(Tabela3[[#This Row],[Categoria]],Cadastros!A:B,2,0))),"")</f>
        <v/>
      </c>
    </row>
    <row r="2009" spans="4:18" x14ac:dyDescent="0.25">
      <c r="D2009" s="5"/>
      <c r="N2009" s="6" t="str">
        <f>IFERROR(Tabela3[[#This Row],[Última revisão do bem]]+(VLOOKUP(Tabela3[[#This Row],[Categoria]],Cadastros!A:D,4,0)+365),"")</f>
        <v/>
      </c>
      <c r="O2009" s="7" t="str">
        <f ca="1">IF(Tabela3[[#This Row],[Data da compra]]&gt;0,(TODAY()-Tabela3[[#This Row],[Data da compra]])/365,"")</f>
        <v/>
      </c>
      <c r="P2009" s="7" t="str">
        <f>IFERROR(VLOOKUP(Tabela3[[#This Row],[Categoria]],Cadastros!A:C,3,0),"")</f>
        <v/>
      </c>
      <c r="Q2009" s="9" t="str">
        <f ca="1">IFERROR(Tabela3[[#This Row],[Vida útil]]-Tabela3[[#This Row],[Idade]],"")</f>
        <v/>
      </c>
      <c r="R2009" s="8" t="str">
        <f ca="1">IFERROR(Tabela3[[#This Row],[Valor]]-(Tabela3[[#This Row],[Valor]]*(Tabela3[[#This Row],[Idade]]*VLOOKUP(Tabela3[[#This Row],[Categoria]],Cadastros!A:B,2,0))),"")</f>
        <v/>
      </c>
    </row>
    <row r="2010" spans="4:18" x14ac:dyDescent="0.25">
      <c r="D2010" s="5"/>
      <c r="N2010" s="6" t="str">
        <f>IFERROR(Tabela3[[#This Row],[Última revisão do bem]]+(VLOOKUP(Tabela3[[#This Row],[Categoria]],Cadastros!A:D,4,0)+365),"")</f>
        <v/>
      </c>
      <c r="O2010" s="7" t="str">
        <f ca="1">IF(Tabela3[[#This Row],[Data da compra]]&gt;0,(TODAY()-Tabela3[[#This Row],[Data da compra]])/365,"")</f>
        <v/>
      </c>
      <c r="P2010" s="7" t="str">
        <f>IFERROR(VLOOKUP(Tabela3[[#This Row],[Categoria]],Cadastros!A:C,3,0),"")</f>
        <v/>
      </c>
      <c r="Q2010" s="9" t="str">
        <f ca="1">IFERROR(Tabela3[[#This Row],[Vida útil]]-Tabela3[[#This Row],[Idade]],"")</f>
        <v/>
      </c>
      <c r="R2010" s="8" t="str">
        <f ca="1">IFERROR(Tabela3[[#This Row],[Valor]]-(Tabela3[[#This Row],[Valor]]*(Tabela3[[#This Row],[Idade]]*VLOOKUP(Tabela3[[#This Row],[Categoria]],Cadastros!A:B,2,0))),"")</f>
        <v/>
      </c>
    </row>
    <row r="2011" spans="4:18" x14ac:dyDescent="0.25">
      <c r="D2011" s="5"/>
      <c r="N2011" s="6" t="str">
        <f>IFERROR(Tabela3[[#This Row],[Última revisão do bem]]+(VLOOKUP(Tabela3[[#This Row],[Categoria]],Cadastros!A:D,4,0)+365),"")</f>
        <v/>
      </c>
      <c r="O2011" s="7" t="str">
        <f ca="1">IF(Tabela3[[#This Row],[Data da compra]]&gt;0,(TODAY()-Tabela3[[#This Row],[Data da compra]])/365,"")</f>
        <v/>
      </c>
      <c r="P2011" s="7" t="str">
        <f>IFERROR(VLOOKUP(Tabela3[[#This Row],[Categoria]],Cadastros!A:C,3,0),"")</f>
        <v/>
      </c>
      <c r="Q2011" s="9" t="str">
        <f ca="1">IFERROR(Tabela3[[#This Row],[Vida útil]]-Tabela3[[#This Row],[Idade]],"")</f>
        <v/>
      </c>
      <c r="R2011" s="8" t="str">
        <f ca="1">IFERROR(Tabela3[[#This Row],[Valor]]-(Tabela3[[#This Row],[Valor]]*(Tabela3[[#This Row],[Idade]]*VLOOKUP(Tabela3[[#This Row],[Categoria]],Cadastros!A:B,2,0))),"")</f>
        <v/>
      </c>
    </row>
    <row r="2012" spans="4:18" x14ac:dyDescent="0.25">
      <c r="D2012" s="5"/>
      <c r="N2012" s="6" t="str">
        <f>IFERROR(Tabela3[[#This Row],[Última revisão do bem]]+(VLOOKUP(Tabela3[[#This Row],[Categoria]],Cadastros!A:D,4,0)+365),"")</f>
        <v/>
      </c>
      <c r="O2012" s="7" t="str">
        <f ca="1">IF(Tabela3[[#This Row],[Data da compra]]&gt;0,(TODAY()-Tabela3[[#This Row],[Data da compra]])/365,"")</f>
        <v/>
      </c>
      <c r="P2012" s="7" t="str">
        <f>IFERROR(VLOOKUP(Tabela3[[#This Row],[Categoria]],Cadastros!A:C,3,0),"")</f>
        <v/>
      </c>
      <c r="Q2012" s="9" t="str">
        <f ca="1">IFERROR(Tabela3[[#This Row],[Vida útil]]-Tabela3[[#This Row],[Idade]],"")</f>
        <v/>
      </c>
      <c r="R2012" s="8" t="str">
        <f ca="1">IFERROR(Tabela3[[#This Row],[Valor]]-(Tabela3[[#This Row],[Valor]]*(Tabela3[[#This Row],[Idade]]*VLOOKUP(Tabela3[[#This Row],[Categoria]],Cadastros!A:B,2,0))),"")</f>
        <v/>
      </c>
    </row>
    <row r="2013" spans="4:18" x14ac:dyDescent="0.25">
      <c r="D2013" s="5"/>
      <c r="N2013" s="6" t="str">
        <f>IFERROR(Tabela3[[#This Row],[Última revisão do bem]]+(VLOOKUP(Tabela3[[#This Row],[Categoria]],Cadastros!A:D,4,0)+365),"")</f>
        <v/>
      </c>
      <c r="O2013" s="7" t="str">
        <f ca="1">IF(Tabela3[[#This Row],[Data da compra]]&gt;0,(TODAY()-Tabela3[[#This Row],[Data da compra]])/365,"")</f>
        <v/>
      </c>
      <c r="P2013" s="7" t="str">
        <f>IFERROR(VLOOKUP(Tabela3[[#This Row],[Categoria]],Cadastros!A:C,3,0),"")</f>
        <v/>
      </c>
      <c r="Q2013" s="9" t="str">
        <f ca="1">IFERROR(Tabela3[[#This Row],[Vida útil]]-Tabela3[[#This Row],[Idade]],"")</f>
        <v/>
      </c>
      <c r="R2013" s="8" t="str">
        <f ca="1">IFERROR(Tabela3[[#This Row],[Valor]]-(Tabela3[[#This Row],[Valor]]*(Tabela3[[#This Row],[Idade]]*VLOOKUP(Tabela3[[#This Row],[Categoria]],Cadastros!A:B,2,0))),"")</f>
        <v/>
      </c>
    </row>
    <row r="2014" spans="4:18" x14ac:dyDescent="0.25">
      <c r="D2014" s="5"/>
      <c r="N2014" s="6" t="str">
        <f>IFERROR(Tabela3[[#This Row],[Última revisão do bem]]+(VLOOKUP(Tabela3[[#This Row],[Categoria]],Cadastros!A:D,4,0)+365),"")</f>
        <v/>
      </c>
      <c r="O2014" s="7" t="str">
        <f ca="1">IF(Tabela3[[#This Row],[Data da compra]]&gt;0,(TODAY()-Tabela3[[#This Row],[Data da compra]])/365,"")</f>
        <v/>
      </c>
      <c r="P2014" s="7" t="str">
        <f>IFERROR(VLOOKUP(Tabela3[[#This Row],[Categoria]],Cadastros!A:C,3,0),"")</f>
        <v/>
      </c>
      <c r="Q2014" s="9" t="str">
        <f ca="1">IFERROR(Tabela3[[#This Row],[Vida útil]]-Tabela3[[#This Row],[Idade]],"")</f>
        <v/>
      </c>
      <c r="R2014" s="8" t="str">
        <f ca="1">IFERROR(Tabela3[[#This Row],[Valor]]-(Tabela3[[#This Row],[Valor]]*(Tabela3[[#This Row],[Idade]]*VLOOKUP(Tabela3[[#This Row],[Categoria]],Cadastros!A:B,2,0))),"")</f>
        <v/>
      </c>
    </row>
    <row r="2015" spans="4:18" x14ac:dyDescent="0.25">
      <c r="D2015" s="5"/>
      <c r="N2015" s="6" t="str">
        <f>IFERROR(Tabela3[[#This Row],[Última revisão do bem]]+(VLOOKUP(Tabela3[[#This Row],[Categoria]],Cadastros!A:D,4,0)+365),"")</f>
        <v/>
      </c>
      <c r="O2015" s="7" t="str">
        <f ca="1">IF(Tabela3[[#This Row],[Data da compra]]&gt;0,(TODAY()-Tabela3[[#This Row],[Data da compra]])/365,"")</f>
        <v/>
      </c>
      <c r="P2015" s="7" t="str">
        <f>IFERROR(VLOOKUP(Tabela3[[#This Row],[Categoria]],Cadastros!A:C,3,0),"")</f>
        <v/>
      </c>
      <c r="Q2015" s="9" t="str">
        <f ca="1">IFERROR(Tabela3[[#This Row],[Vida útil]]-Tabela3[[#This Row],[Idade]],"")</f>
        <v/>
      </c>
      <c r="R2015" s="8" t="str">
        <f ca="1">IFERROR(Tabela3[[#This Row],[Valor]]-(Tabela3[[#This Row],[Valor]]*(Tabela3[[#This Row],[Idade]]*VLOOKUP(Tabela3[[#This Row],[Categoria]],Cadastros!A:B,2,0))),"")</f>
        <v/>
      </c>
    </row>
    <row r="2016" spans="4:18" x14ac:dyDescent="0.25">
      <c r="D2016" s="5"/>
      <c r="N2016" s="6" t="str">
        <f>IFERROR(Tabela3[[#This Row],[Última revisão do bem]]+(VLOOKUP(Tabela3[[#This Row],[Categoria]],Cadastros!A:D,4,0)+365),"")</f>
        <v/>
      </c>
      <c r="O2016" s="7" t="str">
        <f ca="1">IF(Tabela3[[#This Row],[Data da compra]]&gt;0,(TODAY()-Tabela3[[#This Row],[Data da compra]])/365,"")</f>
        <v/>
      </c>
      <c r="P2016" s="7" t="str">
        <f>IFERROR(VLOOKUP(Tabela3[[#This Row],[Categoria]],Cadastros!A:C,3,0),"")</f>
        <v/>
      </c>
      <c r="Q2016" s="9" t="str">
        <f ca="1">IFERROR(Tabela3[[#This Row],[Vida útil]]-Tabela3[[#This Row],[Idade]],"")</f>
        <v/>
      </c>
      <c r="R2016" s="8" t="str">
        <f ca="1">IFERROR(Tabela3[[#This Row],[Valor]]-(Tabela3[[#This Row],[Valor]]*(Tabela3[[#This Row],[Idade]]*VLOOKUP(Tabela3[[#This Row],[Categoria]],Cadastros!A:B,2,0))),"")</f>
        <v/>
      </c>
    </row>
    <row r="2017" spans="4:18" x14ac:dyDescent="0.25">
      <c r="D2017" s="5"/>
      <c r="N2017" s="6" t="str">
        <f>IFERROR(Tabela3[[#This Row],[Última revisão do bem]]+(VLOOKUP(Tabela3[[#This Row],[Categoria]],Cadastros!A:D,4,0)+365),"")</f>
        <v/>
      </c>
      <c r="O2017" s="7" t="str">
        <f ca="1">IF(Tabela3[[#This Row],[Data da compra]]&gt;0,(TODAY()-Tabela3[[#This Row],[Data da compra]])/365,"")</f>
        <v/>
      </c>
      <c r="P2017" s="7" t="str">
        <f>IFERROR(VLOOKUP(Tabela3[[#This Row],[Categoria]],Cadastros!A:C,3,0),"")</f>
        <v/>
      </c>
      <c r="Q2017" s="9" t="str">
        <f ca="1">IFERROR(Tabela3[[#This Row],[Vida útil]]-Tabela3[[#This Row],[Idade]],"")</f>
        <v/>
      </c>
      <c r="R2017" s="8" t="str">
        <f ca="1">IFERROR(Tabela3[[#This Row],[Valor]]-(Tabela3[[#This Row],[Valor]]*(Tabela3[[#This Row],[Idade]]*VLOOKUP(Tabela3[[#This Row],[Categoria]],Cadastros!A:B,2,0))),"")</f>
        <v/>
      </c>
    </row>
    <row r="2018" spans="4:18" x14ac:dyDescent="0.25">
      <c r="D2018" s="5"/>
      <c r="N2018" s="6" t="str">
        <f>IFERROR(Tabela3[[#This Row],[Última revisão do bem]]+(VLOOKUP(Tabela3[[#This Row],[Categoria]],Cadastros!A:D,4,0)+365),"")</f>
        <v/>
      </c>
      <c r="O2018" s="7" t="str">
        <f ca="1">IF(Tabela3[[#This Row],[Data da compra]]&gt;0,(TODAY()-Tabela3[[#This Row],[Data da compra]])/365,"")</f>
        <v/>
      </c>
      <c r="P2018" s="7" t="str">
        <f>IFERROR(VLOOKUP(Tabela3[[#This Row],[Categoria]],Cadastros!A:C,3,0),"")</f>
        <v/>
      </c>
      <c r="Q2018" s="9" t="str">
        <f ca="1">IFERROR(Tabela3[[#This Row],[Vida útil]]-Tabela3[[#This Row],[Idade]],"")</f>
        <v/>
      </c>
      <c r="R2018" s="8" t="str">
        <f ca="1">IFERROR(Tabela3[[#This Row],[Valor]]-(Tabela3[[#This Row],[Valor]]*(Tabela3[[#This Row],[Idade]]*VLOOKUP(Tabela3[[#This Row],[Categoria]],Cadastros!A:B,2,0))),"")</f>
        <v/>
      </c>
    </row>
    <row r="2019" spans="4:18" x14ac:dyDescent="0.25">
      <c r="D2019" s="5"/>
      <c r="N2019" s="6" t="str">
        <f>IFERROR(Tabela3[[#This Row],[Última revisão do bem]]+(VLOOKUP(Tabela3[[#This Row],[Categoria]],Cadastros!A:D,4,0)+365),"")</f>
        <v/>
      </c>
      <c r="O2019" s="7" t="str">
        <f ca="1">IF(Tabela3[[#This Row],[Data da compra]]&gt;0,(TODAY()-Tabela3[[#This Row],[Data da compra]])/365,"")</f>
        <v/>
      </c>
      <c r="P2019" s="7" t="str">
        <f>IFERROR(VLOOKUP(Tabela3[[#This Row],[Categoria]],Cadastros!A:C,3,0),"")</f>
        <v/>
      </c>
      <c r="Q2019" s="9" t="str">
        <f ca="1">IFERROR(Tabela3[[#This Row],[Vida útil]]-Tabela3[[#This Row],[Idade]],"")</f>
        <v/>
      </c>
      <c r="R2019" s="8" t="str">
        <f ca="1">IFERROR(Tabela3[[#This Row],[Valor]]-(Tabela3[[#This Row],[Valor]]*(Tabela3[[#This Row],[Idade]]*VLOOKUP(Tabela3[[#This Row],[Categoria]],Cadastros!A:B,2,0))),"")</f>
        <v/>
      </c>
    </row>
    <row r="2020" spans="4:18" x14ac:dyDescent="0.25">
      <c r="D2020" s="5"/>
      <c r="N2020" s="6" t="str">
        <f>IFERROR(Tabela3[[#This Row],[Última revisão do bem]]+(VLOOKUP(Tabela3[[#This Row],[Categoria]],Cadastros!A:D,4,0)+365),"")</f>
        <v/>
      </c>
      <c r="O2020" s="7" t="str">
        <f ca="1">IF(Tabela3[[#This Row],[Data da compra]]&gt;0,(TODAY()-Tabela3[[#This Row],[Data da compra]])/365,"")</f>
        <v/>
      </c>
      <c r="P2020" s="7" t="str">
        <f>IFERROR(VLOOKUP(Tabela3[[#This Row],[Categoria]],Cadastros!A:C,3,0),"")</f>
        <v/>
      </c>
      <c r="Q2020" s="9" t="str">
        <f ca="1">IFERROR(Tabela3[[#This Row],[Vida útil]]-Tabela3[[#This Row],[Idade]],"")</f>
        <v/>
      </c>
      <c r="R2020" s="8" t="str">
        <f ca="1">IFERROR(Tabela3[[#This Row],[Valor]]-(Tabela3[[#This Row],[Valor]]*(Tabela3[[#This Row],[Idade]]*VLOOKUP(Tabela3[[#This Row],[Categoria]],Cadastros!A:B,2,0))),"")</f>
        <v/>
      </c>
    </row>
    <row r="2021" spans="4:18" x14ac:dyDescent="0.25">
      <c r="D2021" s="5"/>
      <c r="N2021" s="6" t="str">
        <f>IFERROR(Tabela3[[#This Row],[Última revisão do bem]]+(VLOOKUP(Tabela3[[#This Row],[Categoria]],Cadastros!A:D,4,0)+365),"")</f>
        <v/>
      </c>
      <c r="O2021" s="7" t="str">
        <f ca="1">IF(Tabela3[[#This Row],[Data da compra]]&gt;0,(TODAY()-Tabela3[[#This Row],[Data da compra]])/365,"")</f>
        <v/>
      </c>
      <c r="P2021" s="7" t="str">
        <f>IFERROR(VLOOKUP(Tabela3[[#This Row],[Categoria]],Cadastros!A:C,3,0),"")</f>
        <v/>
      </c>
      <c r="Q2021" s="9" t="str">
        <f ca="1">IFERROR(Tabela3[[#This Row],[Vida útil]]-Tabela3[[#This Row],[Idade]],"")</f>
        <v/>
      </c>
      <c r="R2021" s="8" t="str">
        <f ca="1">IFERROR(Tabela3[[#This Row],[Valor]]-(Tabela3[[#This Row],[Valor]]*(Tabela3[[#This Row],[Idade]]*VLOOKUP(Tabela3[[#This Row],[Categoria]],Cadastros!A:B,2,0))),"")</f>
        <v/>
      </c>
    </row>
    <row r="2022" spans="4:18" x14ac:dyDescent="0.25">
      <c r="D2022" s="22"/>
      <c r="N2022" s="6" t="str">
        <f>IFERROR(Tabela3[[#This Row],[Última revisão do bem]]+(VLOOKUP(Tabela3[[#This Row],[Categoria]],Cadastros!A:D,4,0)+365),"")</f>
        <v/>
      </c>
      <c r="O2022" s="7" t="str">
        <f ca="1">IF(Tabela3[[#This Row],[Data da compra]]&gt;0,(TODAY()-Tabela3[[#This Row],[Data da compra]])/365,"")</f>
        <v/>
      </c>
      <c r="P2022" s="7" t="str">
        <f>IFERROR(VLOOKUP(Tabela3[[#This Row],[Categoria]],Cadastros!A:C,3,0),"")</f>
        <v/>
      </c>
      <c r="Q2022" s="9" t="str">
        <f ca="1">IFERROR(Tabela3[[#This Row],[Vida útil]]-Tabela3[[#This Row],[Idade]],"")</f>
        <v/>
      </c>
      <c r="R2022" s="23" t="str">
        <f ca="1">IFERROR(Tabela3[[#This Row],[Valor]]-(Tabela3[[#This Row],[Valor]]*(Tabela3[[#This Row],[Idade]]*VLOOKUP(Tabela3[[#This Row],[Categoria]],Cadastros!A:B,2,0))),"")</f>
        <v/>
      </c>
    </row>
  </sheetData>
  <conditionalFormatting sqref="L2:L2022">
    <cfRule type="cellIs" dxfId="1617" priority="1607" operator="equal">
      <formula>"Trocar"</formula>
    </cfRule>
    <cfRule type="cellIs" dxfId="1616" priority="1608" operator="equal">
      <formula>"Ruim"</formula>
    </cfRule>
    <cfRule type="cellIs" dxfId="1615" priority="1609" operator="equal">
      <formula>"Médio"</formula>
    </cfRule>
    <cfRule type="cellIs" dxfId="1614" priority="1610" operator="equal">
      <formula>"Bom"</formula>
    </cfRule>
  </conditionalFormatting>
  <conditionalFormatting sqref="N2:N2022">
    <cfRule type="expression" dxfId="1613" priority="1606">
      <formula>$N2&lt;TODAY()</formula>
    </cfRule>
  </conditionalFormatting>
  <conditionalFormatting sqref="L25">
    <cfRule type="cellIs" dxfId="1612" priority="1602" operator="equal">
      <formula>"Trocar"</formula>
    </cfRule>
    <cfRule type="cellIs" dxfId="1611" priority="1603" operator="equal">
      <formula>"Ruim"</formula>
    </cfRule>
    <cfRule type="cellIs" dxfId="1610" priority="1604" operator="equal">
      <formula>"Médio"</formula>
    </cfRule>
    <cfRule type="cellIs" dxfId="1609" priority="1605" operator="equal">
      <formula>"Bom"</formula>
    </cfRule>
  </conditionalFormatting>
  <conditionalFormatting sqref="L25:L42">
    <cfRule type="cellIs" dxfId="1608" priority="1598" operator="equal">
      <formula>"Trocar"</formula>
    </cfRule>
    <cfRule type="cellIs" dxfId="1607" priority="1599" operator="equal">
      <formula>"Ruim"</formula>
    </cfRule>
    <cfRule type="cellIs" dxfId="1606" priority="1600" operator="equal">
      <formula>"Médio"</formula>
    </cfRule>
    <cfRule type="cellIs" dxfId="1605" priority="1601" operator="equal">
      <formula>"Bom"</formula>
    </cfRule>
  </conditionalFormatting>
  <conditionalFormatting sqref="N25:N42">
    <cfRule type="expression" dxfId="1604" priority="1597">
      <formula>$N25&lt;TODAY()</formula>
    </cfRule>
  </conditionalFormatting>
  <conditionalFormatting sqref="L25:L42">
    <cfRule type="cellIs" dxfId="1603" priority="1593" operator="equal">
      <formula>"Trocar"</formula>
    </cfRule>
    <cfRule type="cellIs" dxfId="1602" priority="1594" operator="equal">
      <formula>"Ruim"</formula>
    </cfRule>
    <cfRule type="cellIs" dxfId="1601" priority="1595" operator="equal">
      <formula>"Médio"</formula>
    </cfRule>
    <cfRule type="cellIs" dxfId="1600" priority="1596" operator="equal">
      <formula>"Bom"</formula>
    </cfRule>
  </conditionalFormatting>
  <conditionalFormatting sqref="N25:N42">
    <cfRule type="expression" dxfId="1599" priority="1592">
      <formula>$N25&lt;TODAY()</formula>
    </cfRule>
  </conditionalFormatting>
  <conditionalFormatting sqref="L43:L60">
    <cfRule type="cellIs" dxfId="1598" priority="1588" operator="equal">
      <formula>"Trocar"</formula>
    </cfRule>
    <cfRule type="cellIs" dxfId="1597" priority="1589" operator="equal">
      <formula>"Ruim"</formula>
    </cfRule>
    <cfRule type="cellIs" dxfId="1596" priority="1590" operator="equal">
      <formula>"Médio"</formula>
    </cfRule>
    <cfRule type="cellIs" dxfId="1595" priority="1591" operator="equal">
      <formula>"Bom"</formula>
    </cfRule>
  </conditionalFormatting>
  <conditionalFormatting sqref="N43:N60">
    <cfRule type="expression" dxfId="1594" priority="1587">
      <formula>$N43&lt;TODAY()</formula>
    </cfRule>
  </conditionalFormatting>
  <conditionalFormatting sqref="L61:L78">
    <cfRule type="cellIs" dxfId="1593" priority="1583" operator="equal">
      <formula>"Trocar"</formula>
    </cfRule>
    <cfRule type="cellIs" dxfId="1592" priority="1584" operator="equal">
      <formula>"Ruim"</formula>
    </cfRule>
    <cfRule type="cellIs" dxfId="1591" priority="1585" operator="equal">
      <formula>"Médio"</formula>
    </cfRule>
    <cfRule type="cellIs" dxfId="1590" priority="1586" operator="equal">
      <formula>"Bom"</formula>
    </cfRule>
  </conditionalFormatting>
  <conditionalFormatting sqref="N61:N78">
    <cfRule type="expression" dxfId="1589" priority="1582">
      <formula>$N61&lt;TODAY()</formula>
    </cfRule>
  </conditionalFormatting>
  <conditionalFormatting sqref="L79:L96">
    <cfRule type="cellIs" dxfId="1588" priority="1578" operator="equal">
      <formula>"Trocar"</formula>
    </cfRule>
    <cfRule type="cellIs" dxfId="1587" priority="1579" operator="equal">
      <formula>"Ruim"</formula>
    </cfRule>
    <cfRule type="cellIs" dxfId="1586" priority="1580" operator="equal">
      <formula>"Médio"</formula>
    </cfRule>
    <cfRule type="cellIs" dxfId="1585" priority="1581" operator="equal">
      <formula>"Bom"</formula>
    </cfRule>
  </conditionalFormatting>
  <conditionalFormatting sqref="N79:N96">
    <cfRule type="expression" dxfId="1584" priority="1577">
      <formula>$N79&lt;TODAY()</formula>
    </cfRule>
  </conditionalFormatting>
  <conditionalFormatting sqref="L97:L114">
    <cfRule type="cellIs" dxfId="1583" priority="1573" operator="equal">
      <formula>"Trocar"</formula>
    </cfRule>
    <cfRule type="cellIs" dxfId="1582" priority="1574" operator="equal">
      <formula>"Ruim"</formula>
    </cfRule>
    <cfRule type="cellIs" dxfId="1581" priority="1575" operator="equal">
      <formula>"Médio"</formula>
    </cfRule>
    <cfRule type="cellIs" dxfId="1580" priority="1576" operator="equal">
      <formula>"Bom"</formula>
    </cfRule>
  </conditionalFormatting>
  <conditionalFormatting sqref="N97:N114">
    <cfRule type="expression" dxfId="1579" priority="1572">
      <formula>$N97&lt;TODAY()</formula>
    </cfRule>
  </conditionalFormatting>
  <conditionalFormatting sqref="L115:L132">
    <cfRule type="cellIs" dxfId="1578" priority="1568" operator="equal">
      <formula>"Trocar"</formula>
    </cfRule>
    <cfRule type="cellIs" dxfId="1577" priority="1569" operator="equal">
      <formula>"Ruim"</formula>
    </cfRule>
    <cfRule type="cellIs" dxfId="1576" priority="1570" operator="equal">
      <formula>"Médio"</formula>
    </cfRule>
    <cfRule type="cellIs" dxfId="1575" priority="1571" operator="equal">
      <formula>"Bom"</formula>
    </cfRule>
  </conditionalFormatting>
  <conditionalFormatting sqref="N115:N132">
    <cfRule type="expression" dxfId="1574" priority="1567">
      <formula>$N115&lt;TODAY()</formula>
    </cfRule>
  </conditionalFormatting>
  <conditionalFormatting sqref="L133:L150">
    <cfRule type="cellIs" dxfId="1573" priority="1563" operator="equal">
      <formula>"Trocar"</formula>
    </cfRule>
    <cfRule type="cellIs" dxfId="1572" priority="1564" operator="equal">
      <formula>"Ruim"</formula>
    </cfRule>
    <cfRule type="cellIs" dxfId="1571" priority="1565" operator="equal">
      <formula>"Médio"</formula>
    </cfRule>
    <cfRule type="cellIs" dxfId="1570" priority="1566" operator="equal">
      <formula>"Bom"</formula>
    </cfRule>
  </conditionalFormatting>
  <conditionalFormatting sqref="N133:N150">
    <cfRule type="expression" dxfId="1569" priority="1562">
      <formula>$N133&lt;TODAY()</formula>
    </cfRule>
  </conditionalFormatting>
  <conditionalFormatting sqref="L151:L294">
    <cfRule type="cellIs" dxfId="1568" priority="1558" operator="equal">
      <formula>"Trocar"</formula>
    </cfRule>
    <cfRule type="cellIs" dxfId="1567" priority="1559" operator="equal">
      <formula>"Ruim"</formula>
    </cfRule>
    <cfRule type="cellIs" dxfId="1566" priority="1560" operator="equal">
      <formula>"Médio"</formula>
    </cfRule>
    <cfRule type="cellIs" dxfId="1565" priority="1561" operator="equal">
      <formula>"Bom"</formula>
    </cfRule>
  </conditionalFormatting>
  <conditionalFormatting sqref="N151:N294">
    <cfRule type="expression" dxfId="1564" priority="1557">
      <formula>$N151&lt;TODAY()</formula>
    </cfRule>
  </conditionalFormatting>
  <conditionalFormatting sqref="L169">
    <cfRule type="cellIs" dxfId="1563" priority="1553" operator="equal">
      <formula>"Trocar"</formula>
    </cfRule>
    <cfRule type="cellIs" dxfId="1562" priority="1554" operator="equal">
      <formula>"Ruim"</formula>
    </cfRule>
    <cfRule type="cellIs" dxfId="1561" priority="1555" operator="equal">
      <formula>"Médio"</formula>
    </cfRule>
    <cfRule type="cellIs" dxfId="1560" priority="1556" operator="equal">
      <formula>"Bom"</formula>
    </cfRule>
  </conditionalFormatting>
  <conditionalFormatting sqref="L169:L186">
    <cfRule type="cellIs" dxfId="1559" priority="1549" operator="equal">
      <formula>"Trocar"</formula>
    </cfRule>
    <cfRule type="cellIs" dxfId="1558" priority="1550" operator="equal">
      <formula>"Ruim"</formula>
    </cfRule>
    <cfRule type="cellIs" dxfId="1557" priority="1551" operator="equal">
      <formula>"Médio"</formula>
    </cfRule>
    <cfRule type="cellIs" dxfId="1556" priority="1552" operator="equal">
      <formula>"Bom"</formula>
    </cfRule>
  </conditionalFormatting>
  <conditionalFormatting sqref="N169:N186">
    <cfRule type="expression" dxfId="1555" priority="1548">
      <formula>$N169&lt;TODAY()</formula>
    </cfRule>
  </conditionalFormatting>
  <conditionalFormatting sqref="L169:L186">
    <cfRule type="cellIs" dxfId="1554" priority="1544" operator="equal">
      <formula>"Trocar"</formula>
    </cfRule>
    <cfRule type="cellIs" dxfId="1553" priority="1545" operator="equal">
      <formula>"Ruim"</formula>
    </cfRule>
    <cfRule type="cellIs" dxfId="1552" priority="1546" operator="equal">
      <formula>"Médio"</formula>
    </cfRule>
    <cfRule type="cellIs" dxfId="1551" priority="1547" operator="equal">
      <formula>"Bom"</formula>
    </cfRule>
  </conditionalFormatting>
  <conditionalFormatting sqref="N169:N186">
    <cfRule type="expression" dxfId="1550" priority="1543">
      <formula>$N169&lt;TODAY()</formula>
    </cfRule>
  </conditionalFormatting>
  <conditionalFormatting sqref="L187:L204">
    <cfRule type="cellIs" dxfId="1549" priority="1539" operator="equal">
      <formula>"Trocar"</formula>
    </cfRule>
    <cfRule type="cellIs" dxfId="1548" priority="1540" operator="equal">
      <formula>"Ruim"</formula>
    </cfRule>
    <cfRule type="cellIs" dxfId="1547" priority="1541" operator="equal">
      <formula>"Médio"</formula>
    </cfRule>
    <cfRule type="cellIs" dxfId="1546" priority="1542" operator="equal">
      <formula>"Bom"</formula>
    </cfRule>
  </conditionalFormatting>
  <conditionalFormatting sqref="N187:N204">
    <cfRule type="expression" dxfId="1545" priority="1538">
      <formula>$N187&lt;TODAY()</formula>
    </cfRule>
  </conditionalFormatting>
  <conditionalFormatting sqref="L205:L222">
    <cfRule type="cellIs" dxfId="1544" priority="1534" operator="equal">
      <formula>"Trocar"</formula>
    </cfRule>
    <cfRule type="cellIs" dxfId="1543" priority="1535" operator="equal">
      <formula>"Ruim"</formula>
    </cfRule>
    <cfRule type="cellIs" dxfId="1542" priority="1536" operator="equal">
      <formula>"Médio"</formula>
    </cfRule>
    <cfRule type="cellIs" dxfId="1541" priority="1537" operator="equal">
      <formula>"Bom"</formula>
    </cfRule>
  </conditionalFormatting>
  <conditionalFormatting sqref="N205:N222">
    <cfRule type="expression" dxfId="1540" priority="1533">
      <formula>$N205&lt;TODAY()</formula>
    </cfRule>
  </conditionalFormatting>
  <conditionalFormatting sqref="L223:L240">
    <cfRule type="cellIs" dxfId="1539" priority="1529" operator="equal">
      <formula>"Trocar"</formula>
    </cfRule>
    <cfRule type="cellIs" dxfId="1538" priority="1530" operator="equal">
      <formula>"Ruim"</formula>
    </cfRule>
    <cfRule type="cellIs" dxfId="1537" priority="1531" operator="equal">
      <formula>"Médio"</formula>
    </cfRule>
    <cfRule type="cellIs" dxfId="1536" priority="1532" operator="equal">
      <formula>"Bom"</formula>
    </cfRule>
  </conditionalFormatting>
  <conditionalFormatting sqref="N223:N240">
    <cfRule type="expression" dxfId="1535" priority="1528">
      <formula>$N223&lt;TODAY()</formula>
    </cfRule>
  </conditionalFormatting>
  <conditionalFormatting sqref="L241:L258">
    <cfRule type="cellIs" dxfId="1534" priority="1524" operator="equal">
      <formula>"Trocar"</formula>
    </cfRule>
    <cfRule type="cellIs" dxfId="1533" priority="1525" operator="equal">
      <formula>"Ruim"</formula>
    </cfRule>
    <cfRule type="cellIs" dxfId="1532" priority="1526" operator="equal">
      <formula>"Médio"</formula>
    </cfRule>
    <cfRule type="cellIs" dxfId="1531" priority="1527" operator="equal">
      <formula>"Bom"</formula>
    </cfRule>
  </conditionalFormatting>
  <conditionalFormatting sqref="N241:N258">
    <cfRule type="expression" dxfId="1530" priority="1523">
      <formula>$N241&lt;TODAY()</formula>
    </cfRule>
  </conditionalFormatting>
  <conditionalFormatting sqref="L259:L276">
    <cfRule type="cellIs" dxfId="1529" priority="1519" operator="equal">
      <formula>"Trocar"</formula>
    </cfRule>
    <cfRule type="cellIs" dxfId="1528" priority="1520" operator="equal">
      <formula>"Ruim"</formula>
    </cfRule>
    <cfRule type="cellIs" dxfId="1527" priority="1521" operator="equal">
      <formula>"Médio"</formula>
    </cfRule>
    <cfRule type="cellIs" dxfId="1526" priority="1522" operator="equal">
      <formula>"Bom"</formula>
    </cfRule>
  </conditionalFormatting>
  <conditionalFormatting sqref="N259:N276">
    <cfRule type="expression" dxfId="1525" priority="1518">
      <formula>$N259&lt;TODAY()</formula>
    </cfRule>
  </conditionalFormatting>
  <conditionalFormatting sqref="L277:L294">
    <cfRule type="cellIs" dxfId="1524" priority="1514" operator="equal">
      <formula>"Trocar"</formula>
    </cfRule>
    <cfRule type="cellIs" dxfId="1523" priority="1515" operator="equal">
      <formula>"Ruim"</formula>
    </cfRule>
    <cfRule type="cellIs" dxfId="1522" priority="1516" operator="equal">
      <formula>"Médio"</formula>
    </cfRule>
    <cfRule type="cellIs" dxfId="1521" priority="1517" operator="equal">
      <formula>"Bom"</formula>
    </cfRule>
  </conditionalFormatting>
  <conditionalFormatting sqref="N277:N294">
    <cfRule type="expression" dxfId="1520" priority="1513">
      <formula>$N277&lt;TODAY()</formula>
    </cfRule>
  </conditionalFormatting>
  <conditionalFormatting sqref="L169">
    <cfRule type="cellIs" dxfId="1519" priority="1509" operator="equal">
      <formula>"Trocar"</formula>
    </cfRule>
    <cfRule type="cellIs" dxfId="1518" priority="1510" operator="equal">
      <formula>"Ruim"</formula>
    </cfRule>
    <cfRule type="cellIs" dxfId="1517" priority="1511" operator="equal">
      <formula>"Médio"</formula>
    </cfRule>
    <cfRule type="cellIs" dxfId="1516" priority="1512" operator="equal">
      <formula>"Bom"</formula>
    </cfRule>
  </conditionalFormatting>
  <conditionalFormatting sqref="L169:L186">
    <cfRule type="cellIs" dxfId="1515" priority="1505" operator="equal">
      <formula>"Trocar"</formula>
    </cfRule>
    <cfRule type="cellIs" dxfId="1514" priority="1506" operator="equal">
      <formula>"Ruim"</formula>
    </cfRule>
    <cfRule type="cellIs" dxfId="1513" priority="1507" operator="equal">
      <formula>"Médio"</formula>
    </cfRule>
    <cfRule type="cellIs" dxfId="1512" priority="1508" operator="equal">
      <formula>"Bom"</formula>
    </cfRule>
  </conditionalFormatting>
  <conditionalFormatting sqref="N169:N186">
    <cfRule type="expression" dxfId="1511" priority="1504">
      <formula>$N169&lt;TODAY()</formula>
    </cfRule>
  </conditionalFormatting>
  <conditionalFormatting sqref="L169:L186">
    <cfRule type="cellIs" dxfId="1510" priority="1500" operator="equal">
      <formula>"Trocar"</formula>
    </cfRule>
    <cfRule type="cellIs" dxfId="1509" priority="1501" operator="equal">
      <formula>"Ruim"</formula>
    </cfRule>
    <cfRule type="cellIs" dxfId="1508" priority="1502" operator="equal">
      <formula>"Médio"</formula>
    </cfRule>
    <cfRule type="cellIs" dxfId="1507" priority="1503" operator="equal">
      <formula>"Bom"</formula>
    </cfRule>
  </conditionalFormatting>
  <conditionalFormatting sqref="N169:N186">
    <cfRule type="expression" dxfId="1506" priority="1499">
      <formula>$N169&lt;TODAY()</formula>
    </cfRule>
  </conditionalFormatting>
  <conditionalFormatting sqref="L187:L204">
    <cfRule type="cellIs" dxfId="1505" priority="1495" operator="equal">
      <formula>"Trocar"</formula>
    </cfRule>
    <cfRule type="cellIs" dxfId="1504" priority="1496" operator="equal">
      <formula>"Ruim"</formula>
    </cfRule>
    <cfRule type="cellIs" dxfId="1503" priority="1497" operator="equal">
      <formula>"Médio"</formula>
    </cfRule>
    <cfRule type="cellIs" dxfId="1502" priority="1498" operator="equal">
      <formula>"Bom"</formula>
    </cfRule>
  </conditionalFormatting>
  <conditionalFormatting sqref="N187:N204">
    <cfRule type="expression" dxfId="1501" priority="1494">
      <formula>$N187&lt;TODAY()</formula>
    </cfRule>
  </conditionalFormatting>
  <conditionalFormatting sqref="L205:L222">
    <cfRule type="cellIs" dxfId="1500" priority="1490" operator="equal">
      <formula>"Trocar"</formula>
    </cfRule>
    <cfRule type="cellIs" dxfId="1499" priority="1491" operator="equal">
      <formula>"Ruim"</formula>
    </cfRule>
    <cfRule type="cellIs" dxfId="1498" priority="1492" operator="equal">
      <formula>"Médio"</formula>
    </cfRule>
    <cfRule type="cellIs" dxfId="1497" priority="1493" operator="equal">
      <formula>"Bom"</formula>
    </cfRule>
  </conditionalFormatting>
  <conditionalFormatting sqref="N205:N222">
    <cfRule type="expression" dxfId="1496" priority="1489">
      <formula>$N205&lt;TODAY()</formula>
    </cfRule>
  </conditionalFormatting>
  <conditionalFormatting sqref="L223:L240">
    <cfRule type="cellIs" dxfId="1495" priority="1485" operator="equal">
      <formula>"Trocar"</formula>
    </cfRule>
    <cfRule type="cellIs" dxfId="1494" priority="1486" operator="equal">
      <formula>"Ruim"</formula>
    </cfRule>
    <cfRule type="cellIs" dxfId="1493" priority="1487" operator="equal">
      <formula>"Médio"</formula>
    </cfRule>
    <cfRule type="cellIs" dxfId="1492" priority="1488" operator="equal">
      <formula>"Bom"</formula>
    </cfRule>
  </conditionalFormatting>
  <conditionalFormatting sqref="N223:N240">
    <cfRule type="expression" dxfId="1491" priority="1484">
      <formula>$N223&lt;TODAY()</formula>
    </cfRule>
  </conditionalFormatting>
  <conditionalFormatting sqref="L241:L258">
    <cfRule type="cellIs" dxfId="1490" priority="1480" operator="equal">
      <formula>"Trocar"</formula>
    </cfRule>
    <cfRule type="cellIs" dxfId="1489" priority="1481" operator="equal">
      <formula>"Ruim"</formula>
    </cfRule>
    <cfRule type="cellIs" dxfId="1488" priority="1482" operator="equal">
      <formula>"Médio"</formula>
    </cfRule>
    <cfRule type="cellIs" dxfId="1487" priority="1483" operator="equal">
      <formula>"Bom"</formula>
    </cfRule>
  </conditionalFormatting>
  <conditionalFormatting sqref="N241:N258">
    <cfRule type="expression" dxfId="1486" priority="1479">
      <formula>$N241&lt;TODAY()</formula>
    </cfRule>
  </conditionalFormatting>
  <conditionalFormatting sqref="L259:L276">
    <cfRule type="cellIs" dxfId="1485" priority="1475" operator="equal">
      <formula>"Trocar"</formula>
    </cfRule>
    <cfRule type="cellIs" dxfId="1484" priority="1476" operator="equal">
      <formula>"Ruim"</formula>
    </cfRule>
    <cfRule type="cellIs" dxfId="1483" priority="1477" operator="equal">
      <formula>"Médio"</formula>
    </cfRule>
    <cfRule type="cellIs" dxfId="1482" priority="1478" operator="equal">
      <formula>"Bom"</formula>
    </cfRule>
  </conditionalFormatting>
  <conditionalFormatting sqref="N259:N276">
    <cfRule type="expression" dxfId="1481" priority="1474">
      <formula>$N259&lt;TODAY()</formula>
    </cfRule>
  </conditionalFormatting>
  <conditionalFormatting sqref="L277:L294">
    <cfRule type="cellIs" dxfId="1480" priority="1470" operator="equal">
      <formula>"Trocar"</formula>
    </cfRule>
    <cfRule type="cellIs" dxfId="1479" priority="1471" operator="equal">
      <formula>"Ruim"</formula>
    </cfRule>
    <cfRule type="cellIs" dxfId="1478" priority="1472" operator="equal">
      <formula>"Médio"</formula>
    </cfRule>
    <cfRule type="cellIs" dxfId="1477" priority="1473" operator="equal">
      <formula>"Bom"</formula>
    </cfRule>
  </conditionalFormatting>
  <conditionalFormatting sqref="N277:N294">
    <cfRule type="expression" dxfId="1476" priority="1469">
      <formula>$N277&lt;TODAY()</formula>
    </cfRule>
  </conditionalFormatting>
  <conditionalFormatting sqref="L169">
    <cfRule type="cellIs" dxfId="1475" priority="1465" operator="equal">
      <formula>"Trocar"</formula>
    </cfRule>
    <cfRule type="cellIs" dxfId="1474" priority="1466" operator="equal">
      <formula>"Ruim"</formula>
    </cfRule>
    <cfRule type="cellIs" dxfId="1473" priority="1467" operator="equal">
      <formula>"Médio"</formula>
    </cfRule>
    <cfRule type="cellIs" dxfId="1472" priority="1468" operator="equal">
      <formula>"Bom"</formula>
    </cfRule>
  </conditionalFormatting>
  <conditionalFormatting sqref="L169:L186">
    <cfRule type="cellIs" dxfId="1471" priority="1461" operator="equal">
      <formula>"Trocar"</formula>
    </cfRule>
    <cfRule type="cellIs" dxfId="1470" priority="1462" operator="equal">
      <formula>"Ruim"</formula>
    </cfRule>
    <cfRule type="cellIs" dxfId="1469" priority="1463" operator="equal">
      <formula>"Médio"</formula>
    </cfRule>
    <cfRule type="cellIs" dxfId="1468" priority="1464" operator="equal">
      <formula>"Bom"</formula>
    </cfRule>
  </conditionalFormatting>
  <conditionalFormatting sqref="N169:N186">
    <cfRule type="expression" dxfId="1467" priority="1460">
      <formula>$N169&lt;TODAY()</formula>
    </cfRule>
  </conditionalFormatting>
  <conditionalFormatting sqref="L169:L186">
    <cfRule type="cellIs" dxfId="1466" priority="1456" operator="equal">
      <formula>"Trocar"</formula>
    </cfRule>
    <cfRule type="cellIs" dxfId="1465" priority="1457" operator="equal">
      <formula>"Ruim"</formula>
    </cfRule>
    <cfRule type="cellIs" dxfId="1464" priority="1458" operator="equal">
      <formula>"Médio"</formula>
    </cfRule>
    <cfRule type="cellIs" dxfId="1463" priority="1459" operator="equal">
      <formula>"Bom"</formula>
    </cfRule>
  </conditionalFormatting>
  <conditionalFormatting sqref="N169:N186">
    <cfRule type="expression" dxfId="1462" priority="1455">
      <formula>$N169&lt;TODAY()</formula>
    </cfRule>
  </conditionalFormatting>
  <conditionalFormatting sqref="L187:L204">
    <cfRule type="cellIs" dxfId="1461" priority="1451" operator="equal">
      <formula>"Trocar"</formula>
    </cfRule>
    <cfRule type="cellIs" dxfId="1460" priority="1452" operator="equal">
      <formula>"Ruim"</formula>
    </cfRule>
    <cfRule type="cellIs" dxfId="1459" priority="1453" operator="equal">
      <formula>"Médio"</formula>
    </cfRule>
    <cfRule type="cellIs" dxfId="1458" priority="1454" operator="equal">
      <formula>"Bom"</formula>
    </cfRule>
  </conditionalFormatting>
  <conditionalFormatting sqref="N187:N204">
    <cfRule type="expression" dxfId="1457" priority="1450">
      <formula>$N187&lt;TODAY()</formula>
    </cfRule>
  </conditionalFormatting>
  <conditionalFormatting sqref="L205:L222">
    <cfRule type="cellIs" dxfId="1456" priority="1446" operator="equal">
      <formula>"Trocar"</formula>
    </cfRule>
    <cfRule type="cellIs" dxfId="1455" priority="1447" operator="equal">
      <formula>"Ruim"</formula>
    </cfRule>
    <cfRule type="cellIs" dxfId="1454" priority="1448" operator="equal">
      <formula>"Médio"</formula>
    </cfRule>
    <cfRule type="cellIs" dxfId="1453" priority="1449" operator="equal">
      <formula>"Bom"</formula>
    </cfRule>
  </conditionalFormatting>
  <conditionalFormatting sqref="N205:N222">
    <cfRule type="expression" dxfId="1452" priority="1445">
      <formula>$N205&lt;TODAY()</formula>
    </cfRule>
  </conditionalFormatting>
  <conditionalFormatting sqref="L223:L240">
    <cfRule type="cellIs" dxfId="1451" priority="1441" operator="equal">
      <formula>"Trocar"</formula>
    </cfRule>
    <cfRule type="cellIs" dxfId="1450" priority="1442" operator="equal">
      <formula>"Ruim"</formula>
    </cfRule>
    <cfRule type="cellIs" dxfId="1449" priority="1443" operator="equal">
      <formula>"Médio"</formula>
    </cfRule>
    <cfRule type="cellIs" dxfId="1448" priority="1444" operator="equal">
      <formula>"Bom"</formula>
    </cfRule>
  </conditionalFormatting>
  <conditionalFormatting sqref="N223:N240">
    <cfRule type="expression" dxfId="1447" priority="1440">
      <formula>$N223&lt;TODAY()</formula>
    </cfRule>
  </conditionalFormatting>
  <conditionalFormatting sqref="L241:L258">
    <cfRule type="cellIs" dxfId="1446" priority="1436" operator="equal">
      <formula>"Trocar"</formula>
    </cfRule>
    <cfRule type="cellIs" dxfId="1445" priority="1437" operator="equal">
      <formula>"Ruim"</formula>
    </cfRule>
    <cfRule type="cellIs" dxfId="1444" priority="1438" operator="equal">
      <formula>"Médio"</formula>
    </cfRule>
    <cfRule type="cellIs" dxfId="1443" priority="1439" operator="equal">
      <formula>"Bom"</formula>
    </cfRule>
  </conditionalFormatting>
  <conditionalFormatting sqref="N241:N258">
    <cfRule type="expression" dxfId="1442" priority="1435">
      <formula>$N241&lt;TODAY()</formula>
    </cfRule>
  </conditionalFormatting>
  <conditionalFormatting sqref="L259:L276">
    <cfRule type="cellIs" dxfId="1441" priority="1431" operator="equal">
      <formula>"Trocar"</formula>
    </cfRule>
    <cfRule type="cellIs" dxfId="1440" priority="1432" operator="equal">
      <formula>"Ruim"</formula>
    </cfRule>
    <cfRule type="cellIs" dxfId="1439" priority="1433" operator="equal">
      <formula>"Médio"</formula>
    </cfRule>
    <cfRule type="cellIs" dxfId="1438" priority="1434" operator="equal">
      <formula>"Bom"</formula>
    </cfRule>
  </conditionalFormatting>
  <conditionalFormatting sqref="N259:N276">
    <cfRule type="expression" dxfId="1437" priority="1430">
      <formula>$N259&lt;TODAY()</formula>
    </cfRule>
  </conditionalFormatting>
  <conditionalFormatting sqref="L277:L294">
    <cfRule type="cellIs" dxfId="1436" priority="1426" operator="equal">
      <formula>"Trocar"</formula>
    </cfRule>
    <cfRule type="cellIs" dxfId="1435" priority="1427" operator="equal">
      <formula>"Ruim"</formula>
    </cfRule>
    <cfRule type="cellIs" dxfId="1434" priority="1428" operator="equal">
      <formula>"Médio"</formula>
    </cfRule>
    <cfRule type="cellIs" dxfId="1433" priority="1429" operator="equal">
      <formula>"Bom"</formula>
    </cfRule>
  </conditionalFormatting>
  <conditionalFormatting sqref="N277:N294">
    <cfRule type="expression" dxfId="1432" priority="1425">
      <formula>$N277&lt;TODAY()</formula>
    </cfRule>
  </conditionalFormatting>
  <conditionalFormatting sqref="L169">
    <cfRule type="cellIs" dxfId="1431" priority="1421" operator="equal">
      <formula>"Trocar"</formula>
    </cfRule>
    <cfRule type="cellIs" dxfId="1430" priority="1422" operator="equal">
      <formula>"Ruim"</formula>
    </cfRule>
    <cfRule type="cellIs" dxfId="1429" priority="1423" operator="equal">
      <formula>"Médio"</formula>
    </cfRule>
    <cfRule type="cellIs" dxfId="1428" priority="1424" operator="equal">
      <formula>"Bom"</formula>
    </cfRule>
  </conditionalFormatting>
  <conditionalFormatting sqref="L169:L186">
    <cfRule type="cellIs" dxfId="1427" priority="1417" operator="equal">
      <formula>"Trocar"</formula>
    </cfRule>
    <cfRule type="cellIs" dxfId="1426" priority="1418" operator="equal">
      <formula>"Ruim"</formula>
    </cfRule>
    <cfRule type="cellIs" dxfId="1425" priority="1419" operator="equal">
      <formula>"Médio"</formula>
    </cfRule>
    <cfRule type="cellIs" dxfId="1424" priority="1420" operator="equal">
      <formula>"Bom"</formula>
    </cfRule>
  </conditionalFormatting>
  <conditionalFormatting sqref="N169:N186">
    <cfRule type="expression" dxfId="1423" priority="1416">
      <formula>$N169&lt;TODAY()</formula>
    </cfRule>
  </conditionalFormatting>
  <conditionalFormatting sqref="L169:L186">
    <cfRule type="cellIs" dxfId="1422" priority="1412" operator="equal">
      <formula>"Trocar"</formula>
    </cfRule>
    <cfRule type="cellIs" dxfId="1421" priority="1413" operator="equal">
      <formula>"Ruim"</formula>
    </cfRule>
    <cfRule type="cellIs" dxfId="1420" priority="1414" operator="equal">
      <formula>"Médio"</formula>
    </cfRule>
    <cfRule type="cellIs" dxfId="1419" priority="1415" operator="equal">
      <formula>"Bom"</formula>
    </cfRule>
  </conditionalFormatting>
  <conditionalFormatting sqref="N169:N186">
    <cfRule type="expression" dxfId="1418" priority="1411">
      <formula>$N169&lt;TODAY()</formula>
    </cfRule>
  </conditionalFormatting>
  <conditionalFormatting sqref="L187:L204">
    <cfRule type="cellIs" dxfId="1417" priority="1407" operator="equal">
      <formula>"Trocar"</formula>
    </cfRule>
    <cfRule type="cellIs" dxfId="1416" priority="1408" operator="equal">
      <formula>"Ruim"</formula>
    </cfRule>
    <cfRule type="cellIs" dxfId="1415" priority="1409" operator="equal">
      <formula>"Médio"</formula>
    </cfRule>
    <cfRule type="cellIs" dxfId="1414" priority="1410" operator="equal">
      <formula>"Bom"</formula>
    </cfRule>
  </conditionalFormatting>
  <conditionalFormatting sqref="N187:N204">
    <cfRule type="expression" dxfId="1413" priority="1406">
      <formula>$N187&lt;TODAY()</formula>
    </cfRule>
  </conditionalFormatting>
  <conditionalFormatting sqref="L205:L222">
    <cfRule type="cellIs" dxfId="1412" priority="1402" operator="equal">
      <formula>"Trocar"</formula>
    </cfRule>
    <cfRule type="cellIs" dxfId="1411" priority="1403" operator="equal">
      <formula>"Ruim"</formula>
    </cfRule>
    <cfRule type="cellIs" dxfId="1410" priority="1404" operator="equal">
      <formula>"Médio"</formula>
    </cfRule>
    <cfRule type="cellIs" dxfId="1409" priority="1405" operator="equal">
      <formula>"Bom"</formula>
    </cfRule>
  </conditionalFormatting>
  <conditionalFormatting sqref="N205:N222">
    <cfRule type="expression" dxfId="1408" priority="1401">
      <formula>$N205&lt;TODAY()</formula>
    </cfRule>
  </conditionalFormatting>
  <conditionalFormatting sqref="L223:L240">
    <cfRule type="cellIs" dxfId="1407" priority="1397" operator="equal">
      <formula>"Trocar"</formula>
    </cfRule>
    <cfRule type="cellIs" dxfId="1406" priority="1398" operator="equal">
      <formula>"Ruim"</formula>
    </cfRule>
    <cfRule type="cellIs" dxfId="1405" priority="1399" operator="equal">
      <formula>"Médio"</formula>
    </cfRule>
    <cfRule type="cellIs" dxfId="1404" priority="1400" operator="equal">
      <formula>"Bom"</formula>
    </cfRule>
  </conditionalFormatting>
  <conditionalFormatting sqref="N223:N240">
    <cfRule type="expression" dxfId="1403" priority="1396">
      <formula>$N223&lt;TODAY()</formula>
    </cfRule>
  </conditionalFormatting>
  <conditionalFormatting sqref="L241:L258">
    <cfRule type="cellIs" dxfId="1402" priority="1392" operator="equal">
      <formula>"Trocar"</formula>
    </cfRule>
    <cfRule type="cellIs" dxfId="1401" priority="1393" operator="equal">
      <formula>"Ruim"</formula>
    </cfRule>
    <cfRule type="cellIs" dxfId="1400" priority="1394" operator="equal">
      <formula>"Médio"</formula>
    </cfRule>
    <cfRule type="cellIs" dxfId="1399" priority="1395" operator="equal">
      <formula>"Bom"</formula>
    </cfRule>
  </conditionalFormatting>
  <conditionalFormatting sqref="N241:N258">
    <cfRule type="expression" dxfId="1398" priority="1391">
      <formula>$N241&lt;TODAY()</formula>
    </cfRule>
  </conditionalFormatting>
  <conditionalFormatting sqref="L259:L276">
    <cfRule type="cellIs" dxfId="1397" priority="1387" operator="equal">
      <formula>"Trocar"</formula>
    </cfRule>
    <cfRule type="cellIs" dxfId="1396" priority="1388" operator="equal">
      <formula>"Ruim"</formula>
    </cfRule>
    <cfRule type="cellIs" dxfId="1395" priority="1389" operator="equal">
      <formula>"Médio"</formula>
    </cfRule>
    <cfRule type="cellIs" dxfId="1394" priority="1390" operator="equal">
      <formula>"Bom"</formula>
    </cfRule>
  </conditionalFormatting>
  <conditionalFormatting sqref="N259:N276">
    <cfRule type="expression" dxfId="1393" priority="1386">
      <formula>$N259&lt;TODAY()</formula>
    </cfRule>
  </conditionalFormatting>
  <conditionalFormatting sqref="L277:L294">
    <cfRule type="cellIs" dxfId="1392" priority="1382" operator="equal">
      <formula>"Trocar"</formula>
    </cfRule>
    <cfRule type="cellIs" dxfId="1391" priority="1383" operator="equal">
      <formula>"Ruim"</formula>
    </cfRule>
    <cfRule type="cellIs" dxfId="1390" priority="1384" operator="equal">
      <formula>"Médio"</formula>
    </cfRule>
    <cfRule type="cellIs" dxfId="1389" priority="1385" operator="equal">
      <formula>"Bom"</formula>
    </cfRule>
  </conditionalFormatting>
  <conditionalFormatting sqref="N277:N294">
    <cfRule type="expression" dxfId="1388" priority="1381">
      <formula>$N277&lt;TODAY()</formula>
    </cfRule>
  </conditionalFormatting>
  <conditionalFormatting sqref="L295:L582">
    <cfRule type="cellIs" dxfId="1387" priority="1377" operator="equal">
      <formula>"Trocar"</formula>
    </cfRule>
    <cfRule type="cellIs" dxfId="1386" priority="1378" operator="equal">
      <formula>"Ruim"</formula>
    </cfRule>
    <cfRule type="cellIs" dxfId="1385" priority="1379" operator="equal">
      <formula>"Médio"</formula>
    </cfRule>
    <cfRule type="cellIs" dxfId="1384" priority="1380" operator="equal">
      <formula>"Bom"</formula>
    </cfRule>
  </conditionalFormatting>
  <conditionalFormatting sqref="N295:N582">
    <cfRule type="expression" dxfId="1383" priority="1376">
      <formula>$N295&lt;TODAY()</formula>
    </cfRule>
  </conditionalFormatting>
  <conditionalFormatting sqref="L313">
    <cfRule type="cellIs" dxfId="1382" priority="1372" operator="equal">
      <formula>"Trocar"</formula>
    </cfRule>
    <cfRule type="cellIs" dxfId="1381" priority="1373" operator="equal">
      <formula>"Ruim"</formula>
    </cfRule>
    <cfRule type="cellIs" dxfId="1380" priority="1374" operator="equal">
      <formula>"Médio"</formula>
    </cfRule>
    <cfRule type="cellIs" dxfId="1379" priority="1375" operator="equal">
      <formula>"Bom"</formula>
    </cfRule>
  </conditionalFormatting>
  <conditionalFormatting sqref="L313:L330">
    <cfRule type="cellIs" dxfId="1378" priority="1368" operator="equal">
      <formula>"Trocar"</formula>
    </cfRule>
    <cfRule type="cellIs" dxfId="1377" priority="1369" operator="equal">
      <formula>"Ruim"</formula>
    </cfRule>
    <cfRule type="cellIs" dxfId="1376" priority="1370" operator="equal">
      <formula>"Médio"</formula>
    </cfRule>
    <cfRule type="cellIs" dxfId="1375" priority="1371" operator="equal">
      <formula>"Bom"</formula>
    </cfRule>
  </conditionalFormatting>
  <conditionalFormatting sqref="N313:N330">
    <cfRule type="expression" dxfId="1374" priority="1367">
      <formula>$N313&lt;TODAY()</formula>
    </cfRule>
  </conditionalFormatting>
  <conditionalFormatting sqref="L313:L330">
    <cfRule type="cellIs" dxfId="1373" priority="1363" operator="equal">
      <formula>"Trocar"</formula>
    </cfRule>
    <cfRule type="cellIs" dxfId="1372" priority="1364" operator="equal">
      <formula>"Ruim"</formula>
    </cfRule>
    <cfRule type="cellIs" dxfId="1371" priority="1365" operator="equal">
      <formula>"Médio"</formula>
    </cfRule>
    <cfRule type="cellIs" dxfId="1370" priority="1366" operator="equal">
      <formula>"Bom"</formula>
    </cfRule>
  </conditionalFormatting>
  <conditionalFormatting sqref="N313:N330">
    <cfRule type="expression" dxfId="1369" priority="1362">
      <formula>$N313&lt;TODAY()</formula>
    </cfRule>
  </conditionalFormatting>
  <conditionalFormatting sqref="L331:L348">
    <cfRule type="cellIs" dxfId="1368" priority="1358" operator="equal">
      <formula>"Trocar"</formula>
    </cfRule>
    <cfRule type="cellIs" dxfId="1367" priority="1359" operator="equal">
      <formula>"Ruim"</formula>
    </cfRule>
    <cfRule type="cellIs" dxfId="1366" priority="1360" operator="equal">
      <formula>"Médio"</formula>
    </cfRule>
    <cfRule type="cellIs" dxfId="1365" priority="1361" operator="equal">
      <formula>"Bom"</formula>
    </cfRule>
  </conditionalFormatting>
  <conditionalFormatting sqref="N331:N348">
    <cfRule type="expression" dxfId="1364" priority="1357">
      <formula>$N331&lt;TODAY()</formula>
    </cfRule>
  </conditionalFormatting>
  <conditionalFormatting sqref="L349:L366">
    <cfRule type="cellIs" dxfId="1363" priority="1353" operator="equal">
      <formula>"Trocar"</formula>
    </cfRule>
    <cfRule type="cellIs" dxfId="1362" priority="1354" operator="equal">
      <formula>"Ruim"</formula>
    </cfRule>
    <cfRule type="cellIs" dxfId="1361" priority="1355" operator="equal">
      <formula>"Médio"</formula>
    </cfRule>
    <cfRule type="cellIs" dxfId="1360" priority="1356" operator="equal">
      <formula>"Bom"</formula>
    </cfRule>
  </conditionalFormatting>
  <conditionalFormatting sqref="N349:N366">
    <cfRule type="expression" dxfId="1359" priority="1352">
      <formula>$N349&lt;TODAY()</formula>
    </cfRule>
  </conditionalFormatting>
  <conditionalFormatting sqref="L367:L384">
    <cfRule type="cellIs" dxfId="1358" priority="1348" operator="equal">
      <formula>"Trocar"</formula>
    </cfRule>
    <cfRule type="cellIs" dxfId="1357" priority="1349" operator="equal">
      <formula>"Ruim"</formula>
    </cfRule>
    <cfRule type="cellIs" dxfId="1356" priority="1350" operator="equal">
      <formula>"Médio"</formula>
    </cfRule>
    <cfRule type="cellIs" dxfId="1355" priority="1351" operator="equal">
      <formula>"Bom"</formula>
    </cfRule>
  </conditionalFormatting>
  <conditionalFormatting sqref="N367:N384">
    <cfRule type="expression" dxfId="1354" priority="1347">
      <formula>$N367&lt;TODAY()</formula>
    </cfRule>
  </conditionalFormatting>
  <conditionalFormatting sqref="L385:L402">
    <cfRule type="cellIs" dxfId="1353" priority="1343" operator="equal">
      <formula>"Trocar"</formula>
    </cfRule>
    <cfRule type="cellIs" dxfId="1352" priority="1344" operator="equal">
      <formula>"Ruim"</formula>
    </cfRule>
    <cfRule type="cellIs" dxfId="1351" priority="1345" operator="equal">
      <formula>"Médio"</formula>
    </cfRule>
    <cfRule type="cellIs" dxfId="1350" priority="1346" operator="equal">
      <formula>"Bom"</formula>
    </cfRule>
  </conditionalFormatting>
  <conditionalFormatting sqref="N385:N402">
    <cfRule type="expression" dxfId="1349" priority="1342">
      <formula>$N385&lt;TODAY()</formula>
    </cfRule>
  </conditionalFormatting>
  <conditionalFormatting sqref="L403:L420">
    <cfRule type="cellIs" dxfId="1348" priority="1338" operator="equal">
      <formula>"Trocar"</formula>
    </cfRule>
    <cfRule type="cellIs" dxfId="1347" priority="1339" operator="equal">
      <formula>"Ruim"</formula>
    </cfRule>
    <cfRule type="cellIs" dxfId="1346" priority="1340" operator="equal">
      <formula>"Médio"</formula>
    </cfRule>
    <cfRule type="cellIs" dxfId="1345" priority="1341" operator="equal">
      <formula>"Bom"</formula>
    </cfRule>
  </conditionalFormatting>
  <conditionalFormatting sqref="N403:N420">
    <cfRule type="expression" dxfId="1344" priority="1337">
      <formula>$N403&lt;TODAY()</formula>
    </cfRule>
  </conditionalFormatting>
  <conditionalFormatting sqref="L421:L438">
    <cfRule type="cellIs" dxfId="1343" priority="1333" operator="equal">
      <formula>"Trocar"</formula>
    </cfRule>
    <cfRule type="cellIs" dxfId="1342" priority="1334" operator="equal">
      <formula>"Ruim"</formula>
    </cfRule>
    <cfRule type="cellIs" dxfId="1341" priority="1335" operator="equal">
      <formula>"Médio"</formula>
    </cfRule>
    <cfRule type="cellIs" dxfId="1340" priority="1336" operator="equal">
      <formula>"Bom"</formula>
    </cfRule>
  </conditionalFormatting>
  <conditionalFormatting sqref="N421:N438">
    <cfRule type="expression" dxfId="1339" priority="1332">
      <formula>$N421&lt;TODAY()</formula>
    </cfRule>
  </conditionalFormatting>
  <conditionalFormatting sqref="L439:L582">
    <cfRule type="cellIs" dxfId="1338" priority="1328" operator="equal">
      <formula>"Trocar"</formula>
    </cfRule>
    <cfRule type="cellIs" dxfId="1337" priority="1329" operator="equal">
      <formula>"Ruim"</formula>
    </cfRule>
    <cfRule type="cellIs" dxfId="1336" priority="1330" operator="equal">
      <formula>"Médio"</formula>
    </cfRule>
    <cfRule type="cellIs" dxfId="1335" priority="1331" operator="equal">
      <formula>"Bom"</formula>
    </cfRule>
  </conditionalFormatting>
  <conditionalFormatting sqref="N439:N582">
    <cfRule type="expression" dxfId="1334" priority="1327">
      <formula>$N439&lt;TODAY()</formula>
    </cfRule>
  </conditionalFormatting>
  <conditionalFormatting sqref="L457">
    <cfRule type="cellIs" dxfId="1333" priority="1323" operator="equal">
      <formula>"Trocar"</formula>
    </cfRule>
    <cfRule type="cellIs" dxfId="1332" priority="1324" operator="equal">
      <formula>"Ruim"</formula>
    </cfRule>
    <cfRule type="cellIs" dxfId="1331" priority="1325" operator="equal">
      <formula>"Médio"</formula>
    </cfRule>
    <cfRule type="cellIs" dxfId="1330" priority="1326" operator="equal">
      <formula>"Bom"</formula>
    </cfRule>
  </conditionalFormatting>
  <conditionalFormatting sqref="L457:L474">
    <cfRule type="cellIs" dxfId="1329" priority="1319" operator="equal">
      <formula>"Trocar"</formula>
    </cfRule>
    <cfRule type="cellIs" dxfId="1328" priority="1320" operator="equal">
      <formula>"Ruim"</formula>
    </cfRule>
    <cfRule type="cellIs" dxfId="1327" priority="1321" operator="equal">
      <formula>"Médio"</formula>
    </cfRule>
    <cfRule type="cellIs" dxfId="1326" priority="1322" operator="equal">
      <formula>"Bom"</formula>
    </cfRule>
  </conditionalFormatting>
  <conditionalFormatting sqref="N457:N474">
    <cfRule type="expression" dxfId="1325" priority="1318">
      <formula>$N457&lt;TODAY()</formula>
    </cfRule>
  </conditionalFormatting>
  <conditionalFormatting sqref="L457:L474">
    <cfRule type="cellIs" dxfId="1324" priority="1314" operator="equal">
      <formula>"Trocar"</formula>
    </cfRule>
    <cfRule type="cellIs" dxfId="1323" priority="1315" operator="equal">
      <formula>"Ruim"</formula>
    </cfRule>
    <cfRule type="cellIs" dxfId="1322" priority="1316" operator="equal">
      <formula>"Médio"</formula>
    </cfRule>
    <cfRule type="cellIs" dxfId="1321" priority="1317" operator="equal">
      <formula>"Bom"</formula>
    </cfRule>
  </conditionalFormatting>
  <conditionalFormatting sqref="N457:N474">
    <cfRule type="expression" dxfId="1320" priority="1313">
      <formula>$N457&lt;TODAY()</formula>
    </cfRule>
  </conditionalFormatting>
  <conditionalFormatting sqref="L475:L492">
    <cfRule type="cellIs" dxfId="1319" priority="1309" operator="equal">
      <formula>"Trocar"</formula>
    </cfRule>
    <cfRule type="cellIs" dxfId="1318" priority="1310" operator="equal">
      <formula>"Ruim"</formula>
    </cfRule>
    <cfRule type="cellIs" dxfId="1317" priority="1311" operator="equal">
      <formula>"Médio"</formula>
    </cfRule>
    <cfRule type="cellIs" dxfId="1316" priority="1312" operator="equal">
      <formula>"Bom"</formula>
    </cfRule>
  </conditionalFormatting>
  <conditionalFormatting sqref="N475:N492">
    <cfRule type="expression" dxfId="1315" priority="1308">
      <formula>$N475&lt;TODAY()</formula>
    </cfRule>
  </conditionalFormatting>
  <conditionalFormatting sqref="L493:L510">
    <cfRule type="cellIs" dxfId="1314" priority="1304" operator="equal">
      <formula>"Trocar"</formula>
    </cfRule>
    <cfRule type="cellIs" dxfId="1313" priority="1305" operator="equal">
      <formula>"Ruim"</formula>
    </cfRule>
    <cfRule type="cellIs" dxfId="1312" priority="1306" operator="equal">
      <formula>"Médio"</formula>
    </cfRule>
    <cfRule type="cellIs" dxfId="1311" priority="1307" operator="equal">
      <formula>"Bom"</formula>
    </cfRule>
  </conditionalFormatting>
  <conditionalFormatting sqref="N493:N510">
    <cfRule type="expression" dxfId="1310" priority="1303">
      <formula>$N493&lt;TODAY()</formula>
    </cfRule>
  </conditionalFormatting>
  <conditionalFormatting sqref="L511:L528">
    <cfRule type="cellIs" dxfId="1309" priority="1299" operator="equal">
      <formula>"Trocar"</formula>
    </cfRule>
    <cfRule type="cellIs" dxfId="1308" priority="1300" operator="equal">
      <formula>"Ruim"</formula>
    </cfRule>
    <cfRule type="cellIs" dxfId="1307" priority="1301" operator="equal">
      <formula>"Médio"</formula>
    </cfRule>
    <cfRule type="cellIs" dxfId="1306" priority="1302" operator="equal">
      <formula>"Bom"</formula>
    </cfRule>
  </conditionalFormatting>
  <conditionalFormatting sqref="N511:N528">
    <cfRule type="expression" dxfId="1305" priority="1298">
      <formula>$N511&lt;TODAY()</formula>
    </cfRule>
  </conditionalFormatting>
  <conditionalFormatting sqref="L529:L546">
    <cfRule type="cellIs" dxfId="1304" priority="1294" operator="equal">
      <formula>"Trocar"</formula>
    </cfRule>
    <cfRule type="cellIs" dxfId="1303" priority="1295" operator="equal">
      <formula>"Ruim"</formula>
    </cfRule>
    <cfRule type="cellIs" dxfId="1302" priority="1296" operator="equal">
      <formula>"Médio"</formula>
    </cfRule>
    <cfRule type="cellIs" dxfId="1301" priority="1297" operator="equal">
      <formula>"Bom"</formula>
    </cfRule>
  </conditionalFormatting>
  <conditionalFormatting sqref="N529:N546">
    <cfRule type="expression" dxfId="1300" priority="1293">
      <formula>$N529&lt;TODAY()</formula>
    </cfRule>
  </conditionalFormatting>
  <conditionalFormatting sqref="L547:L564">
    <cfRule type="cellIs" dxfId="1299" priority="1289" operator="equal">
      <formula>"Trocar"</formula>
    </cfRule>
    <cfRule type="cellIs" dxfId="1298" priority="1290" operator="equal">
      <formula>"Ruim"</formula>
    </cfRule>
    <cfRule type="cellIs" dxfId="1297" priority="1291" operator="equal">
      <formula>"Médio"</formula>
    </cfRule>
    <cfRule type="cellIs" dxfId="1296" priority="1292" operator="equal">
      <formula>"Bom"</formula>
    </cfRule>
  </conditionalFormatting>
  <conditionalFormatting sqref="N547:N564">
    <cfRule type="expression" dxfId="1295" priority="1288">
      <formula>$N547&lt;TODAY()</formula>
    </cfRule>
  </conditionalFormatting>
  <conditionalFormatting sqref="L565:L582">
    <cfRule type="cellIs" dxfId="1294" priority="1284" operator="equal">
      <formula>"Trocar"</formula>
    </cfRule>
    <cfRule type="cellIs" dxfId="1293" priority="1285" operator="equal">
      <formula>"Ruim"</formula>
    </cfRule>
    <cfRule type="cellIs" dxfId="1292" priority="1286" operator="equal">
      <formula>"Médio"</formula>
    </cfRule>
    <cfRule type="cellIs" dxfId="1291" priority="1287" operator="equal">
      <formula>"Bom"</formula>
    </cfRule>
  </conditionalFormatting>
  <conditionalFormatting sqref="N565:N582">
    <cfRule type="expression" dxfId="1290" priority="1283">
      <formula>$N565&lt;TODAY()</formula>
    </cfRule>
  </conditionalFormatting>
  <conditionalFormatting sqref="L457">
    <cfRule type="cellIs" dxfId="1289" priority="1279" operator="equal">
      <formula>"Trocar"</formula>
    </cfRule>
    <cfRule type="cellIs" dxfId="1288" priority="1280" operator="equal">
      <formula>"Ruim"</formula>
    </cfRule>
    <cfRule type="cellIs" dxfId="1287" priority="1281" operator="equal">
      <formula>"Médio"</formula>
    </cfRule>
    <cfRule type="cellIs" dxfId="1286" priority="1282" operator="equal">
      <formula>"Bom"</formula>
    </cfRule>
  </conditionalFormatting>
  <conditionalFormatting sqref="L457:L474">
    <cfRule type="cellIs" dxfId="1285" priority="1275" operator="equal">
      <formula>"Trocar"</formula>
    </cfRule>
    <cfRule type="cellIs" dxfId="1284" priority="1276" operator="equal">
      <formula>"Ruim"</formula>
    </cfRule>
    <cfRule type="cellIs" dxfId="1283" priority="1277" operator="equal">
      <formula>"Médio"</formula>
    </cfRule>
    <cfRule type="cellIs" dxfId="1282" priority="1278" operator="equal">
      <formula>"Bom"</formula>
    </cfRule>
  </conditionalFormatting>
  <conditionalFormatting sqref="N457:N474">
    <cfRule type="expression" dxfId="1281" priority="1274">
      <formula>$N457&lt;TODAY()</formula>
    </cfRule>
  </conditionalFormatting>
  <conditionalFormatting sqref="L457:L474">
    <cfRule type="cellIs" dxfId="1280" priority="1270" operator="equal">
      <formula>"Trocar"</formula>
    </cfRule>
    <cfRule type="cellIs" dxfId="1279" priority="1271" operator="equal">
      <formula>"Ruim"</formula>
    </cfRule>
    <cfRule type="cellIs" dxfId="1278" priority="1272" operator="equal">
      <formula>"Médio"</formula>
    </cfRule>
    <cfRule type="cellIs" dxfId="1277" priority="1273" operator="equal">
      <formula>"Bom"</formula>
    </cfRule>
  </conditionalFormatting>
  <conditionalFormatting sqref="N457:N474">
    <cfRule type="expression" dxfId="1276" priority="1269">
      <formula>$N457&lt;TODAY()</formula>
    </cfRule>
  </conditionalFormatting>
  <conditionalFormatting sqref="L475:L492">
    <cfRule type="cellIs" dxfId="1275" priority="1265" operator="equal">
      <formula>"Trocar"</formula>
    </cfRule>
    <cfRule type="cellIs" dxfId="1274" priority="1266" operator="equal">
      <formula>"Ruim"</formula>
    </cfRule>
    <cfRule type="cellIs" dxfId="1273" priority="1267" operator="equal">
      <formula>"Médio"</formula>
    </cfRule>
    <cfRule type="cellIs" dxfId="1272" priority="1268" operator="equal">
      <formula>"Bom"</formula>
    </cfRule>
  </conditionalFormatting>
  <conditionalFormatting sqref="N475:N492">
    <cfRule type="expression" dxfId="1271" priority="1264">
      <formula>$N475&lt;TODAY()</formula>
    </cfRule>
  </conditionalFormatting>
  <conditionalFormatting sqref="L493:L510">
    <cfRule type="cellIs" dxfId="1270" priority="1260" operator="equal">
      <formula>"Trocar"</formula>
    </cfRule>
    <cfRule type="cellIs" dxfId="1269" priority="1261" operator="equal">
      <formula>"Ruim"</formula>
    </cfRule>
    <cfRule type="cellIs" dxfId="1268" priority="1262" operator="equal">
      <formula>"Médio"</formula>
    </cfRule>
    <cfRule type="cellIs" dxfId="1267" priority="1263" operator="equal">
      <formula>"Bom"</formula>
    </cfRule>
  </conditionalFormatting>
  <conditionalFormatting sqref="N493:N510">
    <cfRule type="expression" dxfId="1266" priority="1259">
      <formula>$N493&lt;TODAY()</formula>
    </cfRule>
  </conditionalFormatting>
  <conditionalFormatting sqref="L511:L528">
    <cfRule type="cellIs" dxfId="1265" priority="1255" operator="equal">
      <formula>"Trocar"</formula>
    </cfRule>
    <cfRule type="cellIs" dxfId="1264" priority="1256" operator="equal">
      <formula>"Ruim"</formula>
    </cfRule>
    <cfRule type="cellIs" dxfId="1263" priority="1257" operator="equal">
      <formula>"Médio"</formula>
    </cfRule>
    <cfRule type="cellIs" dxfId="1262" priority="1258" operator="equal">
      <formula>"Bom"</formula>
    </cfRule>
  </conditionalFormatting>
  <conditionalFormatting sqref="N511:N528">
    <cfRule type="expression" dxfId="1261" priority="1254">
      <formula>$N511&lt;TODAY()</formula>
    </cfRule>
  </conditionalFormatting>
  <conditionalFormatting sqref="L529:L546">
    <cfRule type="cellIs" dxfId="1260" priority="1250" operator="equal">
      <formula>"Trocar"</formula>
    </cfRule>
    <cfRule type="cellIs" dxfId="1259" priority="1251" operator="equal">
      <formula>"Ruim"</formula>
    </cfRule>
    <cfRule type="cellIs" dxfId="1258" priority="1252" operator="equal">
      <formula>"Médio"</formula>
    </cfRule>
    <cfRule type="cellIs" dxfId="1257" priority="1253" operator="equal">
      <formula>"Bom"</formula>
    </cfRule>
  </conditionalFormatting>
  <conditionalFormatting sqref="N529:N546">
    <cfRule type="expression" dxfId="1256" priority="1249">
      <formula>$N529&lt;TODAY()</formula>
    </cfRule>
  </conditionalFormatting>
  <conditionalFormatting sqref="L547:L564">
    <cfRule type="cellIs" dxfId="1255" priority="1245" operator="equal">
      <formula>"Trocar"</formula>
    </cfRule>
    <cfRule type="cellIs" dxfId="1254" priority="1246" operator="equal">
      <formula>"Ruim"</formula>
    </cfRule>
    <cfRule type="cellIs" dxfId="1253" priority="1247" operator="equal">
      <formula>"Médio"</formula>
    </cfRule>
    <cfRule type="cellIs" dxfId="1252" priority="1248" operator="equal">
      <formula>"Bom"</formula>
    </cfRule>
  </conditionalFormatting>
  <conditionalFormatting sqref="N547:N564">
    <cfRule type="expression" dxfId="1251" priority="1244">
      <formula>$N547&lt;TODAY()</formula>
    </cfRule>
  </conditionalFormatting>
  <conditionalFormatting sqref="L565:L582">
    <cfRule type="cellIs" dxfId="1250" priority="1240" operator="equal">
      <formula>"Trocar"</formula>
    </cfRule>
    <cfRule type="cellIs" dxfId="1249" priority="1241" operator="equal">
      <formula>"Ruim"</formula>
    </cfRule>
    <cfRule type="cellIs" dxfId="1248" priority="1242" operator="equal">
      <formula>"Médio"</formula>
    </cfRule>
    <cfRule type="cellIs" dxfId="1247" priority="1243" operator="equal">
      <formula>"Bom"</formula>
    </cfRule>
  </conditionalFormatting>
  <conditionalFormatting sqref="N565:N582">
    <cfRule type="expression" dxfId="1246" priority="1239">
      <formula>$N565&lt;TODAY()</formula>
    </cfRule>
  </conditionalFormatting>
  <conditionalFormatting sqref="L457">
    <cfRule type="cellIs" dxfId="1245" priority="1235" operator="equal">
      <formula>"Trocar"</formula>
    </cfRule>
    <cfRule type="cellIs" dxfId="1244" priority="1236" operator="equal">
      <formula>"Ruim"</formula>
    </cfRule>
    <cfRule type="cellIs" dxfId="1243" priority="1237" operator="equal">
      <formula>"Médio"</formula>
    </cfRule>
    <cfRule type="cellIs" dxfId="1242" priority="1238" operator="equal">
      <formula>"Bom"</formula>
    </cfRule>
  </conditionalFormatting>
  <conditionalFormatting sqref="L457:L474">
    <cfRule type="cellIs" dxfId="1241" priority="1231" operator="equal">
      <formula>"Trocar"</formula>
    </cfRule>
    <cfRule type="cellIs" dxfId="1240" priority="1232" operator="equal">
      <formula>"Ruim"</formula>
    </cfRule>
    <cfRule type="cellIs" dxfId="1239" priority="1233" operator="equal">
      <formula>"Médio"</formula>
    </cfRule>
    <cfRule type="cellIs" dxfId="1238" priority="1234" operator="equal">
      <formula>"Bom"</formula>
    </cfRule>
  </conditionalFormatting>
  <conditionalFormatting sqref="N457:N474">
    <cfRule type="expression" dxfId="1237" priority="1230">
      <formula>$N457&lt;TODAY()</formula>
    </cfRule>
  </conditionalFormatting>
  <conditionalFormatting sqref="L457:L474">
    <cfRule type="cellIs" dxfId="1236" priority="1226" operator="equal">
      <formula>"Trocar"</formula>
    </cfRule>
    <cfRule type="cellIs" dxfId="1235" priority="1227" operator="equal">
      <formula>"Ruim"</formula>
    </cfRule>
    <cfRule type="cellIs" dxfId="1234" priority="1228" operator="equal">
      <formula>"Médio"</formula>
    </cfRule>
    <cfRule type="cellIs" dxfId="1233" priority="1229" operator="equal">
      <formula>"Bom"</formula>
    </cfRule>
  </conditionalFormatting>
  <conditionalFormatting sqref="N457:N474">
    <cfRule type="expression" dxfId="1232" priority="1225">
      <formula>$N457&lt;TODAY()</formula>
    </cfRule>
  </conditionalFormatting>
  <conditionalFormatting sqref="L475:L492">
    <cfRule type="cellIs" dxfId="1231" priority="1221" operator="equal">
      <formula>"Trocar"</formula>
    </cfRule>
    <cfRule type="cellIs" dxfId="1230" priority="1222" operator="equal">
      <formula>"Ruim"</formula>
    </cfRule>
    <cfRule type="cellIs" dxfId="1229" priority="1223" operator="equal">
      <formula>"Médio"</formula>
    </cfRule>
    <cfRule type="cellIs" dxfId="1228" priority="1224" operator="equal">
      <formula>"Bom"</formula>
    </cfRule>
  </conditionalFormatting>
  <conditionalFormatting sqref="N475:N492">
    <cfRule type="expression" dxfId="1227" priority="1220">
      <formula>$N475&lt;TODAY()</formula>
    </cfRule>
  </conditionalFormatting>
  <conditionalFormatting sqref="L493:L510">
    <cfRule type="cellIs" dxfId="1226" priority="1216" operator="equal">
      <formula>"Trocar"</formula>
    </cfRule>
    <cfRule type="cellIs" dxfId="1225" priority="1217" operator="equal">
      <formula>"Ruim"</formula>
    </cfRule>
    <cfRule type="cellIs" dxfId="1224" priority="1218" operator="equal">
      <formula>"Médio"</formula>
    </cfRule>
    <cfRule type="cellIs" dxfId="1223" priority="1219" operator="equal">
      <formula>"Bom"</formula>
    </cfRule>
  </conditionalFormatting>
  <conditionalFormatting sqref="N493:N510">
    <cfRule type="expression" dxfId="1222" priority="1215">
      <formula>$N493&lt;TODAY()</formula>
    </cfRule>
  </conditionalFormatting>
  <conditionalFormatting sqref="L511:L528">
    <cfRule type="cellIs" dxfId="1221" priority="1211" operator="equal">
      <formula>"Trocar"</formula>
    </cfRule>
    <cfRule type="cellIs" dxfId="1220" priority="1212" operator="equal">
      <formula>"Ruim"</formula>
    </cfRule>
    <cfRule type="cellIs" dxfId="1219" priority="1213" operator="equal">
      <formula>"Médio"</formula>
    </cfRule>
    <cfRule type="cellIs" dxfId="1218" priority="1214" operator="equal">
      <formula>"Bom"</formula>
    </cfRule>
  </conditionalFormatting>
  <conditionalFormatting sqref="N511:N528">
    <cfRule type="expression" dxfId="1217" priority="1210">
      <formula>$N511&lt;TODAY()</formula>
    </cfRule>
  </conditionalFormatting>
  <conditionalFormatting sqref="L529:L546">
    <cfRule type="cellIs" dxfId="1216" priority="1206" operator="equal">
      <formula>"Trocar"</formula>
    </cfRule>
    <cfRule type="cellIs" dxfId="1215" priority="1207" operator="equal">
      <formula>"Ruim"</formula>
    </cfRule>
    <cfRule type="cellIs" dxfId="1214" priority="1208" operator="equal">
      <formula>"Médio"</formula>
    </cfRule>
    <cfRule type="cellIs" dxfId="1213" priority="1209" operator="equal">
      <formula>"Bom"</formula>
    </cfRule>
  </conditionalFormatting>
  <conditionalFormatting sqref="N529:N546">
    <cfRule type="expression" dxfId="1212" priority="1205">
      <formula>$N529&lt;TODAY()</formula>
    </cfRule>
  </conditionalFormatting>
  <conditionalFormatting sqref="L547:L564">
    <cfRule type="cellIs" dxfId="1211" priority="1201" operator="equal">
      <formula>"Trocar"</formula>
    </cfRule>
    <cfRule type="cellIs" dxfId="1210" priority="1202" operator="equal">
      <formula>"Ruim"</formula>
    </cfRule>
    <cfRule type="cellIs" dxfId="1209" priority="1203" operator="equal">
      <formula>"Médio"</formula>
    </cfRule>
    <cfRule type="cellIs" dxfId="1208" priority="1204" operator="equal">
      <formula>"Bom"</formula>
    </cfRule>
  </conditionalFormatting>
  <conditionalFormatting sqref="N547:N564">
    <cfRule type="expression" dxfId="1207" priority="1200">
      <formula>$N547&lt;TODAY()</formula>
    </cfRule>
  </conditionalFormatting>
  <conditionalFormatting sqref="L565:L582">
    <cfRule type="cellIs" dxfId="1206" priority="1196" operator="equal">
      <formula>"Trocar"</formula>
    </cfRule>
    <cfRule type="cellIs" dxfId="1205" priority="1197" operator="equal">
      <formula>"Ruim"</formula>
    </cfRule>
    <cfRule type="cellIs" dxfId="1204" priority="1198" operator="equal">
      <formula>"Médio"</formula>
    </cfRule>
    <cfRule type="cellIs" dxfId="1203" priority="1199" operator="equal">
      <formula>"Bom"</formula>
    </cfRule>
  </conditionalFormatting>
  <conditionalFormatting sqref="N565:N582">
    <cfRule type="expression" dxfId="1202" priority="1195">
      <formula>$N565&lt;TODAY()</formula>
    </cfRule>
  </conditionalFormatting>
  <conditionalFormatting sqref="L457">
    <cfRule type="cellIs" dxfId="1201" priority="1191" operator="equal">
      <formula>"Trocar"</formula>
    </cfRule>
    <cfRule type="cellIs" dxfId="1200" priority="1192" operator="equal">
      <formula>"Ruim"</formula>
    </cfRule>
    <cfRule type="cellIs" dxfId="1199" priority="1193" operator="equal">
      <formula>"Médio"</formula>
    </cfRule>
    <cfRule type="cellIs" dxfId="1198" priority="1194" operator="equal">
      <formula>"Bom"</formula>
    </cfRule>
  </conditionalFormatting>
  <conditionalFormatting sqref="L457:L474">
    <cfRule type="cellIs" dxfId="1197" priority="1187" operator="equal">
      <formula>"Trocar"</formula>
    </cfRule>
    <cfRule type="cellIs" dxfId="1196" priority="1188" operator="equal">
      <formula>"Ruim"</formula>
    </cfRule>
    <cfRule type="cellIs" dxfId="1195" priority="1189" operator="equal">
      <formula>"Médio"</formula>
    </cfRule>
    <cfRule type="cellIs" dxfId="1194" priority="1190" operator="equal">
      <formula>"Bom"</formula>
    </cfRule>
  </conditionalFormatting>
  <conditionalFormatting sqref="N457:N474">
    <cfRule type="expression" dxfId="1193" priority="1186">
      <formula>$N457&lt;TODAY()</formula>
    </cfRule>
  </conditionalFormatting>
  <conditionalFormatting sqref="L457:L474">
    <cfRule type="cellIs" dxfId="1192" priority="1182" operator="equal">
      <formula>"Trocar"</formula>
    </cfRule>
    <cfRule type="cellIs" dxfId="1191" priority="1183" operator="equal">
      <formula>"Ruim"</formula>
    </cfRule>
    <cfRule type="cellIs" dxfId="1190" priority="1184" operator="equal">
      <formula>"Médio"</formula>
    </cfRule>
    <cfRule type="cellIs" dxfId="1189" priority="1185" operator="equal">
      <formula>"Bom"</formula>
    </cfRule>
  </conditionalFormatting>
  <conditionalFormatting sqref="N457:N474">
    <cfRule type="expression" dxfId="1188" priority="1181">
      <formula>$N457&lt;TODAY()</formula>
    </cfRule>
  </conditionalFormatting>
  <conditionalFormatting sqref="L475:L492">
    <cfRule type="cellIs" dxfId="1187" priority="1177" operator="equal">
      <formula>"Trocar"</formula>
    </cfRule>
    <cfRule type="cellIs" dxfId="1186" priority="1178" operator="equal">
      <formula>"Ruim"</formula>
    </cfRule>
    <cfRule type="cellIs" dxfId="1185" priority="1179" operator="equal">
      <formula>"Médio"</formula>
    </cfRule>
    <cfRule type="cellIs" dxfId="1184" priority="1180" operator="equal">
      <formula>"Bom"</formula>
    </cfRule>
  </conditionalFormatting>
  <conditionalFormatting sqref="N475:N492">
    <cfRule type="expression" dxfId="1183" priority="1176">
      <formula>$N475&lt;TODAY()</formula>
    </cfRule>
  </conditionalFormatting>
  <conditionalFormatting sqref="L493:L510">
    <cfRule type="cellIs" dxfId="1182" priority="1172" operator="equal">
      <formula>"Trocar"</formula>
    </cfRule>
    <cfRule type="cellIs" dxfId="1181" priority="1173" operator="equal">
      <formula>"Ruim"</formula>
    </cfRule>
    <cfRule type="cellIs" dxfId="1180" priority="1174" operator="equal">
      <formula>"Médio"</formula>
    </cfRule>
    <cfRule type="cellIs" dxfId="1179" priority="1175" operator="equal">
      <formula>"Bom"</formula>
    </cfRule>
  </conditionalFormatting>
  <conditionalFormatting sqref="N493:N510">
    <cfRule type="expression" dxfId="1178" priority="1171">
      <formula>$N493&lt;TODAY()</formula>
    </cfRule>
  </conditionalFormatting>
  <conditionalFormatting sqref="L511:L528">
    <cfRule type="cellIs" dxfId="1177" priority="1167" operator="equal">
      <formula>"Trocar"</formula>
    </cfRule>
    <cfRule type="cellIs" dxfId="1176" priority="1168" operator="equal">
      <formula>"Ruim"</formula>
    </cfRule>
    <cfRule type="cellIs" dxfId="1175" priority="1169" operator="equal">
      <formula>"Médio"</formula>
    </cfRule>
    <cfRule type="cellIs" dxfId="1174" priority="1170" operator="equal">
      <formula>"Bom"</formula>
    </cfRule>
  </conditionalFormatting>
  <conditionalFormatting sqref="N511:N528">
    <cfRule type="expression" dxfId="1173" priority="1166">
      <formula>$N511&lt;TODAY()</formula>
    </cfRule>
  </conditionalFormatting>
  <conditionalFormatting sqref="L529:L546">
    <cfRule type="cellIs" dxfId="1172" priority="1162" operator="equal">
      <formula>"Trocar"</formula>
    </cfRule>
    <cfRule type="cellIs" dxfId="1171" priority="1163" operator="equal">
      <formula>"Ruim"</formula>
    </cfRule>
    <cfRule type="cellIs" dxfId="1170" priority="1164" operator="equal">
      <formula>"Médio"</formula>
    </cfRule>
    <cfRule type="cellIs" dxfId="1169" priority="1165" operator="equal">
      <formula>"Bom"</formula>
    </cfRule>
  </conditionalFormatting>
  <conditionalFormatting sqref="N529:N546">
    <cfRule type="expression" dxfId="1168" priority="1161">
      <formula>$N529&lt;TODAY()</formula>
    </cfRule>
  </conditionalFormatting>
  <conditionalFormatting sqref="L547:L564">
    <cfRule type="cellIs" dxfId="1167" priority="1157" operator="equal">
      <formula>"Trocar"</formula>
    </cfRule>
    <cfRule type="cellIs" dxfId="1166" priority="1158" operator="equal">
      <formula>"Ruim"</formula>
    </cfRule>
    <cfRule type="cellIs" dxfId="1165" priority="1159" operator="equal">
      <formula>"Médio"</formula>
    </cfRule>
    <cfRule type="cellIs" dxfId="1164" priority="1160" operator="equal">
      <formula>"Bom"</formula>
    </cfRule>
  </conditionalFormatting>
  <conditionalFormatting sqref="N547:N564">
    <cfRule type="expression" dxfId="1163" priority="1156">
      <formula>$N547&lt;TODAY()</formula>
    </cfRule>
  </conditionalFormatting>
  <conditionalFormatting sqref="L565:L582">
    <cfRule type="cellIs" dxfId="1162" priority="1152" operator="equal">
      <formula>"Trocar"</formula>
    </cfRule>
    <cfRule type="cellIs" dxfId="1161" priority="1153" operator="equal">
      <formula>"Ruim"</formula>
    </cfRule>
    <cfRule type="cellIs" dxfId="1160" priority="1154" operator="equal">
      <formula>"Médio"</formula>
    </cfRule>
    <cfRule type="cellIs" dxfId="1159" priority="1155" operator="equal">
      <formula>"Bom"</formula>
    </cfRule>
  </conditionalFormatting>
  <conditionalFormatting sqref="N565:N582">
    <cfRule type="expression" dxfId="1158" priority="1151">
      <formula>$N565&lt;TODAY()</formula>
    </cfRule>
  </conditionalFormatting>
  <conditionalFormatting sqref="L583:L870">
    <cfRule type="cellIs" dxfId="1157" priority="1147" operator="equal">
      <formula>"Trocar"</formula>
    </cfRule>
    <cfRule type="cellIs" dxfId="1156" priority="1148" operator="equal">
      <formula>"Ruim"</formula>
    </cfRule>
    <cfRule type="cellIs" dxfId="1155" priority="1149" operator="equal">
      <formula>"Médio"</formula>
    </cfRule>
    <cfRule type="cellIs" dxfId="1154" priority="1150" operator="equal">
      <formula>"Bom"</formula>
    </cfRule>
  </conditionalFormatting>
  <conditionalFormatting sqref="N583:N870">
    <cfRule type="expression" dxfId="1153" priority="1146">
      <formula>$N583&lt;TODAY()</formula>
    </cfRule>
  </conditionalFormatting>
  <conditionalFormatting sqref="L601">
    <cfRule type="cellIs" dxfId="1152" priority="1142" operator="equal">
      <formula>"Trocar"</formula>
    </cfRule>
    <cfRule type="cellIs" dxfId="1151" priority="1143" operator="equal">
      <formula>"Ruim"</formula>
    </cfRule>
    <cfRule type="cellIs" dxfId="1150" priority="1144" operator="equal">
      <formula>"Médio"</formula>
    </cfRule>
    <cfRule type="cellIs" dxfId="1149" priority="1145" operator="equal">
      <formula>"Bom"</formula>
    </cfRule>
  </conditionalFormatting>
  <conditionalFormatting sqref="L601:L618">
    <cfRule type="cellIs" dxfId="1148" priority="1138" operator="equal">
      <formula>"Trocar"</formula>
    </cfRule>
    <cfRule type="cellIs" dxfId="1147" priority="1139" operator="equal">
      <formula>"Ruim"</formula>
    </cfRule>
    <cfRule type="cellIs" dxfId="1146" priority="1140" operator="equal">
      <formula>"Médio"</formula>
    </cfRule>
    <cfRule type="cellIs" dxfId="1145" priority="1141" operator="equal">
      <formula>"Bom"</formula>
    </cfRule>
  </conditionalFormatting>
  <conditionalFormatting sqref="N601:N618">
    <cfRule type="expression" dxfId="1144" priority="1137">
      <formula>$N601&lt;TODAY()</formula>
    </cfRule>
  </conditionalFormatting>
  <conditionalFormatting sqref="L601:L618">
    <cfRule type="cellIs" dxfId="1143" priority="1133" operator="equal">
      <formula>"Trocar"</formula>
    </cfRule>
    <cfRule type="cellIs" dxfId="1142" priority="1134" operator="equal">
      <formula>"Ruim"</formula>
    </cfRule>
    <cfRule type="cellIs" dxfId="1141" priority="1135" operator="equal">
      <formula>"Médio"</formula>
    </cfRule>
    <cfRule type="cellIs" dxfId="1140" priority="1136" operator="equal">
      <formula>"Bom"</formula>
    </cfRule>
  </conditionalFormatting>
  <conditionalFormatting sqref="N601:N618">
    <cfRule type="expression" dxfId="1139" priority="1132">
      <formula>$N601&lt;TODAY()</formula>
    </cfRule>
  </conditionalFormatting>
  <conditionalFormatting sqref="L619:L636">
    <cfRule type="cellIs" dxfId="1138" priority="1128" operator="equal">
      <formula>"Trocar"</formula>
    </cfRule>
    <cfRule type="cellIs" dxfId="1137" priority="1129" operator="equal">
      <formula>"Ruim"</formula>
    </cfRule>
    <cfRule type="cellIs" dxfId="1136" priority="1130" operator="equal">
      <formula>"Médio"</formula>
    </cfRule>
    <cfRule type="cellIs" dxfId="1135" priority="1131" operator="equal">
      <formula>"Bom"</formula>
    </cfRule>
  </conditionalFormatting>
  <conditionalFormatting sqref="N619:N636">
    <cfRule type="expression" dxfId="1134" priority="1127">
      <formula>$N619&lt;TODAY()</formula>
    </cfRule>
  </conditionalFormatting>
  <conditionalFormatting sqref="L637:L654">
    <cfRule type="cellIs" dxfId="1133" priority="1123" operator="equal">
      <formula>"Trocar"</formula>
    </cfRule>
    <cfRule type="cellIs" dxfId="1132" priority="1124" operator="equal">
      <formula>"Ruim"</formula>
    </cfRule>
    <cfRule type="cellIs" dxfId="1131" priority="1125" operator="equal">
      <formula>"Médio"</formula>
    </cfRule>
    <cfRule type="cellIs" dxfId="1130" priority="1126" operator="equal">
      <formula>"Bom"</formula>
    </cfRule>
  </conditionalFormatting>
  <conditionalFormatting sqref="N637:N654">
    <cfRule type="expression" dxfId="1129" priority="1122">
      <formula>$N637&lt;TODAY()</formula>
    </cfRule>
  </conditionalFormatting>
  <conditionalFormatting sqref="L655:L672">
    <cfRule type="cellIs" dxfId="1128" priority="1118" operator="equal">
      <formula>"Trocar"</formula>
    </cfRule>
    <cfRule type="cellIs" dxfId="1127" priority="1119" operator="equal">
      <formula>"Ruim"</formula>
    </cfRule>
    <cfRule type="cellIs" dxfId="1126" priority="1120" operator="equal">
      <formula>"Médio"</formula>
    </cfRule>
    <cfRule type="cellIs" dxfId="1125" priority="1121" operator="equal">
      <formula>"Bom"</formula>
    </cfRule>
  </conditionalFormatting>
  <conditionalFormatting sqref="N655:N672">
    <cfRule type="expression" dxfId="1124" priority="1117">
      <formula>$N655&lt;TODAY()</formula>
    </cfRule>
  </conditionalFormatting>
  <conditionalFormatting sqref="L673:L690">
    <cfRule type="cellIs" dxfId="1123" priority="1113" operator="equal">
      <formula>"Trocar"</formula>
    </cfRule>
    <cfRule type="cellIs" dxfId="1122" priority="1114" operator="equal">
      <formula>"Ruim"</formula>
    </cfRule>
    <cfRule type="cellIs" dxfId="1121" priority="1115" operator="equal">
      <formula>"Médio"</formula>
    </cfRule>
    <cfRule type="cellIs" dxfId="1120" priority="1116" operator="equal">
      <formula>"Bom"</formula>
    </cfRule>
  </conditionalFormatting>
  <conditionalFormatting sqref="N673:N690">
    <cfRule type="expression" dxfId="1119" priority="1112">
      <formula>$N673&lt;TODAY()</formula>
    </cfRule>
  </conditionalFormatting>
  <conditionalFormatting sqref="L691:L708">
    <cfRule type="cellIs" dxfId="1118" priority="1108" operator="equal">
      <formula>"Trocar"</formula>
    </cfRule>
    <cfRule type="cellIs" dxfId="1117" priority="1109" operator="equal">
      <formula>"Ruim"</formula>
    </cfRule>
    <cfRule type="cellIs" dxfId="1116" priority="1110" operator="equal">
      <formula>"Médio"</formula>
    </cfRule>
    <cfRule type="cellIs" dxfId="1115" priority="1111" operator="equal">
      <formula>"Bom"</formula>
    </cfRule>
  </conditionalFormatting>
  <conditionalFormatting sqref="N691:N708">
    <cfRule type="expression" dxfId="1114" priority="1107">
      <formula>$N691&lt;TODAY()</formula>
    </cfRule>
  </conditionalFormatting>
  <conditionalFormatting sqref="L709:L726">
    <cfRule type="cellIs" dxfId="1113" priority="1103" operator="equal">
      <formula>"Trocar"</formula>
    </cfRule>
    <cfRule type="cellIs" dxfId="1112" priority="1104" operator="equal">
      <formula>"Ruim"</formula>
    </cfRule>
    <cfRule type="cellIs" dxfId="1111" priority="1105" operator="equal">
      <formula>"Médio"</formula>
    </cfRule>
    <cfRule type="cellIs" dxfId="1110" priority="1106" operator="equal">
      <formula>"Bom"</formula>
    </cfRule>
  </conditionalFormatting>
  <conditionalFormatting sqref="N709:N726">
    <cfRule type="expression" dxfId="1109" priority="1102">
      <formula>$N709&lt;TODAY()</formula>
    </cfRule>
  </conditionalFormatting>
  <conditionalFormatting sqref="L727:L870">
    <cfRule type="cellIs" dxfId="1108" priority="1098" operator="equal">
      <formula>"Trocar"</formula>
    </cfRule>
    <cfRule type="cellIs" dxfId="1107" priority="1099" operator="equal">
      <formula>"Ruim"</formula>
    </cfRule>
    <cfRule type="cellIs" dxfId="1106" priority="1100" operator="equal">
      <formula>"Médio"</formula>
    </cfRule>
    <cfRule type="cellIs" dxfId="1105" priority="1101" operator="equal">
      <formula>"Bom"</formula>
    </cfRule>
  </conditionalFormatting>
  <conditionalFormatting sqref="N727:N870">
    <cfRule type="expression" dxfId="1104" priority="1097">
      <formula>$N727&lt;TODAY()</formula>
    </cfRule>
  </conditionalFormatting>
  <conditionalFormatting sqref="L745">
    <cfRule type="cellIs" dxfId="1103" priority="1093" operator="equal">
      <formula>"Trocar"</formula>
    </cfRule>
    <cfRule type="cellIs" dxfId="1102" priority="1094" operator="equal">
      <formula>"Ruim"</formula>
    </cfRule>
    <cfRule type="cellIs" dxfId="1101" priority="1095" operator="equal">
      <formula>"Médio"</formula>
    </cfRule>
    <cfRule type="cellIs" dxfId="1100" priority="1096" operator="equal">
      <formula>"Bom"</formula>
    </cfRule>
  </conditionalFormatting>
  <conditionalFormatting sqref="L745:L762">
    <cfRule type="cellIs" dxfId="1099" priority="1089" operator="equal">
      <formula>"Trocar"</formula>
    </cfRule>
    <cfRule type="cellIs" dxfId="1098" priority="1090" operator="equal">
      <formula>"Ruim"</formula>
    </cfRule>
    <cfRule type="cellIs" dxfId="1097" priority="1091" operator="equal">
      <formula>"Médio"</formula>
    </cfRule>
    <cfRule type="cellIs" dxfId="1096" priority="1092" operator="equal">
      <formula>"Bom"</formula>
    </cfRule>
  </conditionalFormatting>
  <conditionalFormatting sqref="N745:N762">
    <cfRule type="expression" dxfId="1095" priority="1088">
      <formula>$N745&lt;TODAY()</formula>
    </cfRule>
  </conditionalFormatting>
  <conditionalFormatting sqref="L745:L762">
    <cfRule type="cellIs" dxfId="1094" priority="1084" operator="equal">
      <formula>"Trocar"</formula>
    </cfRule>
    <cfRule type="cellIs" dxfId="1093" priority="1085" operator="equal">
      <formula>"Ruim"</formula>
    </cfRule>
    <cfRule type="cellIs" dxfId="1092" priority="1086" operator="equal">
      <formula>"Médio"</formula>
    </cfRule>
    <cfRule type="cellIs" dxfId="1091" priority="1087" operator="equal">
      <formula>"Bom"</formula>
    </cfRule>
  </conditionalFormatting>
  <conditionalFormatting sqref="N745:N762">
    <cfRule type="expression" dxfId="1090" priority="1083">
      <formula>$N745&lt;TODAY()</formula>
    </cfRule>
  </conditionalFormatting>
  <conditionalFormatting sqref="L763:L780">
    <cfRule type="cellIs" dxfId="1089" priority="1079" operator="equal">
      <formula>"Trocar"</formula>
    </cfRule>
    <cfRule type="cellIs" dxfId="1088" priority="1080" operator="equal">
      <formula>"Ruim"</formula>
    </cfRule>
    <cfRule type="cellIs" dxfId="1087" priority="1081" operator="equal">
      <formula>"Médio"</formula>
    </cfRule>
    <cfRule type="cellIs" dxfId="1086" priority="1082" operator="equal">
      <formula>"Bom"</formula>
    </cfRule>
  </conditionalFormatting>
  <conditionalFormatting sqref="N763:N780">
    <cfRule type="expression" dxfId="1085" priority="1078">
      <formula>$N763&lt;TODAY()</formula>
    </cfRule>
  </conditionalFormatting>
  <conditionalFormatting sqref="L781:L798">
    <cfRule type="cellIs" dxfId="1084" priority="1074" operator="equal">
      <formula>"Trocar"</formula>
    </cfRule>
    <cfRule type="cellIs" dxfId="1083" priority="1075" operator="equal">
      <formula>"Ruim"</formula>
    </cfRule>
    <cfRule type="cellIs" dxfId="1082" priority="1076" operator="equal">
      <formula>"Médio"</formula>
    </cfRule>
    <cfRule type="cellIs" dxfId="1081" priority="1077" operator="equal">
      <formula>"Bom"</formula>
    </cfRule>
  </conditionalFormatting>
  <conditionalFormatting sqref="N781:N798">
    <cfRule type="expression" dxfId="1080" priority="1073">
      <formula>$N781&lt;TODAY()</formula>
    </cfRule>
  </conditionalFormatting>
  <conditionalFormatting sqref="L799:L816">
    <cfRule type="cellIs" dxfId="1079" priority="1069" operator="equal">
      <formula>"Trocar"</formula>
    </cfRule>
    <cfRule type="cellIs" dxfId="1078" priority="1070" operator="equal">
      <formula>"Ruim"</formula>
    </cfRule>
    <cfRule type="cellIs" dxfId="1077" priority="1071" operator="equal">
      <formula>"Médio"</formula>
    </cfRule>
    <cfRule type="cellIs" dxfId="1076" priority="1072" operator="equal">
      <formula>"Bom"</formula>
    </cfRule>
  </conditionalFormatting>
  <conditionalFormatting sqref="N799:N816">
    <cfRule type="expression" dxfId="1075" priority="1068">
      <formula>$N799&lt;TODAY()</formula>
    </cfRule>
  </conditionalFormatting>
  <conditionalFormatting sqref="L817:L834">
    <cfRule type="cellIs" dxfId="1074" priority="1064" operator="equal">
      <formula>"Trocar"</formula>
    </cfRule>
    <cfRule type="cellIs" dxfId="1073" priority="1065" operator="equal">
      <formula>"Ruim"</formula>
    </cfRule>
    <cfRule type="cellIs" dxfId="1072" priority="1066" operator="equal">
      <formula>"Médio"</formula>
    </cfRule>
    <cfRule type="cellIs" dxfId="1071" priority="1067" operator="equal">
      <formula>"Bom"</formula>
    </cfRule>
  </conditionalFormatting>
  <conditionalFormatting sqref="N817:N834">
    <cfRule type="expression" dxfId="1070" priority="1063">
      <formula>$N817&lt;TODAY()</formula>
    </cfRule>
  </conditionalFormatting>
  <conditionalFormatting sqref="L835:L852">
    <cfRule type="cellIs" dxfId="1069" priority="1059" operator="equal">
      <formula>"Trocar"</formula>
    </cfRule>
    <cfRule type="cellIs" dxfId="1068" priority="1060" operator="equal">
      <formula>"Ruim"</formula>
    </cfRule>
    <cfRule type="cellIs" dxfId="1067" priority="1061" operator="equal">
      <formula>"Médio"</formula>
    </cfRule>
    <cfRule type="cellIs" dxfId="1066" priority="1062" operator="equal">
      <formula>"Bom"</formula>
    </cfRule>
  </conditionalFormatting>
  <conditionalFormatting sqref="N835:N852">
    <cfRule type="expression" dxfId="1065" priority="1058">
      <formula>$N835&lt;TODAY()</formula>
    </cfRule>
  </conditionalFormatting>
  <conditionalFormatting sqref="L853:L870">
    <cfRule type="cellIs" dxfId="1064" priority="1054" operator="equal">
      <formula>"Trocar"</formula>
    </cfRule>
    <cfRule type="cellIs" dxfId="1063" priority="1055" operator="equal">
      <formula>"Ruim"</formula>
    </cfRule>
    <cfRule type="cellIs" dxfId="1062" priority="1056" operator="equal">
      <formula>"Médio"</formula>
    </cfRule>
    <cfRule type="cellIs" dxfId="1061" priority="1057" operator="equal">
      <formula>"Bom"</formula>
    </cfRule>
  </conditionalFormatting>
  <conditionalFormatting sqref="N853:N870">
    <cfRule type="expression" dxfId="1060" priority="1053">
      <formula>$N853&lt;TODAY()</formula>
    </cfRule>
  </conditionalFormatting>
  <conditionalFormatting sqref="L745">
    <cfRule type="cellIs" dxfId="1059" priority="1049" operator="equal">
      <formula>"Trocar"</formula>
    </cfRule>
    <cfRule type="cellIs" dxfId="1058" priority="1050" operator="equal">
      <formula>"Ruim"</formula>
    </cfRule>
    <cfRule type="cellIs" dxfId="1057" priority="1051" operator="equal">
      <formula>"Médio"</formula>
    </cfRule>
    <cfRule type="cellIs" dxfId="1056" priority="1052" operator="equal">
      <formula>"Bom"</formula>
    </cfRule>
  </conditionalFormatting>
  <conditionalFormatting sqref="L745:L762">
    <cfRule type="cellIs" dxfId="1055" priority="1045" operator="equal">
      <formula>"Trocar"</formula>
    </cfRule>
    <cfRule type="cellIs" dxfId="1054" priority="1046" operator="equal">
      <formula>"Ruim"</formula>
    </cfRule>
    <cfRule type="cellIs" dxfId="1053" priority="1047" operator="equal">
      <formula>"Médio"</formula>
    </cfRule>
    <cfRule type="cellIs" dxfId="1052" priority="1048" operator="equal">
      <formula>"Bom"</formula>
    </cfRule>
  </conditionalFormatting>
  <conditionalFormatting sqref="N745:N762">
    <cfRule type="expression" dxfId="1051" priority="1044">
      <formula>$N745&lt;TODAY()</formula>
    </cfRule>
  </conditionalFormatting>
  <conditionalFormatting sqref="L745:L762">
    <cfRule type="cellIs" dxfId="1050" priority="1040" operator="equal">
      <formula>"Trocar"</formula>
    </cfRule>
    <cfRule type="cellIs" dxfId="1049" priority="1041" operator="equal">
      <formula>"Ruim"</formula>
    </cfRule>
    <cfRule type="cellIs" dxfId="1048" priority="1042" operator="equal">
      <formula>"Médio"</formula>
    </cfRule>
    <cfRule type="cellIs" dxfId="1047" priority="1043" operator="equal">
      <formula>"Bom"</formula>
    </cfRule>
  </conditionalFormatting>
  <conditionalFormatting sqref="N745:N762">
    <cfRule type="expression" dxfId="1046" priority="1039">
      <formula>$N745&lt;TODAY()</formula>
    </cfRule>
  </conditionalFormatting>
  <conditionalFormatting sqref="L763:L780">
    <cfRule type="cellIs" dxfId="1045" priority="1035" operator="equal">
      <formula>"Trocar"</formula>
    </cfRule>
    <cfRule type="cellIs" dxfId="1044" priority="1036" operator="equal">
      <formula>"Ruim"</formula>
    </cfRule>
    <cfRule type="cellIs" dxfId="1043" priority="1037" operator="equal">
      <formula>"Médio"</formula>
    </cfRule>
    <cfRule type="cellIs" dxfId="1042" priority="1038" operator="equal">
      <formula>"Bom"</formula>
    </cfRule>
  </conditionalFormatting>
  <conditionalFormatting sqref="N763:N780">
    <cfRule type="expression" dxfId="1041" priority="1034">
      <formula>$N763&lt;TODAY()</formula>
    </cfRule>
  </conditionalFormatting>
  <conditionalFormatting sqref="L781:L798">
    <cfRule type="cellIs" dxfId="1040" priority="1030" operator="equal">
      <formula>"Trocar"</formula>
    </cfRule>
    <cfRule type="cellIs" dxfId="1039" priority="1031" operator="equal">
      <formula>"Ruim"</formula>
    </cfRule>
    <cfRule type="cellIs" dxfId="1038" priority="1032" operator="equal">
      <formula>"Médio"</formula>
    </cfRule>
    <cfRule type="cellIs" dxfId="1037" priority="1033" operator="equal">
      <formula>"Bom"</formula>
    </cfRule>
  </conditionalFormatting>
  <conditionalFormatting sqref="N781:N798">
    <cfRule type="expression" dxfId="1036" priority="1029">
      <formula>$N781&lt;TODAY()</formula>
    </cfRule>
  </conditionalFormatting>
  <conditionalFormatting sqref="L799:L816">
    <cfRule type="cellIs" dxfId="1035" priority="1025" operator="equal">
      <formula>"Trocar"</formula>
    </cfRule>
    <cfRule type="cellIs" dxfId="1034" priority="1026" operator="equal">
      <formula>"Ruim"</formula>
    </cfRule>
    <cfRule type="cellIs" dxfId="1033" priority="1027" operator="equal">
      <formula>"Médio"</formula>
    </cfRule>
    <cfRule type="cellIs" dxfId="1032" priority="1028" operator="equal">
      <formula>"Bom"</formula>
    </cfRule>
  </conditionalFormatting>
  <conditionalFormatting sqref="N799:N816">
    <cfRule type="expression" dxfId="1031" priority="1024">
      <formula>$N799&lt;TODAY()</formula>
    </cfRule>
  </conditionalFormatting>
  <conditionalFormatting sqref="L817:L834">
    <cfRule type="cellIs" dxfId="1030" priority="1020" operator="equal">
      <formula>"Trocar"</formula>
    </cfRule>
    <cfRule type="cellIs" dxfId="1029" priority="1021" operator="equal">
      <formula>"Ruim"</formula>
    </cfRule>
    <cfRule type="cellIs" dxfId="1028" priority="1022" operator="equal">
      <formula>"Médio"</formula>
    </cfRule>
    <cfRule type="cellIs" dxfId="1027" priority="1023" operator="equal">
      <formula>"Bom"</formula>
    </cfRule>
  </conditionalFormatting>
  <conditionalFormatting sqref="N817:N834">
    <cfRule type="expression" dxfId="1026" priority="1019">
      <formula>$N817&lt;TODAY()</formula>
    </cfRule>
  </conditionalFormatting>
  <conditionalFormatting sqref="L835:L852">
    <cfRule type="cellIs" dxfId="1025" priority="1015" operator="equal">
      <formula>"Trocar"</formula>
    </cfRule>
    <cfRule type="cellIs" dxfId="1024" priority="1016" operator="equal">
      <formula>"Ruim"</formula>
    </cfRule>
    <cfRule type="cellIs" dxfId="1023" priority="1017" operator="equal">
      <formula>"Médio"</formula>
    </cfRule>
    <cfRule type="cellIs" dxfId="1022" priority="1018" operator="equal">
      <formula>"Bom"</formula>
    </cfRule>
  </conditionalFormatting>
  <conditionalFormatting sqref="N835:N852">
    <cfRule type="expression" dxfId="1021" priority="1014">
      <formula>$N835&lt;TODAY()</formula>
    </cfRule>
  </conditionalFormatting>
  <conditionalFormatting sqref="L853:L870">
    <cfRule type="cellIs" dxfId="1020" priority="1010" operator="equal">
      <formula>"Trocar"</formula>
    </cfRule>
    <cfRule type="cellIs" dxfId="1019" priority="1011" operator="equal">
      <formula>"Ruim"</formula>
    </cfRule>
    <cfRule type="cellIs" dxfId="1018" priority="1012" operator="equal">
      <formula>"Médio"</formula>
    </cfRule>
    <cfRule type="cellIs" dxfId="1017" priority="1013" operator="equal">
      <formula>"Bom"</formula>
    </cfRule>
  </conditionalFormatting>
  <conditionalFormatting sqref="N853:N870">
    <cfRule type="expression" dxfId="1016" priority="1009">
      <formula>$N853&lt;TODAY()</formula>
    </cfRule>
  </conditionalFormatting>
  <conditionalFormatting sqref="L745">
    <cfRule type="cellIs" dxfId="1015" priority="1005" operator="equal">
      <formula>"Trocar"</formula>
    </cfRule>
    <cfRule type="cellIs" dxfId="1014" priority="1006" operator="equal">
      <formula>"Ruim"</formula>
    </cfRule>
    <cfRule type="cellIs" dxfId="1013" priority="1007" operator="equal">
      <formula>"Médio"</formula>
    </cfRule>
    <cfRule type="cellIs" dxfId="1012" priority="1008" operator="equal">
      <formula>"Bom"</formula>
    </cfRule>
  </conditionalFormatting>
  <conditionalFormatting sqref="L745:L762">
    <cfRule type="cellIs" dxfId="1011" priority="1001" operator="equal">
      <formula>"Trocar"</formula>
    </cfRule>
    <cfRule type="cellIs" dxfId="1010" priority="1002" operator="equal">
      <formula>"Ruim"</formula>
    </cfRule>
    <cfRule type="cellIs" dxfId="1009" priority="1003" operator="equal">
      <formula>"Médio"</formula>
    </cfRule>
    <cfRule type="cellIs" dxfId="1008" priority="1004" operator="equal">
      <formula>"Bom"</formula>
    </cfRule>
  </conditionalFormatting>
  <conditionalFormatting sqref="N745:N762">
    <cfRule type="expression" dxfId="1007" priority="1000">
      <formula>$N745&lt;TODAY()</formula>
    </cfRule>
  </conditionalFormatting>
  <conditionalFormatting sqref="L745:L762">
    <cfRule type="cellIs" dxfId="1006" priority="996" operator="equal">
      <formula>"Trocar"</formula>
    </cfRule>
    <cfRule type="cellIs" dxfId="1005" priority="997" operator="equal">
      <formula>"Ruim"</formula>
    </cfRule>
    <cfRule type="cellIs" dxfId="1004" priority="998" operator="equal">
      <formula>"Médio"</formula>
    </cfRule>
    <cfRule type="cellIs" dxfId="1003" priority="999" operator="equal">
      <formula>"Bom"</formula>
    </cfRule>
  </conditionalFormatting>
  <conditionalFormatting sqref="N745:N762">
    <cfRule type="expression" dxfId="1002" priority="995">
      <formula>$N745&lt;TODAY()</formula>
    </cfRule>
  </conditionalFormatting>
  <conditionalFormatting sqref="L763:L780">
    <cfRule type="cellIs" dxfId="1001" priority="991" operator="equal">
      <formula>"Trocar"</formula>
    </cfRule>
    <cfRule type="cellIs" dxfId="1000" priority="992" operator="equal">
      <formula>"Ruim"</formula>
    </cfRule>
    <cfRule type="cellIs" dxfId="999" priority="993" operator="equal">
      <formula>"Médio"</formula>
    </cfRule>
    <cfRule type="cellIs" dxfId="998" priority="994" operator="equal">
      <formula>"Bom"</formula>
    </cfRule>
  </conditionalFormatting>
  <conditionalFormatting sqref="N763:N780">
    <cfRule type="expression" dxfId="997" priority="990">
      <formula>$N763&lt;TODAY()</formula>
    </cfRule>
  </conditionalFormatting>
  <conditionalFormatting sqref="L781:L798">
    <cfRule type="cellIs" dxfId="996" priority="986" operator="equal">
      <formula>"Trocar"</formula>
    </cfRule>
    <cfRule type="cellIs" dxfId="995" priority="987" operator="equal">
      <formula>"Ruim"</formula>
    </cfRule>
    <cfRule type="cellIs" dxfId="994" priority="988" operator="equal">
      <formula>"Médio"</formula>
    </cfRule>
    <cfRule type="cellIs" dxfId="993" priority="989" operator="equal">
      <formula>"Bom"</formula>
    </cfRule>
  </conditionalFormatting>
  <conditionalFormatting sqref="N781:N798">
    <cfRule type="expression" dxfId="992" priority="985">
      <formula>$N781&lt;TODAY()</formula>
    </cfRule>
  </conditionalFormatting>
  <conditionalFormatting sqref="L799:L816">
    <cfRule type="cellIs" dxfId="991" priority="981" operator="equal">
      <formula>"Trocar"</formula>
    </cfRule>
    <cfRule type="cellIs" dxfId="990" priority="982" operator="equal">
      <formula>"Ruim"</formula>
    </cfRule>
    <cfRule type="cellIs" dxfId="989" priority="983" operator="equal">
      <formula>"Médio"</formula>
    </cfRule>
    <cfRule type="cellIs" dxfId="988" priority="984" operator="equal">
      <formula>"Bom"</formula>
    </cfRule>
  </conditionalFormatting>
  <conditionalFormatting sqref="N799:N816">
    <cfRule type="expression" dxfId="987" priority="980">
      <formula>$N799&lt;TODAY()</formula>
    </cfRule>
  </conditionalFormatting>
  <conditionalFormatting sqref="L817:L834">
    <cfRule type="cellIs" dxfId="986" priority="976" operator="equal">
      <formula>"Trocar"</formula>
    </cfRule>
    <cfRule type="cellIs" dxfId="985" priority="977" operator="equal">
      <formula>"Ruim"</formula>
    </cfRule>
    <cfRule type="cellIs" dxfId="984" priority="978" operator="equal">
      <formula>"Médio"</formula>
    </cfRule>
    <cfRule type="cellIs" dxfId="983" priority="979" operator="equal">
      <formula>"Bom"</formula>
    </cfRule>
  </conditionalFormatting>
  <conditionalFormatting sqref="N817:N834">
    <cfRule type="expression" dxfId="982" priority="975">
      <formula>$N817&lt;TODAY()</formula>
    </cfRule>
  </conditionalFormatting>
  <conditionalFormatting sqref="L835:L852">
    <cfRule type="cellIs" dxfId="981" priority="971" operator="equal">
      <formula>"Trocar"</formula>
    </cfRule>
    <cfRule type="cellIs" dxfId="980" priority="972" operator="equal">
      <formula>"Ruim"</formula>
    </cfRule>
    <cfRule type="cellIs" dxfId="979" priority="973" operator="equal">
      <formula>"Médio"</formula>
    </cfRule>
    <cfRule type="cellIs" dxfId="978" priority="974" operator="equal">
      <formula>"Bom"</formula>
    </cfRule>
  </conditionalFormatting>
  <conditionalFormatting sqref="N835:N852">
    <cfRule type="expression" dxfId="977" priority="970">
      <formula>$N835&lt;TODAY()</formula>
    </cfRule>
  </conditionalFormatting>
  <conditionalFormatting sqref="L853:L870">
    <cfRule type="cellIs" dxfId="976" priority="966" operator="equal">
      <formula>"Trocar"</formula>
    </cfRule>
    <cfRule type="cellIs" dxfId="975" priority="967" operator="equal">
      <formula>"Ruim"</formula>
    </cfRule>
    <cfRule type="cellIs" dxfId="974" priority="968" operator="equal">
      <formula>"Médio"</formula>
    </cfRule>
    <cfRule type="cellIs" dxfId="973" priority="969" operator="equal">
      <formula>"Bom"</formula>
    </cfRule>
  </conditionalFormatting>
  <conditionalFormatting sqref="N853:N870">
    <cfRule type="expression" dxfId="972" priority="965">
      <formula>$N853&lt;TODAY()</formula>
    </cfRule>
  </conditionalFormatting>
  <conditionalFormatting sqref="L745">
    <cfRule type="cellIs" dxfId="971" priority="961" operator="equal">
      <formula>"Trocar"</formula>
    </cfRule>
    <cfRule type="cellIs" dxfId="970" priority="962" operator="equal">
      <formula>"Ruim"</formula>
    </cfRule>
    <cfRule type="cellIs" dxfId="969" priority="963" operator="equal">
      <formula>"Médio"</formula>
    </cfRule>
    <cfRule type="cellIs" dxfId="968" priority="964" operator="equal">
      <formula>"Bom"</formula>
    </cfRule>
  </conditionalFormatting>
  <conditionalFormatting sqref="L745:L762">
    <cfRule type="cellIs" dxfId="967" priority="957" operator="equal">
      <formula>"Trocar"</formula>
    </cfRule>
    <cfRule type="cellIs" dxfId="966" priority="958" operator="equal">
      <formula>"Ruim"</formula>
    </cfRule>
    <cfRule type="cellIs" dxfId="965" priority="959" operator="equal">
      <formula>"Médio"</formula>
    </cfRule>
    <cfRule type="cellIs" dxfId="964" priority="960" operator="equal">
      <formula>"Bom"</formula>
    </cfRule>
  </conditionalFormatting>
  <conditionalFormatting sqref="N745:N762">
    <cfRule type="expression" dxfId="963" priority="956">
      <formula>$N745&lt;TODAY()</formula>
    </cfRule>
  </conditionalFormatting>
  <conditionalFormatting sqref="L745:L762">
    <cfRule type="cellIs" dxfId="962" priority="952" operator="equal">
      <formula>"Trocar"</formula>
    </cfRule>
    <cfRule type="cellIs" dxfId="961" priority="953" operator="equal">
      <formula>"Ruim"</formula>
    </cfRule>
    <cfRule type="cellIs" dxfId="960" priority="954" operator="equal">
      <formula>"Médio"</formula>
    </cfRule>
    <cfRule type="cellIs" dxfId="959" priority="955" operator="equal">
      <formula>"Bom"</formula>
    </cfRule>
  </conditionalFormatting>
  <conditionalFormatting sqref="N745:N762">
    <cfRule type="expression" dxfId="958" priority="951">
      <formula>$N745&lt;TODAY()</formula>
    </cfRule>
  </conditionalFormatting>
  <conditionalFormatting sqref="L763:L780">
    <cfRule type="cellIs" dxfId="957" priority="947" operator="equal">
      <formula>"Trocar"</formula>
    </cfRule>
    <cfRule type="cellIs" dxfId="956" priority="948" operator="equal">
      <formula>"Ruim"</formula>
    </cfRule>
    <cfRule type="cellIs" dxfId="955" priority="949" operator="equal">
      <formula>"Médio"</formula>
    </cfRule>
    <cfRule type="cellIs" dxfId="954" priority="950" operator="equal">
      <formula>"Bom"</formula>
    </cfRule>
  </conditionalFormatting>
  <conditionalFormatting sqref="N763:N780">
    <cfRule type="expression" dxfId="953" priority="946">
      <formula>$N763&lt;TODAY()</formula>
    </cfRule>
  </conditionalFormatting>
  <conditionalFormatting sqref="L781:L798">
    <cfRule type="cellIs" dxfId="952" priority="942" operator="equal">
      <formula>"Trocar"</formula>
    </cfRule>
    <cfRule type="cellIs" dxfId="951" priority="943" operator="equal">
      <formula>"Ruim"</formula>
    </cfRule>
    <cfRule type="cellIs" dxfId="950" priority="944" operator="equal">
      <formula>"Médio"</formula>
    </cfRule>
    <cfRule type="cellIs" dxfId="949" priority="945" operator="equal">
      <formula>"Bom"</formula>
    </cfRule>
  </conditionalFormatting>
  <conditionalFormatting sqref="N781:N798">
    <cfRule type="expression" dxfId="948" priority="941">
      <formula>$N781&lt;TODAY()</formula>
    </cfRule>
  </conditionalFormatting>
  <conditionalFormatting sqref="L799:L816">
    <cfRule type="cellIs" dxfId="947" priority="937" operator="equal">
      <formula>"Trocar"</formula>
    </cfRule>
    <cfRule type="cellIs" dxfId="946" priority="938" operator="equal">
      <formula>"Ruim"</formula>
    </cfRule>
    <cfRule type="cellIs" dxfId="945" priority="939" operator="equal">
      <formula>"Médio"</formula>
    </cfRule>
    <cfRule type="cellIs" dxfId="944" priority="940" operator="equal">
      <formula>"Bom"</formula>
    </cfRule>
  </conditionalFormatting>
  <conditionalFormatting sqref="N799:N816">
    <cfRule type="expression" dxfId="943" priority="936">
      <formula>$N799&lt;TODAY()</formula>
    </cfRule>
  </conditionalFormatting>
  <conditionalFormatting sqref="L817:L834">
    <cfRule type="cellIs" dxfId="942" priority="932" operator="equal">
      <formula>"Trocar"</formula>
    </cfRule>
    <cfRule type="cellIs" dxfId="941" priority="933" operator="equal">
      <formula>"Ruim"</formula>
    </cfRule>
    <cfRule type="cellIs" dxfId="940" priority="934" operator="equal">
      <formula>"Médio"</formula>
    </cfRule>
    <cfRule type="cellIs" dxfId="939" priority="935" operator="equal">
      <formula>"Bom"</formula>
    </cfRule>
  </conditionalFormatting>
  <conditionalFormatting sqref="N817:N834">
    <cfRule type="expression" dxfId="938" priority="931">
      <formula>$N817&lt;TODAY()</formula>
    </cfRule>
  </conditionalFormatting>
  <conditionalFormatting sqref="L835:L852">
    <cfRule type="cellIs" dxfId="937" priority="927" operator="equal">
      <formula>"Trocar"</formula>
    </cfRule>
    <cfRule type="cellIs" dxfId="936" priority="928" operator="equal">
      <formula>"Ruim"</formula>
    </cfRule>
    <cfRule type="cellIs" dxfId="935" priority="929" operator="equal">
      <formula>"Médio"</formula>
    </cfRule>
    <cfRule type="cellIs" dxfId="934" priority="930" operator="equal">
      <formula>"Bom"</formula>
    </cfRule>
  </conditionalFormatting>
  <conditionalFormatting sqref="N835:N852">
    <cfRule type="expression" dxfId="933" priority="926">
      <formula>$N835&lt;TODAY()</formula>
    </cfRule>
  </conditionalFormatting>
  <conditionalFormatting sqref="L853:L870">
    <cfRule type="cellIs" dxfId="932" priority="922" operator="equal">
      <formula>"Trocar"</formula>
    </cfRule>
    <cfRule type="cellIs" dxfId="931" priority="923" operator="equal">
      <formula>"Ruim"</formula>
    </cfRule>
    <cfRule type="cellIs" dxfId="930" priority="924" operator="equal">
      <formula>"Médio"</formula>
    </cfRule>
    <cfRule type="cellIs" dxfId="929" priority="925" operator="equal">
      <formula>"Bom"</formula>
    </cfRule>
  </conditionalFormatting>
  <conditionalFormatting sqref="N853:N870">
    <cfRule type="expression" dxfId="928" priority="921">
      <formula>$N853&lt;TODAY()</formula>
    </cfRule>
  </conditionalFormatting>
  <conditionalFormatting sqref="L871:L1158">
    <cfRule type="cellIs" dxfId="927" priority="917" operator="equal">
      <formula>"Trocar"</formula>
    </cfRule>
    <cfRule type="cellIs" dxfId="926" priority="918" operator="equal">
      <formula>"Ruim"</formula>
    </cfRule>
    <cfRule type="cellIs" dxfId="925" priority="919" operator="equal">
      <formula>"Médio"</formula>
    </cfRule>
    <cfRule type="cellIs" dxfId="924" priority="920" operator="equal">
      <formula>"Bom"</formula>
    </cfRule>
  </conditionalFormatting>
  <conditionalFormatting sqref="N871:N1158">
    <cfRule type="expression" dxfId="923" priority="916">
      <formula>$N871&lt;TODAY()</formula>
    </cfRule>
  </conditionalFormatting>
  <conditionalFormatting sqref="L889">
    <cfRule type="cellIs" dxfId="922" priority="912" operator="equal">
      <formula>"Trocar"</formula>
    </cfRule>
    <cfRule type="cellIs" dxfId="921" priority="913" operator="equal">
      <formula>"Ruim"</formula>
    </cfRule>
    <cfRule type="cellIs" dxfId="920" priority="914" operator="equal">
      <formula>"Médio"</formula>
    </cfRule>
    <cfRule type="cellIs" dxfId="919" priority="915" operator="equal">
      <formula>"Bom"</formula>
    </cfRule>
  </conditionalFormatting>
  <conditionalFormatting sqref="L889:L906">
    <cfRule type="cellIs" dxfId="918" priority="908" operator="equal">
      <formula>"Trocar"</formula>
    </cfRule>
    <cfRule type="cellIs" dxfId="917" priority="909" operator="equal">
      <formula>"Ruim"</formula>
    </cfRule>
    <cfRule type="cellIs" dxfId="916" priority="910" operator="equal">
      <formula>"Médio"</formula>
    </cfRule>
    <cfRule type="cellIs" dxfId="915" priority="911" operator="equal">
      <formula>"Bom"</formula>
    </cfRule>
  </conditionalFormatting>
  <conditionalFormatting sqref="N889:N906">
    <cfRule type="expression" dxfId="914" priority="907">
      <formula>$N889&lt;TODAY()</formula>
    </cfRule>
  </conditionalFormatting>
  <conditionalFormatting sqref="L889:L906">
    <cfRule type="cellIs" dxfId="913" priority="903" operator="equal">
      <formula>"Trocar"</formula>
    </cfRule>
    <cfRule type="cellIs" dxfId="912" priority="904" operator="equal">
      <formula>"Ruim"</formula>
    </cfRule>
    <cfRule type="cellIs" dxfId="911" priority="905" operator="equal">
      <formula>"Médio"</formula>
    </cfRule>
    <cfRule type="cellIs" dxfId="910" priority="906" operator="equal">
      <formula>"Bom"</formula>
    </cfRule>
  </conditionalFormatting>
  <conditionalFormatting sqref="N889:N906">
    <cfRule type="expression" dxfId="909" priority="902">
      <formula>$N889&lt;TODAY()</formula>
    </cfRule>
  </conditionalFormatting>
  <conditionalFormatting sqref="L907:L924">
    <cfRule type="cellIs" dxfId="908" priority="898" operator="equal">
      <formula>"Trocar"</formula>
    </cfRule>
    <cfRule type="cellIs" dxfId="907" priority="899" operator="equal">
      <formula>"Ruim"</formula>
    </cfRule>
    <cfRule type="cellIs" dxfId="906" priority="900" operator="equal">
      <formula>"Médio"</formula>
    </cfRule>
    <cfRule type="cellIs" dxfId="905" priority="901" operator="equal">
      <formula>"Bom"</formula>
    </cfRule>
  </conditionalFormatting>
  <conditionalFormatting sqref="N907:N924">
    <cfRule type="expression" dxfId="904" priority="897">
      <formula>$N907&lt;TODAY()</formula>
    </cfRule>
  </conditionalFormatting>
  <conditionalFormatting sqref="L925:L942">
    <cfRule type="cellIs" dxfId="903" priority="893" operator="equal">
      <formula>"Trocar"</formula>
    </cfRule>
    <cfRule type="cellIs" dxfId="902" priority="894" operator="equal">
      <formula>"Ruim"</formula>
    </cfRule>
    <cfRule type="cellIs" dxfId="901" priority="895" operator="equal">
      <formula>"Médio"</formula>
    </cfRule>
    <cfRule type="cellIs" dxfId="900" priority="896" operator="equal">
      <formula>"Bom"</formula>
    </cfRule>
  </conditionalFormatting>
  <conditionalFormatting sqref="N925:N942">
    <cfRule type="expression" dxfId="899" priority="892">
      <formula>$N925&lt;TODAY()</formula>
    </cfRule>
  </conditionalFormatting>
  <conditionalFormatting sqref="L943:L960">
    <cfRule type="cellIs" dxfId="898" priority="888" operator="equal">
      <formula>"Trocar"</formula>
    </cfRule>
    <cfRule type="cellIs" dxfId="897" priority="889" operator="equal">
      <formula>"Ruim"</formula>
    </cfRule>
    <cfRule type="cellIs" dxfId="896" priority="890" operator="equal">
      <formula>"Médio"</formula>
    </cfRule>
    <cfRule type="cellIs" dxfId="895" priority="891" operator="equal">
      <formula>"Bom"</formula>
    </cfRule>
  </conditionalFormatting>
  <conditionalFormatting sqref="N943:N960">
    <cfRule type="expression" dxfId="894" priority="887">
      <formula>$N943&lt;TODAY()</formula>
    </cfRule>
  </conditionalFormatting>
  <conditionalFormatting sqref="L961:L978">
    <cfRule type="cellIs" dxfId="893" priority="883" operator="equal">
      <formula>"Trocar"</formula>
    </cfRule>
    <cfRule type="cellIs" dxfId="892" priority="884" operator="equal">
      <formula>"Ruim"</formula>
    </cfRule>
    <cfRule type="cellIs" dxfId="891" priority="885" operator="equal">
      <formula>"Médio"</formula>
    </cfRule>
    <cfRule type="cellIs" dxfId="890" priority="886" operator="equal">
      <formula>"Bom"</formula>
    </cfRule>
  </conditionalFormatting>
  <conditionalFormatting sqref="N961:N978">
    <cfRule type="expression" dxfId="889" priority="882">
      <formula>$N961&lt;TODAY()</formula>
    </cfRule>
  </conditionalFormatting>
  <conditionalFormatting sqref="L979:L996">
    <cfRule type="cellIs" dxfId="888" priority="878" operator="equal">
      <formula>"Trocar"</formula>
    </cfRule>
    <cfRule type="cellIs" dxfId="887" priority="879" operator="equal">
      <formula>"Ruim"</formula>
    </cfRule>
    <cfRule type="cellIs" dxfId="886" priority="880" operator="equal">
      <formula>"Médio"</formula>
    </cfRule>
    <cfRule type="cellIs" dxfId="885" priority="881" operator="equal">
      <formula>"Bom"</formula>
    </cfRule>
  </conditionalFormatting>
  <conditionalFormatting sqref="N979:N996">
    <cfRule type="expression" dxfId="884" priority="877">
      <formula>$N979&lt;TODAY()</formula>
    </cfRule>
  </conditionalFormatting>
  <conditionalFormatting sqref="L997:L1014">
    <cfRule type="cellIs" dxfId="883" priority="873" operator="equal">
      <formula>"Trocar"</formula>
    </cfRule>
    <cfRule type="cellIs" dxfId="882" priority="874" operator="equal">
      <formula>"Ruim"</formula>
    </cfRule>
    <cfRule type="cellIs" dxfId="881" priority="875" operator="equal">
      <formula>"Médio"</formula>
    </cfRule>
    <cfRule type="cellIs" dxfId="880" priority="876" operator="equal">
      <formula>"Bom"</formula>
    </cfRule>
  </conditionalFormatting>
  <conditionalFormatting sqref="N997:N1014">
    <cfRule type="expression" dxfId="879" priority="872">
      <formula>$N997&lt;TODAY()</formula>
    </cfRule>
  </conditionalFormatting>
  <conditionalFormatting sqref="L1015:L1158">
    <cfRule type="cellIs" dxfId="878" priority="868" operator="equal">
      <formula>"Trocar"</formula>
    </cfRule>
    <cfRule type="cellIs" dxfId="877" priority="869" operator="equal">
      <formula>"Ruim"</formula>
    </cfRule>
    <cfRule type="cellIs" dxfId="876" priority="870" operator="equal">
      <formula>"Médio"</formula>
    </cfRule>
    <cfRule type="cellIs" dxfId="875" priority="871" operator="equal">
      <formula>"Bom"</formula>
    </cfRule>
  </conditionalFormatting>
  <conditionalFormatting sqref="N1015:N1158">
    <cfRule type="expression" dxfId="874" priority="867">
      <formula>$N1015&lt;TODAY()</formula>
    </cfRule>
  </conditionalFormatting>
  <conditionalFormatting sqref="L1033">
    <cfRule type="cellIs" dxfId="873" priority="863" operator="equal">
      <formula>"Trocar"</formula>
    </cfRule>
    <cfRule type="cellIs" dxfId="872" priority="864" operator="equal">
      <formula>"Ruim"</formula>
    </cfRule>
    <cfRule type="cellIs" dxfId="871" priority="865" operator="equal">
      <formula>"Médio"</formula>
    </cfRule>
    <cfRule type="cellIs" dxfId="870" priority="866" operator="equal">
      <formula>"Bom"</formula>
    </cfRule>
  </conditionalFormatting>
  <conditionalFormatting sqref="L1033:L1050">
    <cfRule type="cellIs" dxfId="869" priority="859" operator="equal">
      <formula>"Trocar"</formula>
    </cfRule>
    <cfRule type="cellIs" dxfId="868" priority="860" operator="equal">
      <formula>"Ruim"</formula>
    </cfRule>
    <cfRule type="cellIs" dxfId="867" priority="861" operator="equal">
      <formula>"Médio"</formula>
    </cfRule>
    <cfRule type="cellIs" dxfId="866" priority="862" operator="equal">
      <formula>"Bom"</formula>
    </cfRule>
  </conditionalFormatting>
  <conditionalFormatting sqref="N1033:N1050">
    <cfRule type="expression" dxfId="865" priority="858">
      <formula>$N1033&lt;TODAY()</formula>
    </cfRule>
  </conditionalFormatting>
  <conditionalFormatting sqref="L1033:L1050">
    <cfRule type="cellIs" dxfId="864" priority="854" operator="equal">
      <formula>"Trocar"</formula>
    </cfRule>
    <cfRule type="cellIs" dxfId="863" priority="855" operator="equal">
      <formula>"Ruim"</formula>
    </cfRule>
    <cfRule type="cellIs" dxfId="862" priority="856" operator="equal">
      <formula>"Médio"</formula>
    </cfRule>
    <cfRule type="cellIs" dxfId="861" priority="857" operator="equal">
      <formula>"Bom"</formula>
    </cfRule>
  </conditionalFormatting>
  <conditionalFormatting sqref="N1033:N1050">
    <cfRule type="expression" dxfId="860" priority="853">
      <formula>$N1033&lt;TODAY()</formula>
    </cfRule>
  </conditionalFormatting>
  <conditionalFormatting sqref="L1051:L1068">
    <cfRule type="cellIs" dxfId="859" priority="849" operator="equal">
      <formula>"Trocar"</formula>
    </cfRule>
    <cfRule type="cellIs" dxfId="858" priority="850" operator="equal">
      <formula>"Ruim"</formula>
    </cfRule>
    <cfRule type="cellIs" dxfId="857" priority="851" operator="equal">
      <formula>"Médio"</formula>
    </cfRule>
    <cfRule type="cellIs" dxfId="856" priority="852" operator="equal">
      <formula>"Bom"</formula>
    </cfRule>
  </conditionalFormatting>
  <conditionalFormatting sqref="N1051:N1068">
    <cfRule type="expression" dxfId="855" priority="848">
      <formula>$N1051&lt;TODAY()</formula>
    </cfRule>
  </conditionalFormatting>
  <conditionalFormatting sqref="L1069:L1086">
    <cfRule type="cellIs" dxfId="854" priority="844" operator="equal">
      <formula>"Trocar"</formula>
    </cfRule>
    <cfRule type="cellIs" dxfId="853" priority="845" operator="equal">
      <formula>"Ruim"</formula>
    </cfRule>
    <cfRule type="cellIs" dxfId="852" priority="846" operator="equal">
      <formula>"Médio"</formula>
    </cfRule>
    <cfRule type="cellIs" dxfId="851" priority="847" operator="equal">
      <formula>"Bom"</formula>
    </cfRule>
  </conditionalFormatting>
  <conditionalFormatting sqref="N1069:N1086">
    <cfRule type="expression" dxfId="850" priority="843">
      <formula>$N1069&lt;TODAY()</formula>
    </cfRule>
  </conditionalFormatting>
  <conditionalFormatting sqref="L1087:L1104">
    <cfRule type="cellIs" dxfId="849" priority="839" operator="equal">
      <formula>"Trocar"</formula>
    </cfRule>
    <cfRule type="cellIs" dxfId="848" priority="840" operator="equal">
      <formula>"Ruim"</formula>
    </cfRule>
    <cfRule type="cellIs" dxfId="847" priority="841" operator="equal">
      <formula>"Médio"</formula>
    </cfRule>
    <cfRule type="cellIs" dxfId="846" priority="842" operator="equal">
      <formula>"Bom"</formula>
    </cfRule>
  </conditionalFormatting>
  <conditionalFormatting sqref="N1087:N1104">
    <cfRule type="expression" dxfId="845" priority="838">
      <formula>$N1087&lt;TODAY()</formula>
    </cfRule>
  </conditionalFormatting>
  <conditionalFormatting sqref="L1105:L1122">
    <cfRule type="cellIs" dxfId="844" priority="834" operator="equal">
      <formula>"Trocar"</formula>
    </cfRule>
    <cfRule type="cellIs" dxfId="843" priority="835" operator="equal">
      <formula>"Ruim"</formula>
    </cfRule>
    <cfRule type="cellIs" dxfId="842" priority="836" operator="equal">
      <formula>"Médio"</formula>
    </cfRule>
    <cfRule type="cellIs" dxfId="841" priority="837" operator="equal">
      <formula>"Bom"</formula>
    </cfRule>
  </conditionalFormatting>
  <conditionalFormatting sqref="N1105:N1122">
    <cfRule type="expression" dxfId="840" priority="833">
      <formula>$N1105&lt;TODAY()</formula>
    </cfRule>
  </conditionalFormatting>
  <conditionalFormatting sqref="L1123:L1140">
    <cfRule type="cellIs" dxfId="839" priority="829" operator="equal">
      <formula>"Trocar"</formula>
    </cfRule>
    <cfRule type="cellIs" dxfId="838" priority="830" operator="equal">
      <formula>"Ruim"</formula>
    </cfRule>
    <cfRule type="cellIs" dxfId="837" priority="831" operator="equal">
      <formula>"Médio"</formula>
    </cfRule>
    <cfRule type="cellIs" dxfId="836" priority="832" operator="equal">
      <formula>"Bom"</formula>
    </cfRule>
  </conditionalFormatting>
  <conditionalFormatting sqref="N1123:N1140">
    <cfRule type="expression" dxfId="835" priority="828">
      <formula>$N1123&lt;TODAY()</formula>
    </cfRule>
  </conditionalFormatting>
  <conditionalFormatting sqref="L1141:L1158">
    <cfRule type="cellIs" dxfId="834" priority="824" operator="equal">
      <formula>"Trocar"</formula>
    </cfRule>
    <cfRule type="cellIs" dxfId="833" priority="825" operator="equal">
      <formula>"Ruim"</formula>
    </cfRule>
    <cfRule type="cellIs" dxfId="832" priority="826" operator="equal">
      <formula>"Médio"</formula>
    </cfRule>
    <cfRule type="cellIs" dxfId="831" priority="827" operator="equal">
      <formula>"Bom"</formula>
    </cfRule>
  </conditionalFormatting>
  <conditionalFormatting sqref="N1141:N1158">
    <cfRule type="expression" dxfId="830" priority="823">
      <formula>$N1141&lt;TODAY()</formula>
    </cfRule>
  </conditionalFormatting>
  <conditionalFormatting sqref="L1033">
    <cfRule type="cellIs" dxfId="829" priority="819" operator="equal">
      <formula>"Trocar"</formula>
    </cfRule>
    <cfRule type="cellIs" dxfId="828" priority="820" operator="equal">
      <formula>"Ruim"</formula>
    </cfRule>
    <cfRule type="cellIs" dxfId="827" priority="821" operator="equal">
      <formula>"Médio"</formula>
    </cfRule>
    <cfRule type="cellIs" dxfId="826" priority="822" operator="equal">
      <formula>"Bom"</formula>
    </cfRule>
  </conditionalFormatting>
  <conditionalFormatting sqref="L1033:L1050">
    <cfRule type="cellIs" dxfId="825" priority="815" operator="equal">
      <formula>"Trocar"</formula>
    </cfRule>
    <cfRule type="cellIs" dxfId="824" priority="816" operator="equal">
      <formula>"Ruim"</formula>
    </cfRule>
    <cfRule type="cellIs" dxfId="823" priority="817" operator="equal">
      <formula>"Médio"</formula>
    </cfRule>
    <cfRule type="cellIs" dxfId="822" priority="818" operator="equal">
      <formula>"Bom"</formula>
    </cfRule>
  </conditionalFormatting>
  <conditionalFormatting sqref="N1033:N1050">
    <cfRule type="expression" dxfId="821" priority="814">
      <formula>$N1033&lt;TODAY()</formula>
    </cfRule>
  </conditionalFormatting>
  <conditionalFormatting sqref="L1033:L1050">
    <cfRule type="cellIs" dxfId="820" priority="810" operator="equal">
      <formula>"Trocar"</formula>
    </cfRule>
    <cfRule type="cellIs" dxfId="819" priority="811" operator="equal">
      <formula>"Ruim"</formula>
    </cfRule>
    <cfRule type="cellIs" dxfId="818" priority="812" operator="equal">
      <formula>"Médio"</formula>
    </cfRule>
    <cfRule type="cellIs" dxfId="817" priority="813" operator="equal">
      <formula>"Bom"</formula>
    </cfRule>
  </conditionalFormatting>
  <conditionalFormatting sqref="N1033:N1050">
    <cfRule type="expression" dxfId="816" priority="809">
      <formula>$N1033&lt;TODAY()</formula>
    </cfRule>
  </conditionalFormatting>
  <conditionalFormatting sqref="L1051:L1068">
    <cfRule type="cellIs" dxfId="815" priority="805" operator="equal">
      <formula>"Trocar"</formula>
    </cfRule>
    <cfRule type="cellIs" dxfId="814" priority="806" operator="equal">
      <formula>"Ruim"</formula>
    </cfRule>
    <cfRule type="cellIs" dxfId="813" priority="807" operator="equal">
      <formula>"Médio"</formula>
    </cfRule>
    <cfRule type="cellIs" dxfId="812" priority="808" operator="equal">
      <formula>"Bom"</formula>
    </cfRule>
  </conditionalFormatting>
  <conditionalFormatting sqref="N1051:N1068">
    <cfRule type="expression" dxfId="811" priority="804">
      <formula>$N1051&lt;TODAY()</formula>
    </cfRule>
  </conditionalFormatting>
  <conditionalFormatting sqref="L1069:L1086">
    <cfRule type="cellIs" dxfId="810" priority="800" operator="equal">
      <formula>"Trocar"</formula>
    </cfRule>
    <cfRule type="cellIs" dxfId="809" priority="801" operator="equal">
      <formula>"Ruim"</formula>
    </cfRule>
    <cfRule type="cellIs" dxfId="808" priority="802" operator="equal">
      <formula>"Médio"</formula>
    </cfRule>
    <cfRule type="cellIs" dxfId="807" priority="803" operator="equal">
      <formula>"Bom"</formula>
    </cfRule>
  </conditionalFormatting>
  <conditionalFormatting sqref="N1069:N1086">
    <cfRule type="expression" dxfId="806" priority="799">
      <formula>$N1069&lt;TODAY()</formula>
    </cfRule>
  </conditionalFormatting>
  <conditionalFormatting sqref="L1087:L1104">
    <cfRule type="cellIs" dxfId="805" priority="795" operator="equal">
      <formula>"Trocar"</formula>
    </cfRule>
    <cfRule type="cellIs" dxfId="804" priority="796" operator="equal">
      <formula>"Ruim"</formula>
    </cfRule>
    <cfRule type="cellIs" dxfId="803" priority="797" operator="equal">
      <formula>"Médio"</formula>
    </cfRule>
    <cfRule type="cellIs" dxfId="802" priority="798" operator="equal">
      <formula>"Bom"</formula>
    </cfRule>
  </conditionalFormatting>
  <conditionalFormatting sqref="N1087:N1104">
    <cfRule type="expression" dxfId="801" priority="794">
      <formula>$N1087&lt;TODAY()</formula>
    </cfRule>
  </conditionalFormatting>
  <conditionalFormatting sqref="L1105:L1122">
    <cfRule type="cellIs" dxfId="800" priority="790" operator="equal">
      <formula>"Trocar"</formula>
    </cfRule>
    <cfRule type="cellIs" dxfId="799" priority="791" operator="equal">
      <formula>"Ruim"</formula>
    </cfRule>
    <cfRule type="cellIs" dxfId="798" priority="792" operator="equal">
      <formula>"Médio"</formula>
    </cfRule>
    <cfRule type="cellIs" dxfId="797" priority="793" operator="equal">
      <formula>"Bom"</formula>
    </cfRule>
  </conditionalFormatting>
  <conditionalFormatting sqref="N1105:N1122">
    <cfRule type="expression" dxfId="796" priority="789">
      <formula>$N1105&lt;TODAY()</formula>
    </cfRule>
  </conditionalFormatting>
  <conditionalFormatting sqref="L1123:L1140">
    <cfRule type="cellIs" dxfId="795" priority="785" operator="equal">
      <formula>"Trocar"</formula>
    </cfRule>
    <cfRule type="cellIs" dxfId="794" priority="786" operator="equal">
      <formula>"Ruim"</formula>
    </cfRule>
    <cfRule type="cellIs" dxfId="793" priority="787" operator="equal">
      <formula>"Médio"</formula>
    </cfRule>
    <cfRule type="cellIs" dxfId="792" priority="788" operator="equal">
      <formula>"Bom"</formula>
    </cfRule>
  </conditionalFormatting>
  <conditionalFormatting sqref="N1123:N1140">
    <cfRule type="expression" dxfId="791" priority="784">
      <formula>$N1123&lt;TODAY()</formula>
    </cfRule>
  </conditionalFormatting>
  <conditionalFormatting sqref="L1141:L1158">
    <cfRule type="cellIs" dxfId="790" priority="780" operator="equal">
      <formula>"Trocar"</formula>
    </cfRule>
    <cfRule type="cellIs" dxfId="789" priority="781" operator="equal">
      <formula>"Ruim"</formula>
    </cfRule>
    <cfRule type="cellIs" dxfId="788" priority="782" operator="equal">
      <formula>"Médio"</formula>
    </cfRule>
    <cfRule type="cellIs" dxfId="787" priority="783" operator="equal">
      <formula>"Bom"</formula>
    </cfRule>
  </conditionalFormatting>
  <conditionalFormatting sqref="N1141:N1158">
    <cfRule type="expression" dxfId="786" priority="779">
      <formula>$N1141&lt;TODAY()</formula>
    </cfRule>
  </conditionalFormatting>
  <conditionalFormatting sqref="L1033">
    <cfRule type="cellIs" dxfId="785" priority="775" operator="equal">
      <formula>"Trocar"</formula>
    </cfRule>
    <cfRule type="cellIs" dxfId="784" priority="776" operator="equal">
      <formula>"Ruim"</formula>
    </cfRule>
    <cfRule type="cellIs" dxfId="783" priority="777" operator="equal">
      <formula>"Médio"</formula>
    </cfRule>
    <cfRule type="cellIs" dxfId="782" priority="778" operator="equal">
      <formula>"Bom"</formula>
    </cfRule>
  </conditionalFormatting>
  <conditionalFormatting sqref="L1033:L1050">
    <cfRule type="cellIs" dxfId="781" priority="771" operator="equal">
      <formula>"Trocar"</formula>
    </cfRule>
    <cfRule type="cellIs" dxfId="780" priority="772" operator="equal">
      <formula>"Ruim"</formula>
    </cfRule>
    <cfRule type="cellIs" dxfId="779" priority="773" operator="equal">
      <formula>"Médio"</formula>
    </cfRule>
    <cfRule type="cellIs" dxfId="778" priority="774" operator="equal">
      <formula>"Bom"</formula>
    </cfRule>
  </conditionalFormatting>
  <conditionalFormatting sqref="N1033:N1050">
    <cfRule type="expression" dxfId="777" priority="770">
      <formula>$N1033&lt;TODAY()</formula>
    </cfRule>
  </conditionalFormatting>
  <conditionalFormatting sqref="L1033:L1050">
    <cfRule type="cellIs" dxfId="776" priority="766" operator="equal">
      <formula>"Trocar"</formula>
    </cfRule>
    <cfRule type="cellIs" dxfId="775" priority="767" operator="equal">
      <formula>"Ruim"</formula>
    </cfRule>
    <cfRule type="cellIs" dxfId="774" priority="768" operator="equal">
      <formula>"Médio"</formula>
    </cfRule>
    <cfRule type="cellIs" dxfId="773" priority="769" operator="equal">
      <formula>"Bom"</formula>
    </cfRule>
  </conditionalFormatting>
  <conditionalFormatting sqref="N1033:N1050">
    <cfRule type="expression" dxfId="772" priority="765">
      <formula>$N1033&lt;TODAY()</formula>
    </cfRule>
  </conditionalFormatting>
  <conditionalFormatting sqref="L1051:L1068">
    <cfRule type="cellIs" dxfId="771" priority="761" operator="equal">
      <formula>"Trocar"</formula>
    </cfRule>
    <cfRule type="cellIs" dxfId="770" priority="762" operator="equal">
      <formula>"Ruim"</formula>
    </cfRule>
    <cfRule type="cellIs" dxfId="769" priority="763" operator="equal">
      <formula>"Médio"</formula>
    </cfRule>
    <cfRule type="cellIs" dxfId="768" priority="764" operator="equal">
      <formula>"Bom"</formula>
    </cfRule>
  </conditionalFormatting>
  <conditionalFormatting sqref="N1051:N1068">
    <cfRule type="expression" dxfId="767" priority="760">
      <formula>$N1051&lt;TODAY()</formula>
    </cfRule>
  </conditionalFormatting>
  <conditionalFormatting sqref="L1069:L1086">
    <cfRule type="cellIs" dxfId="766" priority="756" operator="equal">
      <formula>"Trocar"</formula>
    </cfRule>
    <cfRule type="cellIs" dxfId="765" priority="757" operator="equal">
      <formula>"Ruim"</formula>
    </cfRule>
    <cfRule type="cellIs" dxfId="764" priority="758" operator="equal">
      <formula>"Médio"</formula>
    </cfRule>
    <cfRule type="cellIs" dxfId="763" priority="759" operator="equal">
      <formula>"Bom"</formula>
    </cfRule>
  </conditionalFormatting>
  <conditionalFormatting sqref="N1069:N1086">
    <cfRule type="expression" dxfId="762" priority="755">
      <formula>$N1069&lt;TODAY()</formula>
    </cfRule>
  </conditionalFormatting>
  <conditionalFormatting sqref="L1087:L1104">
    <cfRule type="cellIs" dxfId="761" priority="751" operator="equal">
      <formula>"Trocar"</formula>
    </cfRule>
    <cfRule type="cellIs" dxfId="760" priority="752" operator="equal">
      <formula>"Ruim"</formula>
    </cfRule>
    <cfRule type="cellIs" dxfId="759" priority="753" operator="equal">
      <formula>"Médio"</formula>
    </cfRule>
    <cfRule type="cellIs" dxfId="758" priority="754" operator="equal">
      <formula>"Bom"</formula>
    </cfRule>
  </conditionalFormatting>
  <conditionalFormatting sqref="N1087:N1104">
    <cfRule type="expression" dxfId="757" priority="750">
      <formula>$N1087&lt;TODAY()</formula>
    </cfRule>
  </conditionalFormatting>
  <conditionalFormatting sqref="L1105:L1122">
    <cfRule type="cellIs" dxfId="756" priority="746" operator="equal">
      <formula>"Trocar"</formula>
    </cfRule>
    <cfRule type="cellIs" dxfId="755" priority="747" operator="equal">
      <formula>"Ruim"</formula>
    </cfRule>
    <cfRule type="cellIs" dxfId="754" priority="748" operator="equal">
      <formula>"Médio"</formula>
    </cfRule>
    <cfRule type="cellIs" dxfId="753" priority="749" operator="equal">
      <formula>"Bom"</formula>
    </cfRule>
  </conditionalFormatting>
  <conditionalFormatting sqref="N1105:N1122">
    <cfRule type="expression" dxfId="752" priority="745">
      <formula>$N1105&lt;TODAY()</formula>
    </cfRule>
  </conditionalFormatting>
  <conditionalFormatting sqref="L1123:L1140">
    <cfRule type="cellIs" dxfId="751" priority="741" operator="equal">
      <formula>"Trocar"</formula>
    </cfRule>
    <cfRule type="cellIs" dxfId="750" priority="742" operator="equal">
      <formula>"Ruim"</formula>
    </cfRule>
    <cfRule type="cellIs" dxfId="749" priority="743" operator="equal">
      <formula>"Médio"</formula>
    </cfRule>
    <cfRule type="cellIs" dxfId="748" priority="744" operator="equal">
      <formula>"Bom"</formula>
    </cfRule>
  </conditionalFormatting>
  <conditionalFormatting sqref="N1123:N1140">
    <cfRule type="expression" dxfId="747" priority="740">
      <formula>$N1123&lt;TODAY()</formula>
    </cfRule>
  </conditionalFormatting>
  <conditionalFormatting sqref="L1141:L1158">
    <cfRule type="cellIs" dxfId="746" priority="736" operator="equal">
      <formula>"Trocar"</formula>
    </cfRule>
    <cfRule type="cellIs" dxfId="745" priority="737" operator="equal">
      <formula>"Ruim"</formula>
    </cfRule>
    <cfRule type="cellIs" dxfId="744" priority="738" operator="equal">
      <formula>"Médio"</formula>
    </cfRule>
    <cfRule type="cellIs" dxfId="743" priority="739" operator="equal">
      <formula>"Bom"</formula>
    </cfRule>
  </conditionalFormatting>
  <conditionalFormatting sqref="N1141:N1158">
    <cfRule type="expression" dxfId="742" priority="735">
      <formula>$N1141&lt;TODAY()</formula>
    </cfRule>
  </conditionalFormatting>
  <conditionalFormatting sqref="L1033">
    <cfRule type="cellIs" dxfId="741" priority="731" operator="equal">
      <formula>"Trocar"</formula>
    </cfRule>
    <cfRule type="cellIs" dxfId="740" priority="732" operator="equal">
      <formula>"Ruim"</formula>
    </cfRule>
    <cfRule type="cellIs" dxfId="739" priority="733" operator="equal">
      <formula>"Médio"</formula>
    </cfRule>
    <cfRule type="cellIs" dxfId="738" priority="734" operator="equal">
      <formula>"Bom"</formula>
    </cfRule>
  </conditionalFormatting>
  <conditionalFormatting sqref="L1033:L1050">
    <cfRule type="cellIs" dxfId="737" priority="727" operator="equal">
      <formula>"Trocar"</formula>
    </cfRule>
    <cfRule type="cellIs" dxfId="736" priority="728" operator="equal">
      <formula>"Ruim"</formula>
    </cfRule>
    <cfRule type="cellIs" dxfId="735" priority="729" operator="equal">
      <formula>"Médio"</formula>
    </cfRule>
    <cfRule type="cellIs" dxfId="734" priority="730" operator="equal">
      <formula>"Bom"</formula>
    </cfRule>
  </conditionalFormatting>
  <conditionalFormatting sqref="N1033:N1050">
    <cfRule type="expression" dxfId="733" priority="726">
      <formula>$N1033&lt;TODAY()</formula>
    </cfRule>
  </conditionalFormatting>
  <conditionalFormatting sqref="L1033:L1050">
    <cfRule type="cellIs" dxfId="732" priority="722" operator="equal">
      <formula>"Trocar"</formula>
    </cfRule>
    <cfRule type="cellIs" dxfId="731" priority="723" operator="equal">
      <formula>"Ruim"</formula>
    </cfRule>
    <cfRule type="cellIs" dxfId="730" priority="724" operator="equal">
      <formula>"Médio"</formula>
    </cfRule>
    <cfRule type="cellIs" dxfId="729" priority="725" operator="equal">
      <formula>"Bom"</formula>
    </cfRule>
  </conditionalFormatting>
  <conditionalFormatting sqref="N1033:N1050">
    <cfRule type="expression" dxfId="728" priority="721">
      <formula>$N1033&lt;TODAY()</formula>
    </cfRule>
  </conditionalFormatting>
  <conditionalFormatting sqref="L1051:L1068">
    <cfRule type="cellIs" dxfId="727" priority="717" operator="equal">
      <formula>"Trocar"</formula>
    </cfRule>
    <cfRule type="cellIs" dxfId="726" priority="718" operator="equal">
      <formula>"Ruim"</formula>
    </cfRule>
    <cfRule type="cellIs" dxfId="725" priority="719" operator="equal">
      <formula>"Médio"</formula>
    </cfRule>
    <cfRule type="cellIs" dxfId="724" priority="720" operator="equal">
      <formula>"Bom"</formula>
    </cfRule>
  </conditionalFormatting>
  <conditionalFormatting sqref="N1051:N1068">
    <cfRule type="expression" dxfId="723" priority="716">
      <formula>$N1051&lt;TODAY()</formula>
    </cfRule>
  </conditionalFormatting>
  <conditionalFormatting sqref="L1069:L1086">
    <cfRule type="cellIs" dxfId="722" priority="712" operator="equal">
      <formula>"Trocar"</formula>
    </cfRule>
    <cfRule type="cellIs" dxfId="721" priority="713" operator="equal">
      <formula>"Ruim"</formula>
    </cfRule>
    <cfRule type="cellIs" dxfId="720" priority="714" operator="equal">
      <formula>"Médio"</formula>
    </cfRule>
    <cfRule type="cellIs" dxfId="719" priority="715" operator="equal">
      <formula>"Bom"</formula>
    </cfRule>
  </conditionalFormatting>
  <conditionalFormatting sqref="N1069:N1086">
    <cfRule type="expression" dxfId="718" priority="711">
      <formula>$N1069&lt;TODAY()</formula>
    </cfRule>
  </conditionalFormatting>
  <conditionalFormatting sqref="L1087:L1104">
    <cfRule type="cellIs" dxfId="717" priority="707" operator="equal">
      <formula>"Trocar"</formula>
    </cfRule>
    <cfRule type="cellIs" dxfId="716" priority="708" operator="equal">
      <formula>"Ruim"</formula>
    </cfRule>
    <cfRule type="cellIs" dxfId="715" priority="709" operator="equal">
      <formula>"Médio"</formula>
    </cfRule>
    <cfRule type="cellIs" dxfId="714" priority="710" operator="equal">
      <formula>"Bom"</formula>
    </cfRule>
  </conditionalFormatting>
  <conditionalFormatting sqref="N1087:N1104">
    <cfRule type="expression" dxfId="713" priority="706">
      <formula>$N1087&lt;TODAY()</formula>
    </cfRule>
  </conditionalFormatting>
  <conditionalFormatting sqref="L1105:L1122">
    <cfRule type="cellIs" dxfId="712" priority="702" operator="equal">
      <formula>"Trocar"</formula>
    </cfRule>
    <cfRule type="cellIs" dxfId="711" priority="703" operator="equal">
      <formula>"Ruim"</formula>
    </cfRule>
    <cfRule type="cellIs" dxfId="710" priority="704" operator="equal">
      <formula>"Médio"</formula>
    </cfRule>
    <cfRule type="cellIs" dxfId="709" priority="705" operator="equal">
      <formula>"Bom"</formula>
    </cfRule>
  </conditionalFormatting>
  <conditionalFormatting sqref="N1105:N1122">
    <cfRule type="expression" dxfId="708" priority="701">
      <formula>$N1105&lt;TODAY()</formula>
    </cfRule>
  </conditionalFormatting>
  <conditionalFormatting sqref="L1123:L1140">
    <cfRule type="cellIs" dxfId="707" priority="697" operator="equal">
      <formula>"Trocar"</formula>
    </cfRule>
    <cfRule type="cellIs" dxfId="706" priority="698" operator="equal">
      <formula>"Ruim"</formula>
    </cfRule>
    <cfRule type="cellIs" dxfId="705" priority="699" operator="equal">
      <formula>"Médio"</formula>
    </cfRule>
    <cfRule type="cellIs" dxfId="704" priority="700" operator="equal">
      <formula>"Bom"</formula>
    </cfRule>
  </conditionalFormatting>
  <conditionalFormatting sqref="N1123:N1140">
    <cfRule type="expression" dxfId="703" priority="696">
      <formula>$N1123&lt;TODAY()</formula>
    </cfRule>
  </conditionalFormatting>
  <conditionalFormatting sqref="L1141:L1158">
    <cfRule type="cellIs" dxfId="702" priority="692" operator="equal">
      <formula>"Trocar"</formula>
    </cfRule>
    <cfRule type="cellIs" dxfId="701" priority="693" operator="equal">
      <formula>"Ruim"</formula>
    </cfRule>
    <cfRule type="cellIs" dxfId="700" priority="694" operator="equal">
      <formula>"Médio"</formula>
    </cfRule>
    <cfRule type="cellIs" dxfId="699" priority="695" operator="equal">
      <formula>"Bom"</formula>
    </cfRule>
  </conditionalFormatting>
  <conditionalFormatting sqref="N1141:N1158">
    <cfRule type="expression" dxfId="698" priority="691">
      <formula>$N1141&lt;TODAY()</formula>
    </cfRule>
  </conditionalFormatting>
  <conditionalFormatting sqref="L1159:L1446">
    <cfRule type="cellIs" dxfId="697" priority="687" operator="equal">
      <formula>"Trocar"</formula>
    </cfRule>
    <cfRule type="cellIs" dxfId="696" priority="688" operator="equal">
      <formula>"Ruim"</formula>
    </cfRule>
    <cfRule type="cellIs" dxfId="695" priority="689" operator="equal">
      <formula>"Médio"</formula>
    </cfRule>
    <cfRule type="cellIs" dxfId="694" priority="690" operator="equal">
      <formula>"Bom"</formula>
    </cfRule>
  </conditionalFormatting>
  <conditionalFormatting sqref="N1159:N1446">
    <cfRule type="expression" dxfId="693" priority="686">
      <formula>$N1159&lt;TODAY()</formula>
    </cfRule>
  </conditionalFormatting>
  <conditionalFormatting sqref="L1177">
    <cfRule type="cellIs" dxfId="692" priority="682" operator="equal">
      <formula>"Trocar"</formula>
    </cfRule>
    <cfRule type="cellIs" dxfId="691" priority="683" operator="equal">
      <formula>"Ruim"</formula>
    </cfRule>
    <cfRule type="cellIs" dxfId="690" priority="684" operator="equal">
      <formula>"Médio"</formula>
    </cfRule>
    <cfRule type="cellIs" dxfId="689" priority="685" operator="equal">
      <formula>"Bom"</formula>
    </cfRule>
  </conditionalFormatting>
  <conditionalFormatting sqref="L1177:L1194">
    <cfRule type="cellIs" dxfId="688" priority="678" operator="equal">
      <formula>"Trocar"</formula>
    </cfRule>
    <cfRule type="cellIs" dxfId="687" priority="679" operator="equal">
      <formula>"Ruim"</formula>
    </cfRule>
    <cfRule type="cellIs" dxfId="686" priority="680" operator="equal">
      <formula>"Médio"</formula>
    </cfRule>
    <cfRule type="cellIs" dxfId="685" priority="681" operator="equal">
      <formula>"Bom"</formula>
    </cfRule>
  </conditionalFormatting>
  <conditionalFormatting sqref="N1177:N1194">
    <cfRule type="expression" dxfId="684" priority="677">
      <formula>$N1177&lt;TODAY()</formula>
    </cfRule>
  </conditionalFormatting>
  <conditionalFormatting sqref="L1177:L1194">
    <cfRule type="cellIs" dxfId="683" priority="673" operator="equal">
      <formula>"Trocar"</formula>
    </cfRule>
    <cfRule type="cellIs" dxfId="682" priority="674" operator="equal">
      <formula>"Ruim"</formula>
    </cfRule>
    <cfRule type="cellIs" dxfId="681" priority="675" operator="equal">
      <formula>"Médio"</formula>
    </cfRule>
    <cfRule type="cellIs" dxfId="680" priority="676" operator="equal">
      <formula>"Bom"</formula>
    </cfRule>
  </conditionalFormatting>
  <conditionalFormatting sqref="N1177:N1194">
    <cfRule type="expression" dxfId="679" priority="672">
      <formula>$N1177&lt;TODAY()</formula>
    </cfRule>
  </conditionalFormatting>
  <conditionalFormatting sqref="L1195:L1212">
    <cfRule type="cellIs" dxfId="678" priority="668" operator="equal">
      <formula>"Trocar"</formula>
    </cfRule>
    <cfRule type="cellIs" dxfId="677" priority="669" operator="equal">
      <formula>"Ruim"</formula>
    </cfRule>
    <cfRule type="cellIs" dxfId="676" priority="670" operator="equal">
      <formula>"Médio"</formula>
    </cfRule>
    <cfRule type="cellIs" dxfId="675" priority="671" operator="equal">
      <formula>"Bom"</formula>
    </cfRule>
  </conditionalFormatting>
  <conditionalFormatting sqref="N1195:N1212">
    <cfRule type="expression" dxfId="674" priority="667">
      <formula>$N1195&lt;TODAY()</formula>
    </cfRule>
  </conditionalFormatting>
  <conditionalFormatting sqref="L1213:L1230">
    <cfRule type="cellIs" dxfId="673" priority="663" operator="equal">
      <formula>"Trocar"</formula>
    </cfRule>
    <cfRule type="cellIs" dxfId="672" priority="664" operator="equal">
      <formula>"Ruim"</formula>
    </cfRule>
    <cfRule type="cellIs" dxfId="671" priority="665" operator="equal">
      <formula>"Médio"</formula>
    </cfRule>
    <cfRule type="cellIs" dxfId="670" priority="666" operator="equal">
      <formula>"Bom"</formula>
    </cfRule>
  </conditionalFormatting>
  <conditionalFormatting sqref="N1213:N1230">
    <cfRule type="expression" dxfId="669" priority="662">
      <formula>$N1213&lt;TODAY()</formula>
    </cfRule>
  </conditionalFormatting>
  <conditionalFormatting sqref="L1231:L1248">
    <cfRule type="cellIs" dxfId="668" priority="658" operator="equal">
      <formula>"Trocar"</formula>
    </cfRule>
    <cfRule type="cellIs" dxfId="667" priority="659" operator="equal">
      <formula>"Ruim"</formula>
    </cfRule>
    <cfRule type="cellIs" dxfId="666" priority="660" operator="equal">
      <formula>"Médio"</formula>
    </cfRule>
    <cfRule type="cellIs" dxfId="665" priority="661" operator="equal">
      <formula>"Bom"</formula>
    </cfRule>
  </conditionalFormatting>
  <conditionalFormatting sqref="N1231:N1248">
    <cfRule type="expression" dxfId="664" priority="657">
      <formula>$N1231&lt;TODAY()</formula>
    </cfRule>
  </conditionalFormatting>
  <conditionalFormatting sqref="L1249:L1266">
    <cfRule type="cellIs" dxfId="663" priority="653" operator="equal">
      <formula>"Trocar"</formula>
    </cfRule>
    <cfRule type="cellIs" dxfId="662" priority="654" operator="equal">
      <formula>"Ruim"</formula>
    </cfRule>
    <cfRule type="cellIs" dxfId="661" priority="655" operator="equal">
      <formula>"Médio"</formula>
    </cfRule>
    <cfRule type="cellIs" dxfId="660" priority="656" operator="equal">
      <formula>"Bom"</formula>
    </cfRule>
  </conditionalFormatting>
  <conditionalFormatting sqref="N1249:N1266">
    <cfRule type="expression" dxfId="659" priority="652">
      <formula>$N1249&lt;TODAY()</formula>
    </cfRule>
  </conditionalFormatting>
  <conditionalFormatting sqref="L1267:L1284">
    <cfRule type="cellIs" dxfId="658" priority="648" operator="equal">
      <formula>"Trocar"</formula>
    </cfRule>
    <cfRule type="cellIs" dxfId="657" priority="649" operator="equal">
      <formula>"Ruim"</formula>
    </cfRule>
    <cfRule type="cellIs" dxfId="656" priority="650" operator="equal">
      <formula>"Médio"</formula>
    </cfRule>
    <cfRule type="cellIs" dxfId="655" priority="651" operator="equal">
      <formula>"Bom"</formula>
    </cfRule>
  </conditionalFormatting>
  <conditionalFormatting sqref="N1267:N1284">
    <cfRule type="expression" dxfId="654" priority="647">
      <formula>$N1267&lt;TODAY()</formula>
    </cfRule>
  </conditionalFormatting>
  <conditionalFormatting sqref="L1285:L1302">
    <cfRule type="cellIs" dxfId="653" priority="643" operator="equal">
      <formula>"Trocar"</formula>
    </cfRule>
    <cfRule type="cellIs" dxfId="652" priority="644" operator="equal">
      <formula>"Ruim"</formula>
    </cfRule>
    <cfRule type="cellIs" dxfId="651" priority="645" operator="equal">
      <formula>"Médio"</formula>
    </cfRule>
    <cfRule type="cellIs" dxfId="650" priority="646" operator="equal">
      <formula>"Bom"</formula>
    </cfRule>
  </conditionalFormatting>
  <conditionalFormatting sqref="N1285:N1302">
    <cfRule type="expression" dxfId="649" priority="642">
      <formula>$N1285&lt;TODAY()</formula>
    </cfRule>
  </conditionalFormatting>
  <conditionalFormatting sqref="L1303:L1446">
    <cfRule type="cellIs" dxfId="648" priority="638" operator="equal">
      <formula>"Trocar"</formula>
    </cfRule>
    <cfRule type="cellIs" dxfId="647" priority="639" operator="equal">
      <formula>"Ruim"</formula>
    </cfRule>
    <cfRule type="cellIs" dxfId="646" priority="640" operator="equal">
      <formula>"Médio"</formula>
    </cfRule>
    <cfRule type="cellIs" dxfId="645" priority="641" operator="equal">
      <formula>"Bom"</formula>
    </cfRule>
  </conditionalFormatting>
  <conditionalFormatting sqref="N1303:N1446">
    <cfRule type="expression" dxfId="644" priority="637">
      <formula>$N1303&lt;TODAY()</formula>
    </cfRule>
  </conditionalFormatting>
  <conditionalFormatting sqref="L1321">
    <cfRule type="cellIs" dxfId="643" priority="633" operator="equal">
      <formula>"Trocar"</formula>
    </cfRule>
    <cfRule type="cellIs" dxfId="642" priority="634" operator="equal">
      <formula>"Ruim"</formula>
    </cfRule>
    <cfRule type="cellIs" dxfId="641" priority="635" operator="equal">
      <formula>"Médio"</formula>
    </cfRule>
    <cfRule type="cellIs" dxfId="640" priority="636" operator="equal">
      <formula>"Bom"</formula>
    </cfRule>
  </conditionalFormatting>
  <conditionalFormatting sqref="L1321:L1338">
    <cfRule type="cellIs" dxfId="639" priority="629" operator="equal">
      <formula>"Trocar"</formula>
    </cfRule>
    <cfRule type="cellIs" dxfId="638" priority="630" operator="equal">
      <formula>"Ruim"</formula>
    </cfRule>
    <cfRule type="cellIs" dxfId="637" priority="631" operator="equal">
      <formula>"Médio"</formula>
    </cfRule>
    <cfRule type="cellIs" dxfId="636" priority="632" operator="equal">
      <formula>"Bom"</formula>
    </cfRule>
  </conditionalFormatting>
  <conditionalFormatting sqref="N1321:N1338">
    <cfRule type="expression" dxfId="635" priority="628">
      <formula>$N1321&lt;TODAY()</formula>
    </cfRule>
  </conditionalFormatting>
  <conditionalFormatting sqref="L1321:L1338">
    <cfRule type="cellIs" dxfId="634" priority="624" operator="equal">
      <formula>"Trocar"</formula>
    </cfRule>
    <cfRule type="cellIs" dxfId="633" priority="625" operator="equal">
      <formula>"Ruim"</formula>
    </cfRule>
    <cfRule type="cellIs" dxfId="632" priority="626" operator="equal">
      <formula>"Médio"</formula>
    </cfRule>
    <cfRule type="cellIs" dxfId="631" priority="627" operator="equal">
      <formula>"Bom"</formula>
    </cfRule>
  </conditionalFormatting>
  <conditionalFormatting sqref="N1321:N1338">
    <cfRule type="expression" dxfId="630" priority="623">
      <formula>$N1321&lt;TODAY()</formula>
    </cfRule>
  </conditionalFormatting>
  <conditionalFormatting sqref="L1339:L1356">
    <cfRule type="cellIs" dxfId="629" priority="619" operator="equal">
      <formula>"Trocar"</formula>
    </cfRule>
    <cfRule type="cellIs" dxfId="628" priority="620" operator="equal">
      <formula>"Ruim"</formula>
    </cfRule>
    <cfRule type="cellIs" dxfId="627" priority="621" operator="equal">
      <formula>"Médio"</formula>
    </cfRule>
    <cfRule type="cellIs" dxfId="626" priority="622" operator="equal">
      <formula>"Bom"</formula>
    </cfRule>
  </conditionalFormatting>
  <conditionalFormatting sqref="N1339:N1356">
    <cfRule type="expression" dxfId="625" priority="618">
      <formula>$N1339&lt;TODAY()</formula>
    </cfRule>
  </conditionalFormatting>
  <conditionalFormatting sqref="L1357:L1374">
    <cfRule type="cellIs" dxfId="624" priority="614" operator="equal">
      <formula>"Trocar"</formula>
    </cfRule>
    <cfRule type="cellIs" dxfId="623" priority="615" operator="equal">
      <formula>"Ruim"</formula>
    </cfRule>
    <cfRule type="cellIs" dxfId="622" priority="616" operator="equal">
      <formula>"Médio"</formula>
    </cfRule>
    <cfRule type="cellIs" dxfId="621" priority="617" operator="equal">
      <formula>"Bom"</formula>
    </cfRule>
  </conditionalFormatting>
  <conditionalFormatting sqref="N1357:N1374">
    <cfRule type="expression" dxfId="620" priority="613">
      <formula>$N1357&lt;TODAY()</formula>
    </cfRule>
  </conditionalFormatting>
  <conditionalFormatting sqref="L1375:L1392">
    <cfRule type="cellIs" dxfId="619" priority="609" operator="equal">
      <formula>"Trocar"</formula>
    </cfRule>
    <cfRule type="cellIs" dxfId="618" priority="610" operator="equal">
      <formula>"Ruim"</formula>
    </cfRule>
    <cfRule type="cellIs" dxfId="617" priority="611" operator="equal">
      <formula>"Médio"</formula>
    </cfRule>
    <cfRule type="cellIs" dxfId="616" priority="612" operator="equal">
      <formula>"Bom"</formula>
    </cfRule>
  </conditionalFormatting>
  <conditionalFormatting sqref="N1375:N1392">
    <cfRule type="expression" dxfId="615" priority="608">
      <formula>$N1375&lt;TODAY()</formula>
    </cfRule>
  </conditionalFormatting>
  <conditionalFormatting sqref="L1393:L1410">
    <cfRule type="cellIs" dxfId="614" priority="604" operator="equal">
      <formula>"Trocar"</formula>
    </cfRule>
    <cfRule type="cellIs" dxfId="613" priority="605" operator="equal">
      <formula>"Ruim"</formula>
    </cfRule>
    <cfRule type="cellIs" dxfId="612" priority="606" operator="equal">
      <formula>"Médio"</formula>
    </cfRule>
    <cfRule type="cellIs" dxfId="611" priority="607" operator="equal">
      <formula>"Bom"</formula>
    </cfRule>
  </conditionalFormatting>
  <conditionalFormatting sqref="N1393:N1410">
    <cfRule type="expression" dxfId="610" priority="603">
      <formula>$N1393&lt;TODAY()</formula>
    </cfRule>
  </conditionalFormatting>
  <conditionalFormatting sqref="L1411:L1428">
    <cfRule type="cellIs" dxfId="609" priority="599" operator="equal">
      <formula>"Trocar"</formula>
    </cfRule>
    <cfRule type="cellIs" dxfId="608" priority="600" operator="equal">
      <formula>"Ruim"</formula>
    </cfRule>
    <cfRule type="cellIs" dxfId="607" priority="601" operator="equal">
      <formula>"Médio"</formula>
    </cfRule>
    <cfRule type="cellIs" dxfId="606" priority="602" operator="equal">
      <formula>"Bom"</formula>
    </cfRule>
  </conditionalFormatting>
  <conditionalFormatting sqref="N1411:N1428">
    <cfRule type="expression" dxfId="605" priority="598">
      <formula>$N1411&lt;TODAY()</formula>
    </cfRule>
  </conditionalFormatting>
  <conditionalFormatting sqref="L1429:L1446">
    <cfRule type="cellIs" dxfId="604" priority="594" operator="equal">
      <formula>"Trocar"</formula>
    </cfRule>
    <cfRule type="cellIs" dxfId="603" priority="595" operator="equal">
      <formula>"Ruim"</formula>
    </cfRule>
    <cfRule type="cellIs" dxfId="602" priority="596" operator="equal">
      <formula>"Médio"</formula>
    </cfRule>
    <cfRule type="cellIs" dxfId="601" priority="597" operator="equal">
      <formula>"Bom"</formula>
    </cfRule>
  </conditionalFormatting>
  <conditionalFormatting sqref="N1429:N1446">
    <cfRule type="expression" dxfId="600" priority="593">
      <formula>$N1429&lt;TODAY()</formula>
    </cfRule>
  </conditionalFormatting>
  <conditionalFormatting sqref="L1321">
    <cfRule type="cellIs" dxfId="599" priority="589" operator="equal">
      <formula>"Trocar"</formula>
    </cfRule>
    <cfRule type="cellIs" dxfId="598" priority="590" operator="equal">
      <formula>"Ruim"</formula>
    </cfRule>
    <cfRule type="cellIs" dxfId="597" priority="591" operator="equal">
      <formula>"Médio"</formula>
    </cfRule>
    <cfRule type="cellIs" dxfId="596" priority="592" operator="equal">
      <formula>"Bom"</formula>
    </cfRule>
  </conditionalFormatting>
  <conditionalFormatting sqref="L1321:L1338">
    <cfRule type="cellIs" dxfId="595" priority="585" operator="equal">
      <formula>"Trocar"</formula>
    </cfRule>
    <cfRule type="cellIs" dxfId="594" priority="586" operator="equal">
      <formula>"Ruim"</formula>
    </cfRule>
    <cfRule type="cellIs" dxfId="593" priority="587" operator="equal">
      <formula>"Médio"</formula>
    </cfRule>
    <cfRule type="cellIs" dxfId="592" priority="588" operator="equal">
      <formula>"Bom"</formula>
    </cfRule>
  </conditionalFormatting>
  <conditionalFormatting sqref="N1321:N1338">
    <cfRule type="expression" dxfId="591" priority="584">
      <formula>$N1321&lt;TODAY()</formula>
    </cfRule>
  </conditionalFormatting>
  <conditionalFormatting sqref="L1321:L1338">
    <cfRule type="cellIs" dxfId="590" priority="580" operator="equal">
      <formula>"Trocar"</formula>
    </cfRule>
    <cfRule type="cellIs" dxfId="589" priority="581" operator="equal">
      <formula>"Ruim"</formula>
    </cfRule>
    <cfRule type="cellIs" dxfId="588" priority="582" operator="equal">
      <formula>"Médio"</formula>
    </cfRule>
    <cfRule type="cellIs" dxfId="587" priority="583" operator="equal">
      <formula>"Bom"</formula>
    </cfRule>
  </conditionalFormatting>
  <conditionalFormatting sqref="N1321:N1338">
    <cfRule type="expression" dxfId="586" priority="579">
      <formula>$N1321&lt;TODAY()</formula>
    </cfRule>
  </conditionalFormatting>
  <conditionalFormatting sqref="L1339:L1356">
    <cfRule type="cellIs" dxfId="585" priority="575" operator="equal">
      <formula>"Trocar"</formula>
    </cfRule>
    <cfRule type="cellIs" dxfId="584" priority="576" operator="equal">
      <formula>"Ruim"</formula>
    </cfRule>
    <cfRule type="cellIs" dxfId="583" priority="577" operator="equal">
      <formula>"Médio"</formula>
    </cfRule>
    <cfRule type="cellIs" dxfId="582" priority="578" operator="equal">
      <formula>"Bom"</formula>
    </cfRule>
  </conditionalFormatting>
  <conditionalFormatting sqref="N1339:N1356">
    <cfRule type="expression" dxfId="581" priority="574">
      <formula>$N1339&lt;TODAY()</formula>
    </cfRule>
  </conditionalFormatting>
  <conditionalFormatting sqref="L1357:L1374">
    <cfRule type="cellIs" dxfId="580" priority="570" operator="equal">
      <formula>"Trocar"</formula>
    </cfRule>
    <cfRule type="cellIs" dxfId="579" priority="571" operator="equal">
      <formula>"Ruim"</formula>
    </cfRule>
    <cfRule type="cellIs" dxfId="578" priority="572" operator="equal">
      <formula>"Médio"</formula>
    </cfRule>
    <cfRule type="cellIs" dxfId="577" priority="573" operator="equal">
      <formula>"Bom"</formula>
    </cfRule>
  </conditionalFormatting>
  <conditionalFormatting sqref="N1357:N1374">
    <cfRule type="expression" dxfId="576" priority="569">
      <formula>$N1357&lt;TODAY()</formula>
    </cfRule>
  </conditionalFormatting>
  <conditionalFormatting sqref="L1375:L1392">
    <cfRule type="cellIs" dxfId="575" priority="565" operator="equal">
      <formula>"Trocar"</formula>
    </cfRule>
    <cfRule type="cellIs" dxfId="574" priority="566" operator="equal">
      <formula>"Ruim"</formula>
    </cfRule>
    <cfRule type="cellIs" dxfId="573" priority="567" operator="equal">
      <formula>"Médio"</formula>
    </cfRule>
    <cfRule type="cellIs" dxfId="572" priority="568" operator="equal">
      <formula>"Bom"</formula>
    </cfRule>
  </conditionalFormatting>
  <conditionalFormatting sqref="N1375:N1392">
    <cfRule type="expression" dxfId="571" priority="564">
      <formula>$N1375&lt;TODAY()</formula>
    </cfRule>
  </conditionalFormatting>
  <conditionalFormatting sqref="L1393:L1410">
    <cfRule type="cellIs" dxfId="570" priority="560" operator="equal">
      <formula>"Trocar"</formula>
    </cfRule>
    <cfRule type="cellIs" dxfId="569" priority="561" operator="equal">
      <formula>"Ruim"</formula>
    </cfRule>
    <cfRule type="cellIs" dxfId="568" priority="562" operator="equal">
      <formula>"Médio"</formula>
    </cfRule>
    <cfRule type="cellIs" dxfId="567" priority="563" operator="equal">
      <formula>"Bom"</formula>
    </cfRule>
  </conditionalFormatting>
  <conditionalFormatting sqref="N1393:N1410">
    <cfRule type="expression" dxfId="566" priority="559">
      <formula>$N1393&lt;TODAY()</formula>
    </cfRule>
  </conditionalFormatting>
  <conditionalFormatting sqref="L1411:L1428">
    <cfRule type="cellIs" dxfId="565" priority="555" operator="equal">
      <formula>"Trocar"</formula>
    </cfRule>
    <cfRule type="cellIs" dxfId="564" priority="556" operator="equal">
      <formula>"Ruim"</formula>
    </cfRule>
    <cfRule type="cellIs" dxfId="563" priority="557" operator="equal">
      <formula>"Médio"</formula>
    </cfRule>
    <cfRule type="cellIs" dxfId="562" priority="558" operator="equal">
      <formula>"Bom"</formula>
    </cfRule>
  </conditionalFormatting>
  <conditionalFormatting sqref="N1411:N1428">
    <cfRule type="expression" dxfId="561" priority="554">
      <formula>$N1411&lt;TODAY()</formula>
    </cfRule>
  </conditionalFormatting>
  <conditionalFormatting sqref="L1429:L1446">
    <cfRule type="cellIs" dxfId="560" priority="550" operator="equal">
      <formula>"Trocar"</formula>
    </cfRule>
    <cfRule type="cellIs" dxfId="559" priority="551" operator="equal">
      <formula>"Ruim"</formula>
    </cfRule>
    <cfRule type="cellIs" dxfId="558" priority="552" operator="equal">
      <formula>"Médio"</formula>
    </cfRule>
    <cfRule type="cellIs" dxfId="557" priority="553" operator="equal">
      <formula>"Bom"</formula>
    </cfRule>
  </conditionalFormatting>
  <conditionalFormatting sqref="N1429:N1446">
    <cfRule type="expression" dxfId="556" priority="549">
      <formula>$N1429&lt;TODAY()</formula>
    </cfRule>
  </conditionalFormatting>
  <conditionalFormatting sqref="L1321">
    <cfRule type="cellIs" dxfId="555" priority="545" operator="equal">
      <formula>"Trocar"</formula>
    </cfRule>
    <cfRule type="cellIs" dxfId="554" priority="546" operator="equal">
      <formula>"Ruim"</formula>
    </cfRule>
    <cfRule type="cellIs" dxfId="553" priority="547" operator="equal">
      <formula>"Médio"</formula>
    </cfRule>
    <cfRule type="cellIs" dxfId="552" priority="548" operator="equal">
      <formula>"Bom"</formula>
    </cfRule>
  </conditionalFormatting>
  <conditionalFormatting sqref="L1321:L1338">
    <cfRule type="cellIs" dxfId="551" priority="541" operator="equal">
      <formula>"Trocar"</formula>
    </cfRule>
    <cfRule type="cellIs" dxfId="550" priority="542" operator="equal">
      <formula>"Ruim"</formula>
    </cfRule>
    <cfRule type="cellIs" dxfId="549" priority="543" operator="equal">
      <formula>"Médio"</formula>
    </cfRule>
    <cfRule type="cellIs" dxfId="548" priority="544" operator="equal">
      <formula>"Bom"</formula>
    </cfRule>
  </conditionalFormatting>
  <conditionalFormatting sqref="N1321:N1338">
    <cfRule type="expression" dxfId="547" priority="540">
      <formula>$N1321&lt;TODAY()</formula>
    </cfRule>
  </conditionalFormatting>
  <conditionalFormatting sqref="L1321:L1338">
    <cfRule type="cellIs" dxfId="546" priority="536" operator="equal">
      <formula>"Trocar"</formula>
    </cfRule>
    <cfRule type="cellIs" dxfId="545" priority="537" operator="equal">
      <formula>"Ruim"</formula>
    </cfRule>
    <cfRule type="cellIs" dxfId="544" priority="538" operator="equal">
      <formula>"Médio"</formula>
    </cfRule>
    <cfRule type="cellIs" dxfId="543" priority="539" operator="equal">
      <formula>"Bom"</formula>
    </cfRule>
  </conditionalFormatting>
  <conditionalFormatting sqref="N1321:N1338">
    <cfRule type="expression" dxfId="542" priority="535">
      <formula>$N1321&lt;TODAY()</formula>
    </cfRule>
  </conditionalFormatting>
  <conditionalFormatting sqref="L1339:L1356">
    <cfRule type="cellIs" dxfId="541" priority="531" operator="equal">
      <formula>"Trocar"</formula>
    </cfRule>
    <cfRule type="cellIs" dxfId="540" priority="532" operator="equal">
      <formula>"Ruim"</formula>
    </cfRule>
    <cfRule type="cellIs" dxfId="539" priority="533" operator="equal">
      <formula>"Médio"</formula>
    </cfRule>
    <cfRule type="cellIs" dxfId="538" priority="534" operator="equal">
      <formula>"Bom"</formula>
    </cfRule>
  </conditionalFormatting>
  <conditionalFormatting sqref="N1339:N1356">
    <cfRule type="expression" dxfId="537" priority="530">
      <formula>$N1339&lt;TODAY()</formula>
    </cfRule>
  </conditionalFormatting>
  <conditionalFormatting sqref="L1357:L1374">
    <cfRule type="cellIs" dxfId="536" priority="526" operator="equal">
      <formula>"Trocar"</formula>
    </cfRule>
    <cfRule type="cellIs" dxfId="535" priority="527" operator="equal">
      <formula>"Ruim"</formula>
    </cfRule>
    <cfRule type="cellIs" dxfId="534" priority="528" operator="equal">
      <formula>"Médio"</formula>
    </cfRule>
    <cfRule type="cellIs" dxfId="533" priority="529" operator="equal">
      <formula>"Bom"</formula>
    </cfRule>
  </conditionalFormatting>
  <conditionalFormatting sqref="N1357:N1374">
    <cfRule type="expression" dxfId="532" priority="525">
      <formula>$N1357&lt;TODAY()</formula>
    </cfRule>
  </conditionalFormatting>
  <conditionalFormatting sqref="L1375:L1392">
    <cfRule type="cellIs" dxfId="531" priority="521" operator="equal">
      <formula>"Trocar"</formula>
    </cfRule>
    <cfRule type="cellIs" dxfId="530" priority="522" operator="equal">
      <formula>"Ruim"</formula>
    </cfRule>
    <cfRule type="cellIs" dxfId="529" priority="523" operator="equal">
      <formula>"Médio"</formula>
    </cfRule>
    <cfRule type="cellIs" dxfId="528" priority="524" operator="equal">
      <formula>"Bom"</formula>
    </cfRule>
  </conditionalFormatting>
  <conditionalFormatting sqref="N1375:N1392">
    <cfRule type="expression" dxfId="527" priority="520">
      <formula>$N1375&lt;TODAY()</formula>
    </cfRule>
  </conditionalFormatting>
  <conditionalFormatting sqref="L1393:L1410">
    <cfRule type="cellIs" dxfId="526" priority="516" operator="equal">
      <formula>"Trocar"</formula>
    </cfRule>
    <cfRule type="cellIs" dxfId="525" priority="517" operator="equal">
      <formula>"Ruim"</formula>
    </cfRule>
    <cfRule type="cellIs" dxfId="524" priority="518" operator="equal">
      <formula>"Médio"</formula>
    </cfRule>
    <cfRule type="cellIs" dxfId="523" priority="519" operator="equal">
      <formula>"Bom"</formula>
    </cfRule>
  </conditionalFormatting>
  <conditionalFormatting sqref="N1393:N1410">
    <cfRule type="expression" dxfId="522" priority="515">
      <formula>$N1393&lt;TODAY()</formula>
    </cfRule>
  </conditionalFormatting>
  <conditionalFormatting sqref="L1411:L1428">
    <cfRule type="cellIs" dxfId="521" priority="511" operator="equal">
      <formula>"Trocar"</formula>
    </cfRule>
    <cfRule type="cellIs" dxfId="520" priority="512" operator="equal">
      <formula>"Ruim"</formula>
    </cfRule>
    <cfRule type="cellIs" dxfId="519" priority="513" operator="equal">
      <formula>"Médio"</formula>
    </cfRule>
    <cfRule type="cellIs" dxfId="518" priority="514" operator="equal">
      <formula>"Bom"</formula>
    </cfRule>
  </conditionalFormatting>
  <conditionalFormatting sqref="N1411:N1428">
    <cfRule type="expression" dxfId="517" priority="510">
      <formula>$N1411&lt;TODAY()</formula>
    </cfRule>
  </conditionalFormatting>
  <conditionalFormatting sqref="L1429:L1446">
    <cfRule type="cellIs" dxfId="516" priority="506" operator="equal">
      <formula>"Trocar"</formula>
    </cfRule>
    <cfRule type="cellIs" dxfId="515" priority="507" operator="equal">
      <formula>"Ruim"</formula>
    </cfRule>
    <cfRule type="cellIs" dxfId="514" priority="508" operator="equal">
      <formula>"Médio"</formula>
    </cfRule>
    <cfRule type="cellIs" dxfId="513" priority="509" operator="equal">
      <formula>"Bom"</formula>
    </cfRule>
  </conditionalFormatting>
  <conditionalFormatting sqref="N1429:N1446">
    <cfRule type="expression" dxfId="512" priority="505">
      <formula>$N1429&lt;TODAY()</formula>
    </cfRule>
  </conditionalFormatting>
  <conditionalFormatting sqref="L1321">
    <cfRule type="cellIs" dxfId="511" priority="501" operator="equal">
      <formula>"Trocar"</formula>
    </cfRule>
    <cfRule type="cellIs" dxfId="510" priority="502" operator="equal">
      <formula>"Ruim"</formula>
    </cfRule>
    <cfRule type="cellIs" dxfId="509" priority="503" operator="equal">
      <formula>"Médio"</formula>
    </cfRule>
    <cfRule type="cellIs" dxfId="508" priority="504" operator="equal">
      <formula>"Bom"</formula>
    </cfRule>
  </conditionalFormatting>
  <conditionalFormatting sqref="L1321:L1338">
    <cfRule type="cellIs" dxfId="507" priority="497" operator="equal">
      <formula>"Trocar"</formula>
    </cfRule>
    <cfRule type="cellIs" dxfId="506" priority="498" operator="equal">
      <formula>"Ruim"</formula>
    </cfRule>
    <cfRule type="cellIs" dxfId="505" priority="499" operator="equal">
      <formula>"Médio"</formula>
    </cfRule>
    <cfRule type="cellIs" dxfId="504" priority="500" operator="equal">
      <formula>"Bom"</formula>
    </cfRule>
  </conditionalFormatting>
  <conditionalFormatting sqref="N1321:N1338">
    <cfRule type="expression" dxfId="503" priority="496">
      <formula>$N1321&lt;TODAY()</formula>
    </cfRule>
  </conditionalFormatting>
  <conditionalFormatting sqref="L1321:L1338">
    <cfRule type="cellIs" dxfId="502" priority="492" operator="equal">
      <formula>"Trocar"</formula>
    </cfRule>
    <cfRule type="cellIs" dxfId="501" priority="493" operator="equal">
      <formula>"Ruim"</formula>
    </cfRule>
    <cfRule type="cellIs" dxfId="500" priority="494" operator="equal">
      <formula>"Médio"</formula>
    </cfRule>
    <cfRule type="cellIs" dxfId="499" priority="495" operator="equal">
      <formula>"Bom"</formula>
    </cfRule>
  </conditionalFormatting>
  <conditionalFormatting sqref="N1321:N1338">
    <cfRule type="expression" dxfId="498" priority="491">
      <formula>$N1321&lt;TODAY()</formula>
    </cfRule>
  </conditionalFormatting>
  <conditionalFormatting sqref="L1339:L1356">
    <cfRule type="cellIs" dxfId="497" priority="487" operator="equal">
      <formula>"Trocar"</formula>
    </cfRule>
    <cfRule type="cellIs" dxfId="496" priority="488" operator="equal">
      <formula>"Ruim"</formula>
    </cfRule>
    <cfRule type="cellIs" dxfId="495" priority="489" operator="equal">
      <formula>"Médio"</formula>
    </cfRule>
    <cfRule type="cellIs" dxfId="494" priority="490" operator="equal">
      <formula>"Bom"</formula>
    </cfRule>
  </conditionalFormatting>
  <conditionalFormatting sqref="N1339:N1356">
    <cfRule type="expression" dxfId="493" priority="486">
      <formula>$N1339&lt;TODAY()</formula>
    </cfRule>
  </conditionalFormatting>
  <conditionalFormatting sqref="L1357:L1374">
    <cfRule type="cellIs" dxfId="492" priority="482" operator="equal">
      <formula>"Trocar"</formula>
    </cfRule>
    <cfRule type="cellIs" dxfId="491" priority="483" operator="equal">
      <formula>"Ruim"</formula>
    </cfRule>
    <cfRule type="cellIs" dxfId="490" priority="484" operator="equal">
      <formula>"Médio"</formula>
    </cfRule>
    <cfRule type="cellIs" dxfId="489" priority="485" operator="equal">
      <formula>"Bom"</formula>
    </cfRule>
  </conditionalFormatting>
  <conditionalFormatting sqref="N1357:N1374">
    <cfRule type="expression" dxfId="488" priority="481">
      <formula>$N1357&lt;TODAY()</formula>
    </cfRule>
  </conditionalFormatting>
  <conditionalFormatting sqref="L1375:L1392">
    <cfRule type="cellIs" dxfId="487" priority="477" operator="equal">
      <formula>"Trocar"</formula>
    </cfRule>
    <cfRule type="cellIs" dxfId="486" priority="478" operator="equal">
      <formula>"Ruim"</formula>
    </cfRule>
    <cfRule type="cellIs" dxfId="485" priority="479" operator="equal">
      <formula>"Médio"</formula>
    </cfRule>
    <cfRule type="cellIs" dxfId="484" priority="480" operator="equal">
      <formula>"Bom"</formula>
    </cfRule>
  </conditionalFormatting>
  <conditionalFormatting sqref="N1375:N1392">
    <cfRule type="expression" dxfId="483" priority="476">
      <formula>$N1375&lt;TODAY()</formula>
    </cfRule>
  </conditionalFormatting>
  <conditionalFormatting sqref="L1393:L1410">
    <cfRule type="cellIs" dxfId="482" priority="472" operator="equal">
      <formula>"Trocar"</formula>
    </cfRule>
    <cfRule type="cellIs" dxfId="481" priority="473" operator="equal">
      <formula>"Ruim"</formula>
    </cfRule>
    <cfRule type="cellIs" dxfId="480" priority="474" operator="equal">
      <formula>"Médio"</formula>
    </cfRule>
    <cfRule type="cellIs" dxfId="479" priority="475" operator="equal">
      <formula>"Bom"</formula>
    </cfRule>
  </conditionalFormatting>
  <conditionalFormatting sqref="N1393:N1410">
    <cfRule type="expression" dxfId="478" priority="471">
      <formula>$N1393&lt;TODAY()</formula>
    </cfRule>
  </conditionalFormatting>
  <conditionalFormatting sqref="L1411:L1428">
    <cfRule type="cellIs" dxfId="477" priority="467" operator="equal">
      <formula>"Trocar"</formula>
    </cfRule>
    <cfRule type="cellIs" dxfId="476" priority="468" operator="equal">
      <formula>"Ruim"</formula>
    </cfRule>
    <cfRule type="cellIs" dxfId="475" priority="469" operator="equal">
      <formula>"Médio"</formula>
    </cfRule>
    <cfRule type="cellIs" dxfId="474" priority="470" operator="equal">
      <formula>"Bom"</formula>
    </cfRule>
  </conditionalFormatting>
  <conditionalFormatting sqref="N1411:N1428">
    <cfRule type="expression" dxfId="473" priority="466">
      <formula>$N1411&lt;TODAY()</formula>
    </cfRule>
  </conditionalFormatting>
  <conditionalFormatting sqref="L1429:L1446">
    <cfRule type="cellIs" dxfId="472" priority="462" operator="equal">
      <formula>"Trocar"</formula>
    </cfRule>
    <cfRule type="cellIs" dxfId="471" priority="463" operator="equal">
      <formula>"Ruim"</formula>
    </cfRule>
    <cfRule type="cellIs" dxfId="470" priority="464" operator="equal">
      <formula>"Médio"</formula>
    </cfRule>
    <cfRule type="cellIs" dxfId="469" priority="465" operator="equal">
      <formula>"Bom"</formula>
    </cfRule>
  </conditionalFormatting>
  <conditionalFormatting sqref="N1429:N1446">
    <cfRule type="expression" dxfId="468" priority="461">
      <formula>$N1429&lt;TODAY()</formula>
    </cfRule>
  </conditionalFormatting>
  <conditionalFormatting sqref="L1447:L1734">
    <cfRule type="cellIs" dxfId="467" priority="457" operator="equal">
      <formula>"Trocar"</formula>
    </cfRule>
    <cfRule type="cellIs" dxfId="466" priority="458" operator="equal">
      <formula>"Ruim"</formula>
    </cfRule>
    <cfRule type="cellIs" dxfId="465" priority="459" operator="equal">
      <formula>"Médio"</formula>
    </cfRule>
    <cfRule type="cellIs" dxfId="464" priority="460" operator="equal">
      <formula>"Bom"</formula>
    </cfRule>
  </conditionalFormatting>
  <conditionalFormatting sqref="N1447:N1734">
    <cfRule type="expression" dxfId="463" priority="456">
      <formula>$N1447&lt;TODAY()</formula>
    </cfRule>
  </conditionalFormatting>
  <conditionalFormatting sqref="L1465">
    <cfRule type="cellIs" dxfId="462" priority="452" operator="equal">
      <formula>"Trocar"</formula>
    </cfRule>
    <cfRule type="cellIs" dxfId="461" priority="453" operator="equal">
      <formula>"Ruim"</formula>
    </cfRule>
    <cfRule type="cellIs" dxfId="460" priority="454" operator="equal">
      <formula>"Médio"</formula>
    </cfRule>
    <cfRule type="cellIs" dxfId="459" priority="455" operator="equal">
      <formula>"Bom"</formula>
    </cfRule>
  </conditionalFormatting>
  <conditionalFormatting sqref="L1465:L1482">
    <cfRule type="cellIs" dxfId="458" priority="448" operator="equal">
      <formula>"Trocar"</formula>
    </cfRule>
    <cfRule type="cellIs" dxfId="457" priority="449" operator="equal">
      <formula>"Ruim"</formula>
    </cfRule>
    <cfRule type="cellIs" dxfId="456" priority="450" operator="equal">
      <formula>"Médio"</formula>
    </cfRule>
    <cfRule type="cellIs" dxfId="455" priority="451" operator="equal">
      <formula>"Bom"</formula>
    </cfRule>
  </conditionalFormatting>
  <conditionalFormatting sqref="N1465:N1482">
    <cfRule type="expression" dxfId="454" priority="447">
      <formula>$N1465&lt;TODAY()</formula>
    </cfRule>
  </conditionalFormatting>
  <conditionalFormatting sqref="L1465:L1482">
    <cfRule type="cellIs" dxfId="453" priority="443" operator="equal">
      <formula>"Trocar"</formula>
    </cfRule>
    <cfRule type="cellIs" dxfId="452" priority="444" operator="equal">
      <formula>"Ruim"</formula>
    </cfRule>
    <cfRule type="cellIs" dxfId="451" priority="445" operator="equal">
      <formula>"Médio"</formula>
    </cfRule>
    <cfRule type="cellIs" dxfId="450" priority="446" operator="equal">
      <formula>"Bom"</formula>
    </cfRule>
  </conditionalFormatting>
  <conditionalFormatting sqref="N1465:N1482">
    <cfRule type="expression" dxfId="449" priority="442">
      <formula>$N1465&lt;TODAY()</formula>
    </cfRule>
  </conditionalFormatting>
  <conditionalFormatting sqref="L1483:L1500">
    <cfRule type="cellIs" dxfId="448" priority="438" operator="equal">
      <formula>"Trocar"</formula>
    </cfRule>
    <cfRule type="cellIs" dxfId="447" priority="439" operator="equal">
      <formula>"Ruim"</formula>
    </cfRule>
    <cfRule type="cellIs" dxfId="446" priority="440" operator="equal">
      <formula>"Médio"</formula>
    </cfRule>
    <cfRule type="cellIs" dxfId="445" priority="441" operator="equal">
      <formula>"Bom"</formula>
    </cfRule>
  </conditionalFormatting>
  <conditionalFormatting sqref="N1483:N1500">
    <cfRule type="expression" dxfId="444" priority="437">
      <formula>$N1483&lt;TODAY()</formula>
    </cfRule>
  </conditionalFormatting>
  <conditionalFormatting sqref="L1501:L1518">
    <cfRule type="cellIs" dxfId="443" priority="433" operator="equal">
      <formula>"Trocar"</formula>
    </cfRule>
    <cfRule type="cellIs" dxfId="442" priority="434" operator="equal">
      <formula>"Ruim"</formula>
    </cfRule>
    <cfRule type="cellIs" dxfId="441" priority="435" operator="equal">
      <formula>"Médio"</formula>
    </cfRule>
    <cfRule type="cellIs" dxfId="440" priority="436" operator="equal">
      <formula>"Bom"</formula>
    </cfRule>
  </conditionalFormatting>
  <conditionalFormatting sqref="N1501:N1518">
    <cfRule type="expression" dxfId="439" priority="432">
      <formula>$N1501&lt;TODAY()</formula>
    </cfRule>
  </conditionalFormatting>
  <conditionalFormatting sqref="L1519:L1536">
    <cfRule type="cellIs" dxfId="438" priority="428" operator="equal">
      <formula>"Trocar"</formula>
    </cfRule>
    <cfRule type="cellIs" dxfId="437" priority="429" operator="equal">
      <formula>"Ruim"</formula>
    </cfRule>
    <cfRule type="cellIs" dxfId="436" priority="430" operator="equal">
      <formula>"Médio"</formula>
    </cfRule>
    <cfRule type="cellIs" dxfId="435" priority="431" operator="equal">
      <formula>"Bom"</formula>
    </cfRule>
  </conditionalFormatting>
  <conditionalFormatting sqref="N1519:N1536">
    <cfRule type="expression" dxfId="434" priority="427">
      <formula>$N1519&lt;TODAY()</formula>
    </cfRule>
  </conditionalFormatting>
  <conditionalFormatting sqref="L1537:L1554">
    <cfRule type="cellIs" dxfId="433" priority="423" operator="equal">
      <formula>"Trocar"</formula>
    </cfRule>
    <cfRule type="cellIs" dxfId="432" priority="424" operator="equal">
      <formula>"Ruim"</formula>
    </cfRule>
    <cfRule type="cellIs" dxfId="431" priority="425" operator="equal">
      <formula>"Médio"</formula>
    </cfRule>
    <cfRule type="cellIs" dxfId="430" priority="426" operator="equal">
      <formula>"Bom"</formula>
    </cfRule>
  </conditionalFormatting>
  <conditionalFormatting sqref="N1537:N1554">
    <cfRule type="expression" dxfId="429" priority="422">
      <formula>$N1537&lt;TODAY()</formula>
    </cfRule>
  </conditionalFormatting>
  <conditionalFormatting sqref="L1555:L1572">
    <cfRule type="cellIs" dxfId="428" priority="418" operator="equal">
      <formula>"Trocar"</formula>
    </cfRule>
    <cfRule type="cellIs" dxfId="427" priority="419" operator="equal">
      <formula>"Ruim"</formula>
    </cfRule>
    <cfRule type="cellIs" dxfId="426" priority="420" operator="equal">
      <formula>"Médio"</formula>
    </cfRule>
    <cfRule type="cellIs" dxfId="425" priority="421" operator="equal">
      <formula>"Bom"</formula>
    </cfRule>
  </conditionalFormatting>
  <conditionalFormatting sqref="N1555:N1572">
    <cfRule type="expression" dxfId="424" priority="417">
      <formula>$N1555&lt;TODAY()</formula>
    </cfRule>
  </conditionalFormatting>
  <conditionalFormatting sqref="L1573:L1590">
    <cfRule type="cellIs" dxfId="423" priority="413" operator="equal">
      <formula>"Trocar"</formula>
    </cfRule>
    <cfRule type="cellIs" dxfId="422" priority="414" operator="equal">
      <formula>"Ruim"</formula>
    </cfRule>
    <cfRule type="cellIs" dxfId="421" priority="415" operator="equal">
      <formula>"Médio"</formula>
    </cfRule>
    <cfRule type="cellIs" dxfId="420" priority="416" operator="equal">
      <formula>"Bom"</formula>
    </cfRule>
  </conditionalFormatting>
  <conditionalFormatting sqref="N1573:N1590">
    <cfRule type="expression" dxfId="419" priority="412">
      <formula>$N1573&lt;TODAY()</formula>
    </cfRule>
  </conditionalFormatting>
  <conditionalFormatting sqref="L1591:L1734">
    <cfRule type="cellIs" dxfId="418" priority="408" operator="equal">
      <formula>"Trocar"</formula>
    </cfRule>
    <cfRule type="cellIs" dxfId="417" priority="409" operator="equal">
      <formula>"Ruim"</formula>
    </cfRule>
    <cfRule type="cellIs" dxfId="416" priority="410" operator="equal">
      <formula>"Médio"</formula>
    </cfRule>
    <cfRule type="cellIs" dxfId="415" priority="411" operator="equal">
      <formula>"Bom"</formula>
    </cfRule>
  </conditionalFormatting>
  <conditionalFormatting sqref="N1591:N1734">
    <cfRule type="expression" dxfId="414" priority="407">
      <formula>$N1591&lt;TODAY()</formula>
    </cfRule>
  </conditionalFormatting>
  <conditionalFormatting sqref="L1609">
    <cfRule type="cellIs" dxfId="413" priority="403" operator="equal">
      <formula>"Trocar"</formula>
    </cfRule>
    <cfRule type="cellIs" dxfId="412" priority="404" operator="equal">
      <formula>"Ruim"</formula>
    </cfRule>
    <cfRule type="cellIs" dxfId="411" priority="405" operator="equal">
      <formula>"Médio"</formula>
    </cfRule>
    <cfRule type="cellIs" dxfId="410" priority="406" operator="equal">
      <formula>"Bom"</formula>
    </cfRule>
  </conditionalFormatting>
  <conditionalFormatting sqref="L1609:L1626">
    <cfRule type="cellIs" dxfId="409" priority="399" operator="equal">
      <formula>"Trocar"</formula>
    </cfRule>
    <cfRule type="cellIs" dxfId="408" priority="400" operator="equal">
      <formula>"Ruim"</formula>
    </cfRule>
    <cfRule type="cellIs" dxfId="407" priority="401" operator="equal">
      <formula>"Médio"</formula>
    </cfRule>
    <cfRule type="cellIs" dxfId="406" priority="402" operator="equal">
      <formula>"Bom"</formula>
    </cfRule>
  </conditionalFormatting>
  <conditionalFormatting sqref="N1609:N1626">
    <cfRule type="expression" dxfId="405" priority="398">
      <formula>$N1609&lt;TODAY()</formula>
    </cfRule>
  </conditionalFormatting>
  <conditionalFormatting sqref="L1609:L1626">
    <cfRule type="cellIs" dxfId="404" priority="394" operator="equal">
      <formula>"Trocar"</formula>
    </cfRule>
    <cfRule type="cellIs" dxfId="403" priority="395" operator="equal">
      <formula>"Ruim"</formula>
    </cfRule>
    <cfRule type="cellIs" dxfId="402" priority="396" operator="equal">
      <formula>"Médio"</formula>
    </cfRule>
    <cfRule type="cellIs" dxfId="401" priority="397" operator="equal">
      <formula>"Bom"</formula>
    </cfRule>
  </conditionalFormatting>
  <conditionalFormatting sqref="N1609:N1626">
    <cfRule type="expression" dxfId="400" priority="393">
      <formula>$N1609&lt;TODAY()</formula>
    </cfRule>
  </conditionalFormatting>
  <conditionalFormatting sqref="L1627:L1644">
    <cfRule type="cellIs" dxfId="399" priority="389" operator="equal">
      <formula>"Trocar"</formula>
    </cfRule>
    <cfRule type="cellIs" dxfId="398" priority="390" operator="equal">
      <formula>"Ruim"</formula>
    </cfRule>
    <cfRule type="cellIs" dxfId="397" priority="391" operator="equal">
      <formula>"Médio"</formula>
    </cfRule>
    <cfRule type="cellIs" dxfId="396" priority="392" operator="equal">
      <formula>"Bom"</formula>
    </cfRule>
  </conditionalFormatting>
  <conditionalFormatting sqref="N1627:N1644">
    <cfRule type="expression" dxfId="395" priority="388">
      <formula>$N1627&lt;TODAY()</formula>
    </cfRule>
  </conditionalFormatting>
  <conditionalFormatting sqref="L1645:L1662">
    <cfRule type="cellIs" dxfId="394" priority="384" operator="equal">
      <formula>"Trocar"</formula>
    </cfRule>
    <cfRule type="cellIs" dxfId="393" priority="385" operator="equal">
      <formula>"Ruim"</formula>
    </cfRule>
    <cfRule type="cellIs" dxfId="392" priority="386" operator="equal">
      <formula>"Médio"</formula>
    </cfRule>
    <cfRule type="cellIs" dxfId="391" priority="387" operator="equal">
      <formula>"Bom"</formula>
    </cfRule>
  </conditionalFormatting>
  <conditionalFormatting sqref="N1645:N1662">
    <cfRule type="expression" dxfId="390" priority="383">
      <formula>$N1645&lt;TODAY()</formula>
    </cfRule>
  </conditionalFormatting>
  <conditionalFormatting sqref="L1663:L1680">
    <cfRule type="cellIs" dxfId="389" priority="379" operator="equal">
      <formula>"Trocar"</formula>
    </cfRule>
    <cfRule type="cellIs" dxfId="388" priority="380" operator="equal">
      <formula>"Ruim"</formula>
    </cfRule>
    <cfRule type="cellIs" dxfId="387" priority="381" operator="equal">
      <formula>"Médio"</formula>
    </cfRule>
    <cfRule type="cellIs" dxfId="386" priority="382" operator="equal">
      <formula>"Bom"</formula>
    </cfRule>
  </conditionalFormatting>
  <conditionalFormatting sqref="N1663:N1680">
    <cfRule type="expression" dxfId="385" priority="378">
      <formula>$N1663&lt;TODAY()</formula>
    </cfRule>
  </conditionalFormatting>
  <conditionalFormatting sqref="L1681:L1698">
    <cfRule type="cellIs" dxfId="384" priority="374" operator="equal">
      <formula>"Trocar"</formula>
    </cfRule>
    <cfRule type="cellIs" dxfId="383" priority="375" operator="equal">
      <formula>"Ruim"</formula>
    </cfRule>
    <cfRule type="cellIs" dxfId="382" priority="376" operator="equal">
      <formula>"Médio"</formula>
    </cfRule>
    <cfRule type="cellIs" dxfId="381" priority="377" operator="equal">
      <formula>"Bom"</formula>
    </cfRule>
  </conditionalFormatting>
  <conditionalFormatting sqref="N1681:N1698">
    <cfRule type="expression" dxfId="380" priority="373">
      <formula>$N1681&lt;TODAY()</formula>
    </cfRule>
  </conditionalFormatting>
  <conditionalFormatting sqref="L1699:L1716">
    <cfRule type="cellIs" dxfId="379" priority="369" operator="equal">
      <formula>"Trocar"</formula>
    </cfRule>
    <cfRule type="cellIs" dxfId="378" priority="370" operator="equal">
      <formula>"Ruim"</formula>
    </cfRule>
    <cfRule type="cellIs" dxfId="377" priority="371" operator="equal">
      <formula>"Médio"</formula>
    </cfRule>
    <cfRule type="cellIs" dxfId="376" priority="372" operator="equal">
      <formula>"Bom"</formula>
    </cfRule>
  </conditionalFormatting>
  <conditionalFormatting sqref="N1699:N1716">
    <cfRule type="expression" dxfId="375" priority="368">
      <formula>$N1699&lt;TODAY()</formula>
    </cfRule>
  </conditionalFormatting>
  <conditionalFormatting sqref="L1717:L1734">
    <cfRule type="cellIs" dxfId="374" priority="364" operator="equal">
      <formula>"Trocar"</formula>
    </cfRule>
    <cfRule type="cellIs" dxfId="373" priority="365" operator="equal">
      <formula>"Ruim"</formula>
    </cfRule>
    <cfRule type="cellIs" dxfId="372" priority="366" operator="equal">
      <formula>"Médio"</formula>
    </cfRule>
    <cfRule type="cellIs" dxfId="371" priority="367" operator="equal">
      <formula>"Bom"</formula>
    </cfRule>
  </conditionalFormatting>
  <conditionalFormatting sqref="N1717:N1734">
    <cfRule type="expression" dxfId="370" priority="363">
      <formula>$N1717&lt;TODAY()</formula>
    </cfRule>
  </conditionalFormatting>
  <conditionalFormatting sqref="L1609">
    <cfRule type="cellIs" dxfId="369" priority="359" operator="equal">
      <formula>"Trocar"</formula>
    </cfRule>
    <cfRule type="cellIs" dxfId="368" priority="360" operator="equal">
      <formula>"Ruim"</formula>
    </cfRule>
    <cfRule type="cellIs" dxfId="367" priority="361" operator="equal">
      <formula>"Médio"</formula>
    </cfRule>
    <cfRule type="cellIs" dxfId="366" priority="362" operator="equal">
      <formula>"Bom"</formula>
    </cfRule>
  </conditionalFormatting>
  <conditionalFormatting sqref="L1609:L1626">
    <cfRule type="cellIs" dxfId="365" priority="355" operator="equal">
      <formula>"Trocar"</formula>
    </cfRule>
    <cfRule type="cellIs" dxfId="364" priority="356" operator="equal">
      <formula>"Ruim"</formula>
    </cfRule>
    <cfRule type="cellIs" dxfId="363" priority="357" operator="equal">
      <formula>"Médio"</formula>
    </cfRule>
    <cfRule type="cellIs" dxfId="362" priority="358" operator="equal">
      <formula>"Bom"</formula>
    </cfRule>
  </conditionalFormatting>
  <conditionalFormatting sqref="N1609:N1626">
    <cfRule type="expression" dxfId="361" priority="354">
      <formula>$N1609&lt;TODAY()</formula>
    </cfRule>
  </conditionalFormatting>
  <conditionalFormatting sqref="L1609:L1626">
    <cfRule type="cellIs" dxfId="360" priority="350" operator="equal">
      <formula>"Trocar"</formula>
    </cfRule>
    <cfRule type="cellIs" dxfId="359" priority="351" operator="equal">
      <formula>"Ruim"</formula>
    </cfRule>
    <cfRule type="cellIs" dxfId="358" priority="352" operator="equal">
      <formula>"Médio"</formula>
    </cfRule>
    <cfRule type="cellIs" dxfId="357" priority="353" operator="equal">
      <formula>"Bom"</formula>
    </cfRule>
  </conditionalFormatting>
  <conditionalFormatting sqref="N1609:N1626">
    <cfRule type="expression" dxfId="356" priority="349">
      <formula>$N1609&lt;TODAY()</formula>
    </cfRule>
  </conditionalFormatting>
  <conditionalFormatting sqref="L1627:L1644">
    <cfRule type="cellIs" dxfId="355" priority="345" operator="equal">
      <formula>"Trocar"</formula>
    </cfRule>
    <cfRule type="cellIs" dxfId="354" priority="346" operator="equal">
      <formula>"Ruim"</formula>
    </cfRule>
    <cfRule type="cellIs" dxfId="353" priority="347" operator="equal">
      <formula>"Médio"</formula>
    </cfRule>
    <cfRule type="cellIs" dxfId="352" priority="348" operator="equal">
      <formula>"Bom"</formula>
    </cfRule>
  </conditionalFormatting>
  <conditionalFormatting sqref="N1627:N1644">
    <cfRule type="expression" dxfId="351" priority="344">
      <formula>$N1627&lt;TODAY()</formula>
    </cfRule>
  </conditionalFormatting>
  <conditionalFormatting sqref="L1645:L1662">
    <cfRule type="cellIs" dxfId="350" priority="340" operator="equal">
      <formula>"Trocar"</formula>
    </cfRule>
    <cfRule type="cellIs" dxfId="349" priority="341" operator="equal">
      <formula>"Ruim"</formula>
    </cfRule>
    <cfRule type="cellIs" dxfId="348" priority="342" operator="equal">
      <formula>"Médio"</formula>
    </cfRule>
    <cfRule type="cellIs" dxfId="347" priority="343" operator="equal">
      <formula>"Bom"</formula>
    </cfRule>
  </conditionalFormatting>
  <conditionalFormatting sqref="N1645:N1662">
    <cfRule type="expression" dxfId="346" priority="339">
      <formula>$N1645&lt;TODAY()</formula>
    </cfRule>
  </conditionalFormatting>
  <conditionalFormatting sqref="L1663:L1680">
    <cfRule type="cellIs" dxfId="345" priority="335" operator="equal">
      <formula>"Trocar"</formula>
    </cfRule>
    <cfRule type="cellIs" dxfId="344" priority="336" operator="equal">
      <formula>"Ruim"</formula>
    </cfRule>
    <cfRule type="cellIs" dxfId="343" priority="337" operator="equal">
      <formula>"Médio"</formula>
    </cfRule>
    <cfRule type="cellIs" dxfId="342" priority="338" operator="equal">
      <formula>"Bom"</formula>
    </cfRule>
  </conditionalFormatting>
  <conditionalFormatting sqref="N1663:N1680">
    <cfRule type="expression" dxfId="341" priority="334">
      <formula>$N1663&lt;TODAY()</formula>
    </cfRule>
  </conditionalFormatting>
  <conditionalFormatting sqref="L1681:L1698">
    <cfRule type="cellIs" dxfId="340" priority="330" operator="equal">
      <formula>"Trocar"</formula>
    </cfRule>
    <cfRule type="cellIs" dxfId="339" priority="331" operator="equal">
      <formula>"Ruim"</formula>
    </cfRule>
    <cfRule type="cellIs" dxfId="338" priority="332" operator="equal">
      <formula>"Médio"</formula>
    </cfRule>
    <cfRule type="cellIs" dxfId="337" priority="333" operator="equal">
      <formula>"Bom"</formula>
    </cfRule>
  </conditionalFormatting>
  <conditionalFormatting sqref="N1681:N1698">
    <cfRule type="expression" dxfId="336" priority="329">
      <formula>$N1681&lt;TODAY()</formula>
    </cfRule>
  </conditionalFormatting>
  <conditionalFormatting sqref="L1699:L1716">
    <cfRule type="cellIs" dxfId="335" priority="325" operator="equal">
      <formula>"Trocar"</formula>
    </cfRule>
    <cfRule type="cellIs" dxfId="334" priority="326" operator="equal">
      <formula>"Ruim"</formula>
    </cfRule>
    <cfRule type="cellIs" dxfId="333" priority="327" operator="equal">
      <formula>"Médio"</formula>
    </cfRule>
    <cfRule type="cellIs" dxfId="332" priority="328" operator="equal">
      <formula>"Bom"</formula>
    </cfRule>
  </conditionalFormatting>
  <conditionalFormatting sqref="N1699:N1716">
    <cfRule type="expression" dxfId="331" priority="324">
      <formula>$N1699&lt;TODAY()</formula>
    </cfRule>
  </conditionalFormatting>
  <conditionalFormatting sqref="L1717:L1734">
    <cfRule type="cellIs" dxfId="330" priority="320" operator="equal">
      <formula>"Trocar"</formula>
    </cfRule>
    <cfRule type="cellIs" dxfId="329" priority="321" operator="equal">
      <formula>"Ruim"</formula>
    </cfRule>
    <cfRule type="cellIs" dxfId="328" priority="322" operator="equal">
      <formula>"Médio"</formula>
    </cfRule>
    <cfRule type="cellIs" dxfId="327" priority="323" operator="equal">
      <formula>"Bom"</formula>
    </cfRule>
  </conditionalFormatting>
  <conditionalFormatting sqref="N1717:N1734">
    <cfRule type="expression" dxfId="326" priority="319">
      <formula>$N1717&lt;TODAY()</formula>
    </cfRule>
  </conditionalFormatting>
  <conditionalFormatting sqref="L1609">
    <cfRule type="cellIs" dxfId="325" priority="315" operator="equal">
      <formula>"Trocar"</formula>
    </cfRule>
    <cfRule type="cellIs" dxfId="324" priority="316" operator="equal">
      <formula>"Ruim"</formula>
    </cfRule>
    <cfRule type="cellIs" dxfId="323" priority="317" operator="equal">
      <formula>"Médio"</formula>
    </cfRule>
    <cfRule type="cellIs" dxfId="322" priority="318" operator="equal">
      <formula>"Bom"</formula>
    </cfRule>
  </conditionalFormatting>
  <conditionalFormatting sqref="L1609:L1626">
    <cfRule type="cellIs" dxfId="321" priority="311" operator="equal">
      <formula>"Trocar"</formula>
    </cfRule>
    <cfRule type="cellIs" dxfId="320" priority="312" operator="equal">
      <formula>"Ruim"</formula>
    </cfRule>
    <cfRule type="cellIs" dxfId="319" priority="313" operator="equal">
      <formula>"Médio"</formula>
    </cfRule>
    <cfRule type="cellIs" dxfId="318" priority="314" operator="equal">
      <formula>"Bom"</formula>
    </cfRule>
  </conditionalFormatting>
  <conditionalFormatting sqref="N1609:N1626">
    <cfRule type="expression" dxfId="317" priority="310">
      <formula>$N1609&lt;TODAY()</formula>
    </cfRule>
  </conditionalFormatting>
  <conditionalFormatting sqref="L1609:L1626">
    <cfRule type="cellIs" dxfId="316" priority="306" operator="equal">
      <formula>"Trocar"</formula>
    </cfRule>
    <cfRule type="cellIs" dxfId="315" priority="307" operator="equal">
      <formula>"Ruim"</formula>
    </cfRule>
    <cfRule type="cellIs" dxfId="314" priority="308" operator="equal">
      <formula>"Médio"</formula>
    </cfRule>
    <cfRule type="cellIs" dxfId="313" priority="309" operator="equal">
      <formula>"Bom"</formula>
    </cfRule>
  </conditionalFormatting>
  <conditionalFormatting sqref="N1609:N1626">
    <cfRule type="expression" dxfId="312" priority="305">
      <formula>$N1609&lt;TODAY()</formula>
    </cfRule>
  </conditionalFormatting>
  <conditionalFormatting sqref="L1627:L1644">
    <cfRule type="cellIs" dxfId="311" priority="301" operator="equal">
      <formula>"Trocar"</formula>
    </cfRule>
    <cfRule type="cellIs" dxfId="310" priority="302" operator="equal">
      <formula>"Ruim"</formula>
    </cfRule>
    <cfRule type="cellIs" dxfId="309" priority="303" operator="equal">
      <formula>"Médio"</formula>
    </cfRule>
    <cfRule type="cellIs" dxfId="308" priority="304" operator="equal">
      <formula>"Bom"</formula>
    </cfRule>
  </conditionalFormatting>
  <conditionalFormatting sqref="N1627:N1644">
    <cfRule type="expression" dxfId="307" priority="300">
      <formula>$N1627&lt;TODAY()</formula>
    </cfRule>
  </conditionalFormatting>
  <conditionalFormatting sqref="L1645:L1662">
    <cfRule type="cellIs" dxfId="306" priority="296" operator="equal">
      <formula>"Trocar"</formula>
    </cfRule>
    <cfRule type="cellIs" dxfId="305" priority="297" operator="equal">
      <formula>"Ruim"</formula>
    </cfRule>
    <cfRule type="cellIs" dxfId="304" priority="298" operator="equal">
      <formula>"Médio"</formula>
    </cfRule>
    <cfRule type="cellIs" dxfId="303" priority="299" operator="equal">
      <formula>"Bom"</formula>
    </cfRule>
  </conditionalFormatting>
  <conditionalFormatting sqref="N1645:N1662">
    <cfRule type="expression" dxfId="302" priority="295">
      <formula>$N1645&lt;TODAY()</formula>
    </cfRule>
  </conditionalFormatting>
  <conditionalFormatting sqref="L1663:L1680">
    <cfRule type="cellIs" dxfId="301" priority="291" operator="equal">
      <formula>"Trocar"</formula>
    </cfRule>
    <cfRule type="cellIs" dxfId="300" priority="292" operator="equal">
      <formula>"Ruim"</formula>
    </cfRule>
    <cfRule type="cellIs" dxfId="299" priority="293" operator="equal">
      <formula>"Médio"</formula>
    </cfRule>
    <cfRule type="cellIs" dxfId="298" priority="294" operator="equal">
      <formula>"Bom"</formula>
    </cfRule>
  </conditionalFormatting>
  <conditionalFormatting sqref="N1663:N1680">
    <cfRule type="expression" dxfId="297" priority="290">
      <formula>$N1663&lt;TODAY()</formula>
    </cfRule>
  </conditionalFormatting>
  <conditionalFormatting sqref="L1681:L1698">
    <cfRule type="cellIs" dxfId="296" priority="286" operator="equal">
      <formula>"Trocar"</formula>
    </cfRule>
    <cfRule type="cellIs" dxfId="295" priority="287" operator="equal">
      <formula>"Ruim"</formula>
    </cfRule>
    <cfRule type="cellIs" dxfId="294" priority="288" operator="equal">
      <formula>"Médio"</formula>
    </cfRule>
    <cfRule type="cellIs" dxfId="293" priority="289" operator="equal">
      <formula>"Bom"</formula>
    </cfRule>
  </conditionalFormatting>
  <conditionalFormatting sqref="N1681:N1698">
    <cfRule type="expression" dxfId="292" priority="285">
      <formula>$N1681&lt;TODAY()</formula>
    </cfRule>
  </conditionalFormatting>
  <conditionalFormatting sqref="L1699:L1716">
    <cfRule type="cellIs" dxfId="291" priority="281" operator="equal">
      <formula>"Trocar"</formula>
    </cfRule>
    <cfRule type="cellIs" dxfId="290" priority="282" operator="equal">
      <formula>"Ruim"</formula>
    </cfRule>
    <cfRule type="cellIs" dxfId="289" priority="283" operator="equal">
      <formula>"Médio"</formula>
    </cfRule>
    <cfRule type="cellIs" dxfId="288" priority="284" operator="equal">
      <formula>"Bom"</formula>
    </cfRule>
  </conditionalFormatting>
  <conditionalFormatting sqref="N1699:N1716">
    <cfRule type="expression" dxfId="287" priority="280">
      <formula>$N1699&lt;TODAY()</formula>
    </cfRule>
  </conditionalFormatting>
  <conditionalFormatting sqref="L1717:L1734">
    <cfRule type="cellIs" dxfId="286" priority="276" operator="equal">
      <formula>"Trocar"</formula>
    </cfRule>
    <cfRule type="cellIs" dxfId="285" priority="277" operator="equal">
      <formula>"Ruim"</formula>
    </cfRule>
    <cfRule type="cellIs" dxfId="284" priority="278" operator="equal">
      <formula>"Médio"</formula>
    </cfRule>
    <cfRule type="cellIs" dxfId="283" priority="279" operator="equal">
      <formula>"Bom"</formula>
    </cfRule>
  </conditionalFormatting>
  <conditionalFormatting sqref="N1717:N1734">
    <cfRule type="expression" dxfId="282" priority="275">
      <formula>$N1717&lt;TODAY()</formula>
    </cfRule>
  </conditionalFormatting>
  <conditionalFormatting sqref="L1609">
    <cfRule type="cellIs" dxfId="281" priority="271" operator="equal">
      <formula>"Trocar"</formula>
    </cfRule>
    <cfRule type="cellIs" dxfId="280" priority="272" operator="equal">
      <formula>"Ruim"</formula>
    </cfRule>
    <cfRule type="cellIs" dxfId="279" priority="273" operator="equal">
      <formula>"Médio"</formula>
    </cfRule>
    <cfRule type="cellIs" dxfId="278" priority="274" operator="equal">
      <formula>"Bom"</formula>
    </cfRule>
  </conditionalFormatting>
  <conditionalFormatting sqref="L1609:L1626">
    <cfRule type="cellIs" dxfId="277" priority="267" operator="equal">
      <formula>"Trocar"</formula>
    </cfRule>
    <cfRule type="cellIs" dxfId="276" priority="268" operator="equal">
      <formula>"Ruim"</formula>
    </cfRule>
    <cfRule type="cellIs" dxfId="275" priority="269" operator="equal">
      <formula>"Médio"</formula>
    </cfRule>
    <cfRule type="cellIs" dxfId="274" priority="270" operator="equal">
      <formula>"Bom"</formula>
    </cfRule>
  </conditionalFormatting>
  <conditionalFormatting sqref="N1609:N1626">
    <cfRule type="expression" dxfId="273" priority="266">
      <formula>$N1609&lt;TODAY()</formula>
    </cfRule>
  </conditionalFormatting>
  <conditionalFormatting sqref="L1609:L1626">
    <cfRule type="cellIs" dxfId="272" priority="262" operator="equal">
      <formula>"Trocar"</formula>
    </cfRule>
    <cfRule type="cellIs" dxfId="271" priority="263" operator="equal">
      <formula>"Ruim"</formula>
    </cfRule>
    <cfRule type="cellIs" dxfId="270" priority="264" operator="equal">
      <formula>"Médio"</formula>
    </cfRule>
    <cfRule type="cellIs" dxfId="269" priority="265" operator="equal">
      <formula>"Bom"</formula>
    </cfRule>
  </conditionalFormatting>
  <conditionalFormatting sqref="N1609:N1626">
    <cfRule type="expression" dxfId="268" priority="261">
      <formula>$N1609&lt;TODAY()</formula>
    </cfRule>
  </conditionalFormatting>
  <conditionalFormatting sqref="L1627:L1644">
    <cfRule type="cellIs" dxfId="267" priority="257" operator="equal">
      <formula>"Trocar"</formula>
    </cfRule>
    <cfRule type="cellIs" dxfId="266" priority="258" operator="equal">
      <formula>"Ruim"</formula>
    </cfRule>
    <cfRule type="cellIs" dxfId="265" priority="259" operator="equal">
      <formula>"Médio"</formula>
    </cfRule>
    <cfRule type="cellIs" dxfId="264" priority="260" operator="equal">
      <formula>"Bom"</formula>
    </cfRule>
  </conditionalFormatting>
  <conditionalFormatting sqref="N1627:N1644">
    <cfRule type="expression" dxfId="263" priority="256">
      <formula>$N1627&lt;TODAY()</formula>
    </cfRule>
  </conditionalFormatting>
  <conditionalFormatting sqref="L1645:L1662">
    <cfRule type="cellIs" dxfId="262" priority="252" operator="equal">
      <formula>"Trocar"</formula>
    </cfRule>
    <cfRule type="cellIs" dxfId="261" priority="253" operator="equal">
      <formula>"Ruim"</formula>
    </cfRule>
    <cfRule type="cellIs" dxfId="260" priority="254" operator="equal">
      <formula>"Médio"</formula>
    </cfRule>
    <cfRule type="cellIs" dxfId="259" priority="255" operator="equal">
      <formula>"Bom"</formula>
    </cfRule>
  </conditionalFormatting>
  <conditionalFormatting sqref="N1645:N1662">
    <cfRule type="expression" dxfId="258" priority="251">
      <formula>$N1645&lt;TODAY()</formula>
    </cfRule>
  </conditionalFormatting>
  <conditionalFormatting sqref="L1663:L1680">
    <cfRule type="cellIs" dxfId="257" priority="247" operator="equal">
      <formula>"Trocar"</formula>
    </cfRule>
    <cfRule type="cellIs" dxfId="256" priority="248" operator="equal">
      <formula>"Ruim"</formula>
    </cfRule>
    <cfRule type="cellIs" dxfId="255" priority="249" operator="equal">
      <formula>"Médio"</formula>
    </cfRule>
    <cfRule type="cellIs" dxfId="254" priority="250" operator="equal">
      <formula>"Bom"</formula>
    </cfRule>
  </conditionalFormatting>
  <conditionalFormatting sqref="N1663:N1680">
    <cfRule type="expression" dxfId="253" priority="246">
      <formula>$N1663&lt;TODAY()</formula>
    </cfRule>
  </conditionalFormatting>
  <conditionalFormatting sqref="L1681:L1698">
    <cfRule type="cellIs" dxfId="252" priority="242" operator="equal">
      <formula>"Trocar"</formula>
    </cfRule>
    <cfRule type="cellIs" dxfId="251" priority="243" operator="equal">
      <formula>"Ruim"</formula>
    </cfRule>
    <cfRule type="cellIs" dxfId="250" priority="244" operator="equal">
      <formula>"Médio"</formula>
    </cfRule>
    <cfRule type="cellIs" dxfId="249" priority="245" operator="equal">
      <formula>"Bom"</formula>
    </cfRule>
  </conditionalFormatting>
  <conditionalFormatting sqref="N1681:N1698">
    <cfRule type="expression" dxfId="248" priority="241">
      <formula>$N1681&lt;TODAY()</formula>
    </cfRule>
  </conditionalFormatting>
  <conditionalFormatting sqref="L1699:L1716">
    <cfRule type="cellIs" dxfId="247" priority="237" operator="equal">
      <formula>"Trocar"</formula>
    </cfRule>
    <cfRule type="cellIs" dxfId="246" priority="238" operator="equal">
      <formula>"Ruim"</formula>
    </cfRule>
    <cfRule type="cellIs" dxfId="245" priority="239" operator="equal">
      <formula>"Médio"</formula>
    </cfRule>
    <cfRule type="cellIs" dxfId="244" priority="240" operator="equal">
      <formula>"Bom"</formula>
    </cfRule>
  </conditionalFormatting>
  <conditionalFormatting sqref="N1699:N1716">
    <cfRule type="expression" dxfId="243" priority="236">
      <formula>$N1699&lt;TODAY()</formula>
    </cfRule>
  </conditionalFormatting>
  <conditionalFormatting sqref="L1717:L1734">
    <cfRule type="cellIs" dxfId="242" priority="232" operator="equal">
      <formula>"Trocar"</formula>
    </cfRule>
    <cfRule type="cellIs" dxfId="241" priority="233" operator="equal">
      <formula>"Ruim"</formula>
    </cfRule>
    <cfRule type="cellIs" dxfId="240" priority="234" operator="equal">
      <formula>"Médio"</formula>
    </cfRule>
    <cfRule type="cellIs" dxfId="239" priority="235" operator="equal">
      <formula>"Bom"</formula>
    </cfRule>
  </conditionalFormatting>
  <conditionalFormatting sqref="N1717:N1734">
    <cfRule type="expression" dxfId="238" priority="231">
      <formula>$N1717&lt;TODAY()</formula>
    </cfRule>
  </conditionalFormatting>
  <conditionalFormatting sqref="L1735:L2022">
    <cfRule type="cellIs" dxfId="237" priority="227" operator="equal">
      <formula>"Trocar"</formula>
    </cfRule>
    <cfRule type="cellIs" dxfId="236" priority="228" operator="equal">
      <formula>"Ruim"</formula>
    </cfRule>
    <cfRule type="cellIs" dxfId="235" priority="229" operator="equal">
      <formula>"Médio"</formula>
    </cfRule>
    <cfRule type="cellIs" dxfId="234" priority="230" operator="equal">
      <formula>"Bom"</formula>
    </cfRule>
  </conditionalFormatting>
  <conditionalFormatting sqref="N1735:N2022">
    <cfRule type="expression" dxfId="233" priority="226">
      <formula>$N1735&lt;TODAY()</formula>
    </cfRule>
  </conditionalFormatting>
  <conditionalFormatting sqref="L1753">
    <cfRule type="cellIs" dxfId="232" priority="222" operator="equal">
      <formula>"Trocar"</formula>
    </cfRule>
    <cfRule type="cellIs" dxfId="231" priority="223" operator="equal">
      <formula>"Ruim"</formula>
    </cfRule>
    <cfRule type="cellIs" dxfId="230" priority="224" operator="equal">
      <formula>"Médio"</formula>
    </cfRule>
    <cfRule type="cellIs" dxfId="229" priority="225" operator="equal">
      <formula>"Bom"</formula>
    </cfRule>
  </conditionalFormatting>
  <conditionalFormatting sqref="L1753:L1770">
    <cfRule type="cellIs" dxfId="228" priority="218" operator="equal">
      <formula>"Trocar"</formula>
    </cfRule>
    <cfRule type="cellIs" dxfId="227" priority="219" operator="equal">
      <formula>"Ruim"</formula>
    </cfRule>
    <cfRule type="cellIs" dxfId="226" priority="220" operator="equal">
      <formula>"Médio"</formula>
    </cfRule>
    <cfRule type="cellIs" dxfId="225" priority="221" operator="equal">
      <formula>"Bom"</formula>
    </cfRule>
  </conditionalFormatting>
  <conditionalFormatting sqref="N1753:N1770">
    <cfRule type="expression" dxfId="224" priority="217">
      <formula>$N1753&lt;TODAY()</formula>
    </cfRule>
  </conditionalFormatting>
  <conditionalFormatting sqref="L1753:L1770">
    <cfRule type="cellIs" dxfId="223" priority="213" operator="equal">
      <formula>"Trocar"</formula>
    </cfRule>
    <cfRule type="cellIs" dxfId="222" priority="214" operator="equal">
      <formula>"Ruim"</formula>
    </cfRule>
    <cfRule type="cellIs" dxfId="221" priority="215" operator="equal">
      <formula>"Médio"</formula>
    </cfRule>
    <cfRule type="cellIs" dxfId="220" priority="216" operator="equal">
      <formula>"Bom"</formula>
    </cfRule>
  </conditionalFormatting>
  <conditionalFormatting sqref="N1753:N1770">
    <cfRule type="expression" dxfId="219" priority="212">
      <formula>$N1753&lt;TODAY()</formula>
    </cfRule>
  </conditionalFormatting>
  <conditionalFormatting sqref="L1771:L1788">
    <cfRule type="cellIs" dxfId="218" priority="208" operator="equal">
      <formula>"Trocar"</formula>
    </cfRule>
    <cfRule type="cellIs" dxfId="217" priority="209" operator="equal">
      <formula>"Ruim"</formula>
    </cfRule>
    <cfRule type="cellIs" dxfId="216" priority="210" operator="equal">
      <formula>"Médio"</formula>
    </cfRule>
    <cfRule type="cellIs" dxfId="215" priority="211" operator="equal">
      <formula>"Bom"</formula>
    </cfRule>
  </conditionalFormatting>
  <conditionalFormatting sqref="N1771:N1788">
    <cfRule type="expression" dxfId="214" priority="207">
      <formula>$N1771&lt;TODAY()</formula>
    </cfRule>
  </conditionalFormatting>
  <conditionalFormatting sqref="L1789:L1806">
    <cfRule type="cellIs" dxfId="213" priority="203" operator="equal">
      <formula>"Trocar"</formula>
    </cfRule>
    <cfRule type="cellIs" dxfId="212" priority="204" operator="equal">
      <formula>"Ruim"</formula>
    </cfRule>
    <cfRule type="cellIs" dxfId="211" priority="205" operator="equal">
      <formula>"Médio"</formula>
    </cfRule>
    <cfRule type="cellIs" dxfId="210" priority="206" operator="equal">
      <formula>"Bom"</formula>
    </cfRule>
  </conditionalFormatting>
  <conditionalFormatting sqref="N1789:N1806">
    <cfRule type="expression" dxfId="209" priority="202">
      <formula>$N1789&lt;TODAY()</formula>
    </cfRule>
  </conditionalFormatting>
  <conditionalFormatting sqref="L1807:L1824">
    <cfRule type="cellIs" dxfId="208" priority="198" operator="equal">
      <formula>"Trocar"</formula>
    </cfRule>
    <cfRule type="cellIs" dxfId="207" priority="199" operator="equal">
      <formula>"Ruim"</formula>
    </cfRule>
    <cfRule type="cellIs" dxfId="206" priority="200" operator="equal">
      <formula>"Médio"</formula>
    </cfRule>
    <cfRule type="cellIs" dxfId="205" priority="201" operator="equal">
      <formula>"Bom"</formula>
    </cfRule>
  </conditionalFormatting>
  <conditionalFormatting sqref="N1807:N1824">
    <cfRule type="expression" dxfId="204" priority="197">
      <formula>$N1807&lt;TODAY()</formula>
    </cfRule>
  </conditionalFormatting>
  <conditionalFormatting sqref="L1825:L1842">
    <cfRule type="cellIs" dxfId="203" priority="193" operator="equal">
      <formula>"Trocar"</formula>
    </cfRule>
    <cfRule type="cellIs" dxfId="202" priority="194" operator="equal">
      <formula>"Ruim"</formula>
    </cfRule>
    <cfRule type="cellIs" dxfId="201" priority="195" operator="equal">
      <formula>"Médio"</formula>
    </cfRule>
    <cfRule type="cellIs" dxfId="200" priority="196" operator="equal">
      <formula>"Bom"</formula>
    </cfRule>
  </conditionalFormatting>
  <conditionalFormatting sqref="N1825:N1842">
    <cfRule type="expression" dxfId="199" priority="192">
      <formula>$N1825&lt;TODAY()</formula>
    </cfRule>
  </conditionalFormatting>
  <conditionalFormatting sqref="L1843:L1860">
    <cfRule type="cellIs" dxfId="198" priority="188" operator="equal">
      <formula>"Trocar"</formula>
    </cfRule>
    <cfRule type="cellIs" dxfId="197" priority="189" operator="equal">
      <formula>"Ruim"</formula>
    </cfRule>
    <cfRule type="cellIs" dxfId="196" priority="190" operator="equal">
      <formula>"Médio"</formula>
    </cfRule>
    <cfRule type="cellIs" dxfId="195" priority="191" operator="equal">
      <formula>"Bom"</formula>
    </cfRule>
  </conditionalFormatting>
  <conditionalFormatting sqref="N1843:N1860">
    <cfRule type="expression" dxfId="194" priority="187">
      <formula>$N1843&lt;TODAY()</formula>
    </cfRule>
  </conditionalFormatting>
  <conditionalFormatting sqref="L1861:L1878">
    <cfRule type="cellIs" dxfId="193" priority="183" operator="equal">
      <formula>"Trocar"</formula>
    </cfRule>
    <cfRule type="cellIs" dxfId="192" priority="184" operator="equal">
      <formula>"Ruim"</formula>
    </cfRule>
    <cfRule type="cellIs" dxfId="191" priority="185" operator="equal">
      <formula>"Médio"</formula>
    </cfRule>
    <cfRule type="cellIs" dxfId="190" priority="186" operator="equal">
      <formula>"Bom"</formula>
    </cfRule>
  </conditionalFormatting>
  <conditionalFormatting sqref="N1861:N1878">
    <cfRule type="expression" dxfId="189" priority="182">
      <formula>$N1861&lt;TODAY()</formula>
    </cfRule>
  </conditionalFormatting>
  <conditionalFormatting sqref="L1879:L2022">
    <cfRule type="cellIs" dxfId="188" priority="178" operator="equal">
      <formula>"Trocar"</formula>
    </cfRule>
    <cfRule type="cellIs" dxfId="187" priority="179" operator="equal">
      <formula>"Ruim"</formula>
    </cfRule>
    <cfRule type="cellIs" dxfId="186" priority="180" operator="equal">
      <formula>"Médio"</formula>
    </cfRule>
    <cfRule type="cellIs" dxfId="185" priority="181" operator="equal">
      <formula>"Bom"</formula>
    </cfRule>
  </conditionalFormatting>
  <conditionalFormatting sqref="N1879:N2022">
    <cfRule type="expression" dxfId="184" priority="177">
      <formula>$N1879&lt;TODAY()</formula>
    </cfRule>
  </conditionalFormatting>
  <conditionalFormatting sqref="L1897">
    <cfRule type="cellIs" dxfId="183" priority="173" operator="equal">
      <formula>"Trocar"</formula>
    </cfRule>
    <cfRule type="cellIs" dxfId="182" priority="174" operator="equal">
      <formula>"Ruim"</formula>
    </cfRule>
    <cfRule type="cellIs" dxfId="181" priority="175" operator="equal">
      <formula>"Médio"</formula>
    </cfRule>
    <cfRule type="cellIs" dxfId="180" priority="176" operator="equal">
      <formula>"Bom"</formula>
    </cfRule>
  </conditionalFormatting>
  <conditionalFormatting sqref="L1897:L1914">
    <cfRule type="cellIs" dxfId="179" priority="169" operator="equal">
      <formula>"Trocar"</formula>
    </cfRule>
    <cfRule type="cellIs" dxfId="178" priority="170" operator="equal">
      <formula>"Ruim"</formula>
    </cfRule>
    <cfRule type="cellIs" dxfId="177" priority="171" operator="equal">
      <formula>"Médio"</formula>
    </cfRule>
    <cfRule type="cellIs" dxfId="176" priority="172" operator="equal">
      <formula>"Bom"</formula>
    </cfRule>
  </conditionalFormatting>
  <conditionalFormatting sqref="N1897:N1914">
    <cfRule type="expression" dxfId="175" priority="168">
      <formula>$N1897&lt;TODAY()</formula>
    </cfRule>
  </conditionalFormatting>
  <conditionalFormatting sqref="L1897:L1914">
    <cfRule type="cellIs" dxfId="174" priority="164" operator="equal">
      <formula>"Trocar"</formula>
    </cfRule>
    <cfRule type="cellIs" dxfId="173" priority="165" operator="equal">
      <formula>"Ruim"</formula>
    </cfRule>
    <cfRule type="cellIs" dxfId="172" priority="166" operator="equal">
      <formula>"Médio"</formula>
    </cfRule>
    <cfRule type="cellIs" dxfId="171" priority="167" operator="equal">
      <formula>"Bom"</formula>
    </cfRule>
  </conditionalFormatting>
  <conditionalFormatting sqref="N1897:N1914">
    <cfRule type="expression" dxfId="170" priority="163">
      <formula>$N1897&lt;TODAY()</formula>
    </cfRule>
  </conditionalFormatting>
  <conditionalFormatting sqref="L1915:L1932">
    <cfRule type="cellIs" dxfId="169" priority="159" operator="equal">
      <formula>"Trocar"</formula>
    </cfRule>
    <cfRule type="cellIs" dxfId="168" priority="160" operator="equal">
      <formula>"Ruim"</formula>
    </cfRule>
    <cfRule type="cellIs" dxfId="167" priority="161" operator="equal">
      <formula>"Médio"</formula>
    </cfRule>
    <cfRule type="cellIs" dxfId="166" priority="162" operator="equal">
      <formula>"Bom"</formula>
    </cfRule>
  </conditionalFormatting>
  <conditionalFormatting sqref="N1915:N1932">
    <cfRule type="expression" dxfId="165" priority="158">
      <formula>$N1915&lt;TODAY()</formula>
    </cfRule>
  </conditionalFormatting>
  <conditionalFormatting sqref="L1933:L1950">
    <cfRule type="cellIs" dxfId="164" priority="154" operator="equal">
      <formula>"Trocar"</formula>
    </cfRule>
    <cfRule type="cellIs" dxfId="163" priority="155" operator="equal">
      <formula>"Ruim"</formula>
    </cfRule>
    <cfRule type="cellIs" dxfId="162" priority="156" operator="equal">
      <formula>"Médio"</formula>
    </cfRule>
    <cfRule type="cellIs" dxfId="161" priority="157" operator="equal">
      <formula>"Bom"</formula>
    </cfRule>
  </conditionalFormatting>
  <conditionalFormatting sqref="N1933:N1950">
    <cfRule type="expression" dxfId="160" priority="153">
      <formula>$N1933&lt;TODAY()</formula>
    </cfRule>
  </conditionalFormatting>
  <conditionalFormatting sqref="L1951:L1968">
    <cfRule type="cellIs" dxfId="159" priority="149" operator="equal">
      <formula>"Trocar"</formula>
    </cfRule>
    <cfRule type="cellIs" dxfId="158" priority="150" operator="equal">
      <formula>"Ruim"</formula>
    </cfRule>
    <cfRule type="cellIs" dxfId="157" priority="151" operator="equal">
      <formula>"Médio"</formula>
    </cfRule>
    <cfRule type="cellIs" dxfId="156" priority="152" operator="equal">
      <formula>"Bom"</formula>
    </cfRule>
  </conditionalFormatting>
  <conditionalFormatting sqref="N1951:N1968">
    <cfRule type="expression" dxfId="155" priority="148">
      <formula>$N1951&lt;TODAY()</formula>
    </cfRule>
  </conditionalFormatting>
  <conditionalFormatting sqref="L1969:L1986">
    <cfRule type="cellIs" dxfId="154" priority="144" operator="equal">
      <formula>"Trocar"</formula>
    </cfRule>
    <cfRule type="cellIs" dxfId="153" priority="145" operator="equal">
      <formula>"Ruim"</formula>
    </cfRule>
    <cfRule type="cellIs" dxfId="152" priority="146" operator="equal">
      <formula>"Médio"</formula>
    </cfRule>
    <cfRule type="cellIs" dxfId="151" priority="147" operator="equal">
      <formula>"Bom"</formula>
    </cfRule>
  </conditionalFormatting>
  <conditionalFormatting sqref="N1969:N1986">
    <cfRule type="expression" dxfId="150" priority="143">
      <formula>$N1969&lt;TODAY()</formula>
    </cfRule>
  </conditionalFormatting>
  <conditionalFormatting sqref="L1987:L2004">
    <cfRule type="cellIs" dxfId="149" priority="139" operator="equal">
      <formula>"Trocar"</formula>
    </cfRule>
    <cfRule type="cellIs" dxfId="148" priority="140" operator="equal">
      <formula>"Ruim"</formula>
    </cfRule>
    <cfRule type="cellIs" dxfId="147" priority="141" operator="equal">
      <formula>"Médio"</formula>
    </cfRule>
    <cfRule type="cellIs" dxfId="146" priority="142" operator="equal">
      <formula>"Bom"</formula>
    </cfRule>
  </conditionalFormatting>
  <conditionalFormatting sqref="N1987:N2004">
    <cfRule type="expression" dxfId="145" priority="138">
      <formula>$N1987&lt;TODAY()</formula>
    </cfRule>
  </conditionalFormatting>
  <conditionalFormatting sqref="L2005:L2022">
    <cfRule type="cellIs" dxfId="144" priority="134" operator="equal">
      <formula>"Trocar"</formula>
    </cfRule>
    <cfRule type="cellIs" dxfId="143" priority="135" operator="equal">
      <formula>"Ruim"</formula>
    </cfRule>
    <cfRule type="cellIs" dxfId="142" priority="136" operator="equal">
      <formula>"Médio"</formula>
    </cfRule>
    <cfRule type="cellIs" dxfId="141" priority="137" operator="equal">
      <formula>"Bom"</formula>
    </cfRule>
  </conditionalFormatting>
  <conditionalFormatting sqref="N2005:N2022">
    <cfRule type="expression" dxfId="140" priority="133">
      <formula>$N2005&lt;TODAY()</formula>
    </cfRule>
  </conditionalFormatting>
  <conditionalFormatting sqref="L1897">
    <cfRule type="cellIs" dxfId="139" priority="129" operator="equal">
      <formula>"Trocar"</formula>
    </cfRule>
    <cfRule type="cellIs" dxfId="138" priority="130" operator="equal">
      <formula>"Ruim"</formula>
    </cfRule>
    <cfRule type="cellIs" dxfId="137" priority="131" operator="equal">
      <formula>"Médio"</formula>
    </cfRule>
    <cfRule type="cellIs" dxfId="136" priority="132" operator="equal">
      <formula>"Bom"</formula>
    </cfRule>
  </conditionalFormatting>
  <conditionalFormatting sqref="L1897:L1914">
    <cfRule type="cellIs" dxfId="135" priority="125" operator="equal">
      <formula>"Trocar"</formula>
    </cfRule>
    <cfRule type="cellIs" dxfId="134" priority="126" operator="equal">
      <formula>"Ruim"</formula>
    </cfRule>
    <cfRule type="cellIs" dxfId="133" priority="127" operator="equal">
      <formula>"Médio"</formula>
    </cfRule>
    <cfRule type="cellIs" dxfId="132" priority="128" operator="equal">
      <formula>"Bom"</formula>
    </cfRule>
  </conditionalFormatting>
  <conditionalFormatting sqref="N1897:N1914">
    <cfRule type="expression" dxfId="131" priority="124">
      <formula>$N1897&lt;TODAY()</formula>
    </cfRule>
  </conditionalFormatting>
  <conditionalFormatting sqref="L1897:L1914">
    <cfRule type="cellIs" dxfId="130" priority="120" operator="equal">
      <formula>"Trocar"</formula>
    </cfRule>
    <cfRule type="cellIs" dxfId="129" priority="121" operator="equal">
      <formula>"Ruim"</formula>
    </cfRule>
    <cfRule type="cellIs" dxfId="128" priority="122" operator="equal">
      <formula>"Médio"</formula>
    </cfRule>
    <cfRule type="cellIs" dxfId="127" priority="123" operator="equal">
      <formula>"Bom"</formula>
    </cfRule>
  </conditionalFormatting>
  <conditionalFormatting sqref="N1897:N1914">
    <cfRule type="expression" dxfId="126" priority="119">
      <formula>$N1897&lt;TODAY()</formula>
    </cfRule>
  </conditionalFormatting>
  <conditionalFormatting sqref="L1915:L1932">
    <cfRule type="cellIs" dxfId="125" priority="115" operator="equal">
      <formula>"Trocar"</formula>
    </cfRule>
    <cfRule type="cellIs" dxfId="124" priority="116" operator="equal">
      <formula>"Ruim"</formula>
    </cfRule>
    <cfRule type="cellIs" dxfId="123" priority="117" operator="equal">
      <formula>"Médio"</formula>
    </cfRule>
    <cfRule type="cellIs" dxfId="122" priority="118" operator="equal">
      <formula>"Bom"</formula>
    </cfRule>
  </conditionalFormatting>
  <conditionalFormatting sqref="N1915:N1932">
    <cfRule type="expression" dxfId="121" priority="114">
      <formula>$N1915&lt;TODAY()</formula>
    </cfRule>
  </conditionalFormatting>
  <conditionalFormatting sqref="L1933:L1950">
    <cfRule type="cellIs" dxfId="120" priority="110" operator="equal">
      <formula>"Trocar"</formula>
    </cfRule>
    <cfRule type="cellIs" dxfId="119" priority="111" operator="equal">
      <formula>"Ruim"</formula>
    </cfRule>
    <cfRule type="cellIs" dxfId="118" priority="112" operator="equal">
      <formula>"Médio"</formula>
    </cfRule>
    <cfRule type="cellIs" dxfId="117" priority="113" operator="equal">
      <formula>"Bom"</formula>
    </cfRule>
  </conditionalFormatting>
  <conditionalFormatting sqref="N1933:N1950">
    <cfRule type="expression" dxfId="116" priority="109">
      <formula>$N1933&lt;TODAY()</formula>
    </cfRule>
  </conditionalFormatting>
  <conditionalFormatting sqref="L1951:L1968">
    <cfRule type="cellIs" dxfId="115" priority="105" operator="equal">
      <formula>"Trocar"</formula>
    </cfRule>
    <cfRule type="cellIs" dxfId="114" priority="106" operator="equal">
      <formula>"Ruim"</formula>
    </cfRule>
    <cfRule type="cellIs" dxfId="113" priority="107" operator="equal">
      <formula>"Médio"</formula>
    </cfRule>
    <cfRule type="cellIs" dxfId="112" priority="108" operator="equal">
      <formula>"Bom"</formula>
    </cfRule>
  </conditionalFormatting>
  <conditionalFormatting sqref="N1951:N1968">
    <cfRule type="expression" dxfId="111" priority="104">
      <formula>$N1951&lt;TODAY()</formula>
    </cfRule>
  </conditionalFormatting>
  <conditionalFormatting sqref="L1969:L1986">
    <cfRule type="cellIs" dxfId="110" priority="100" operator="equal">
      <formula>"Trocar"</formula>
    </cfRule>
    <cfRule type="cellIs" dxfId="109" priority="101" operator="equal">
      <formula>"Ruim"</formula>
    </cfRule>
    <cfRule type="cellIs" dxfId="108" priority="102" operator="equal">
      <formula>"Médio"</formula>
    </cfRule>
    <cfRule type="cellIs" dxfId="107" priority="103" operator="equal">
      <formula>"Bom"</formula>
    </cfRule>
  </conditionalFormatting>
  <conditionalFormatting sqref="N1969:N1986">
    <cfRule type="expression" dxfId="106" priority="99">
      <formula>$N1969&lt;TODAY()</formula>
    </cfRule>
  </conditionalFormatting>
  <conditionalFormatting sqref="L1987:L2004">
    <cfRule type="cellIs" dxfId="105" priority="95" operator="equal">
      <formula>"Trocar"</formula>
    </cfRule>
    <cfRule type="cellIs" dxfId="104" priority="96" operator="equal">
      <formula>"Ruim"</formula>
    </cfRule>
    <cfRule type="cellIs" dxfId="103" priority="97" operator="equal">
      <formula>"Médio"</formula>
    </cfRule>
    <cfRule type="cellIs" dxfId="102" priority="98" operator="equal">
      <formula>"Bom"</formula>
    </cfRule>
  </conditionalFormatting>
  <conditionalFormatting sqref="N1987:N2004">
    <cfRule type="expression" dxfId="101" priority="94">
      <formula>$N1987&lt;TODAY()</formula>
    </cfRule>
  </conditionalFormatting>
  <conditionalFormatting sqref="L2005:L2022">
    <cfRule type="cellIs" dxfId="100" priority="90" operator="equal">
      <formula>"Trocar"</formula>
    </cfRule>
    <cfRule type="cellIs" dxfId="99" priority="91" operator="equal">
      <formula>"Ruim"</formula>
    </cfRule>
    <cfRule type="cellIs" dxfId="98" priority="92" operator="equal">
      <formula>"Médio"</formula>
    </cfRule>
    <cfRule type="cellIs" dxfId="97" priority="93" operator="equal">
      <formula>"Bom"</formula>
    </cfRule>
  </conditionalFormatting>
  <conditionalFormatting sqref="N2005:N2022">
    <cfRule type="expression" dxfId="96" priority="89">
      <formula>$N2005&lt;TODAY()</formula>
    </cfRule>
  </conditionalFormatting>
  <conditionalFormatting sqref="L1897">
    <cfRule type="cellIs" dxfId="95" priority="85" operator="equal">
      <formula>"Trocar"</formula>
    </cfRule>
    <cfRule type="cellIs" dxfId="94" priority="86" operator="equal">
      <formula>"Ruim"</formula>
    </cfRule>
    <cfRule type="cellIs" dxfId="93" priority="87" operator="equal">
      <formula>"Médio"</formula>
    </cfRule>
    <cfRule type="cellIs" dxfId="92" priority="88" operator="equal">
      <formula>"Bom"</formula>
    </cfRule>
  </conditionalFormatting>
  <conditionalFormatting sqref="L1897:L1914">
    <cfRule type="cellIs" dxfId="91" priority="81" operator="equal">
      <formula>"Trocar"</formula>
    </cfRule>
    <cfRule type="cellIs" dxfId="90" priority="82" operator="equal">
      <formula>"Ruim"</formula>
    </cfRule>
    <cfRule type="cellIs" dxfId="89" priority="83" operator="equal">
      <formula>"Médio"</formula>
    </cfRule>
    <cfRule type="cellIs" dxfId="88" priority="84" operator="equal">
      <formula>"Bom"</formula>
    </cfRule>
  </conditionalFormatting>
  <conditionalFormatting sqref="N1897:N1914">
    <cfRule type="expression" dxfId="87" priority="80">
      <formula>$N1897&lt;TODAY()</formula>
    </cfRule>
  </conditionalFormatting>
  <conditionalFormatting sqref="L1897:L1914">
    <cfRule type="cellIs" dxfId="86" priority="76" operator="equal">
      <formula>"Trocar"</formula>
    </cfRule>
    <cfRule type="cellIs" dxfId="85" priority="77" operator="equal">
      <formula>"Ruim"</formula>
    </cfRule>
    <cfRule type="cellIs" dxfId="84" priority="78" operator="equal">
      <formula>"Médio"</formula>
    </cfRule>
    <cfRule type="cellIs" dxfId="83" priority="79" operator="equal">
      <formula>"Bom"</formula>
    </cfRule>
  </conditionalFormatting>
  <conditionalFormatting sqref="N1897:N1914">
    <cfRule type="expression" dxfId="82" priority="75">
      <formula>$N1897&lt;TODAY()</formula>
    </cfRule>
  </conditionalFormatting>
  <conditionalFormatting sqref="L1915:L1932">
    <cfRule type="cellIs" dxfId="81" priority="71" operator="equal">
      <formula>"Trocar"</formula>
    </cfRule>
    <cfRule type="cellIs" dxfId="80" priority="72" operator="equal">
      <formula>"Ruim"</formula>
    </cfRule>
    <cfRule type="cellIs" dxfId="79" priority="73" operator="equal">
      <formula>"Médio"</formula>
    </cfRule>
    <cfRule type="cellIs" dxfId="78" priority="74" operator="equal">
      <formula>"Bom"</formula>
    </cfRule>
  </conditionalFormatting>
  <conditionalFormatting sqref="N1915:N1932">
    <cfRule type="expression" dxfId="77" priority="70">
      <formula>$N1915&lt;TODAY()</formula>
    </cfRule>
  </conditionalFormatting>
  <conditionalFormatting sqref="L1933:L1950">
    <cfRule type="cellIs" dxfId="76" priority="66" operator="equal">
      <formula>"Trocar"</formula>
    </cfRule>
    <cfRule type="cellIs" dxfId="75" priority="67" operator="equal">
      <formula>"Ruim"</formula>
    </cfRule>
    <cfRule type="cellIs" dxfId="74" priority="68" operator="equal">
      <formula>"Médio"</formula>
    </cfRule>
    <cfRule type="cellIs" dxfId="73" priority="69" operator="equal">
      <formula>"Bom"</formula>
    </cfRule>
  </conditionalFormatting>
  <conditionalFormatting sqref="N1933:N1950">
    <cfRule type="expression" dxfId="72" priority="65">
      <formula>$N1933&lt;TODAY()</formula>
    </cfRule>
  </conditionalFormatting>
  <conditionalFormatting sqref="L1951:L1968">
    <cfRule type="cellIs" dxfId="71" priority="61" operator="equal">
      <formula>"Trocar"</formula>
    </cfRule>
    <cfRule type="cellIs" dxfId="70" priority="62" operator="equal">
      <formula>"Ruim"</formula>
    </cfRule>
    <cfRule type="cellIs" dxfId="69" priority="63" operator="equal">
      <formula>"Médio"</formula>
    </cfRule>
    <cfRule type="cellIs" dxfId="68" priority="64" operator="equal">
      <formula>"Bom"</formula>
    </cfRule>
  </conditionalFormatting>
  <conditionalFormatting sqref="N1951:N1968">
    <cfRule type="expression" dxfId="67" priority="60">
      <formula>$N1951&lt;TODAY()</formula>
    </cfRule>
  </conditionalFormatting>
  <conditionalFormatting sqref="L1969:L1986">
    <cfRule type="cellIs" dxfId="66" priority="56" operator="equal">
      <formula>"Trocar"</formula>
    </cfRule>
    <cfRule type="cellIs" dxfId="65" priority="57" operator="equal">
      <formula>"Ruim"</formula>
    </cfRule>
    <cfRule type="cellIs" dxfId="64" priority="58" operator="equal">
      <formula>"Médio"</formula>
    </cfRule>
    <cfRule type="cellIs" dxfId="63" priority="59" operator="equal">
      <formula>"Bom"</formula>
    </cfRule>
  </conditionalFormatting>
  <conditionalFormatting sqref="N1969:N1986">
    <cfRule type="expression" dxfId="62" priority="55">
      <formula>$N1969&lt;TODAY()</formula>
    </cfRule>
  </conditionalFormatting>
  <conditionalFormatting sqref="L1987:L2004">
    <cfRule type="cellIs" dxfId="61" priority="51" operator="equal">
      <formula>"Trocar"</formula>
    </cfRule>
    <cfRule type="cellIs" dxfId="60" priority="52" operator="equal">
      <formula>"Ruim"</formula>
    </cfRule>
    <cfRule type="cellIs" dxfId="59" priority="53" operator="equal">
      <formula>"Médio"</formula>
    </cfRule>
    <cfRule type="cellIs" dxfId="58" priority="54" operator="equal">
      <formula>"Bom"</formula>
    </cfRule>
  </conditionalFormatting>
  <conditionalFormatting sqref="N1987:N2004">
    <cfRule type="expression" dxfId="57" priority="50">
      <formula>$N1987&lt;TODAY()</formula>
    </cfRule>
  </conditionalFormatting>
  <conditionalFormatting sqref="L2005:L2022">
    <cfRule type="cellIs" dxfId="56" priority="46" operator="equal">
      <formula>"Trocar"</formula>
    </cfRule>
    <cfRule type="cellIs" dxfId="55" priority="47" operator="equal">
      <formula>"Ruim"</formula>
    </cfRule>
    <cfRule type="cellIs" dxfId="54" priority="48" operator="equal">
      <formula>"Médio"</formula>
    </cfRule>
    <cfRule type="cellIs" dxfId="53" priority="49" operator="equal">
      <formula>"Bom"</formula>
    </cfRule>
  </conditionalFormatting>
  <conditionalFormatting sqref="N2005:N2022">
    <cfRule type="expression" dxfId="52" priority="45">
      <formula>$N2005&lt;TODAY()</formula>
    </cfRule>
  </conditionalFormatting>
  <conditionalFormatting sqref="L1897">
    <cfRule type="cellIs" dxfId="51" priority="41" operator="equal">
      <formula>"Trocar"</formula>
    </cfRule>
    <cfRule type="cellIs" dxfId="50" priority="42" operator="equal">
      <formula>"Ruim"</formula>
    </cfRule>
    <cfRule type="cellIs" dxfId="49" priority="43" operator="equal">
      <formula>"Médio"</formula>
    </cfRule>
    <cfRule type="cellIs" dxfId="48" priority="44" operator="equal">
      <formula>"Bom"</formula>
    </cfRule>
  </conditionalFormatting>
  <conditionalFormatting sqref="L1897:L1914">
    <cfRule type="cellIs" dxfId="47" priority="37" operator="equal">
      <formula>"Trocar"</formula>
    </cfRule>
    <cfRule type="cellIs" dxfId="46" priority="38" operator="equal">
      <formula>"Ruim"</formula>
    </cfRule>
    <cfRule type="cellIs" dxfId="45" priority="39" operator="equal">
      <formula>"Médio"</formula>
    </cfRule>
    <cfRule type="cellIs" dxfId="44" priority="40" operator="equal">
      <formula>"Bom"</formula>
    </cfRule>
  </conditionalFormatting>
  <conditionalFormatting sqref="N1897:N1914">
    <cfRule type="expression" dxfId="43" priority="36">
      <formula>$N1897&lt;TODAY()</formula>
    </cfRule>
  </conditionalFormatting>
  <conditionalFormatting sqref="L1897:L1914">
    <cfRule type="cellIs" dxfId="42" priority="32" operator="equal">
      <formula>"Trocar"</formula>
    </cfRule>
    <cfRule type="cellIs" dxfId="41" priority="33" operator="equal">
      <formula>"Ruim"</formula>
    </cfRule>
    <cfRule type="cellIs" dxfId="40" priority="34" operator="equal">
      <formula>"Médio"</formula>
    </cfRule>
    <cfRule type="cellIs" dxfId="39" priority="35" operator="equal">
      <formula>"Bom"</formula>
    </cfRule>
  </conditionalFormatting>
  <conditionalFormatting sqref="N1897:N1914">
    <cfRule type="expression" dxfId="38" priority="31">
      <formula>$N1897&lt;TODAY()</formula>
    </cfRule>
  </conditionalFormatting>
  <conditionalFormatting sqref="L1915:L1932">
    <cfRule type="cellIs" dxfId="37" priority="27" operator="equal">
      <formula>"Trocar"</formula>
    </cfRule>
    <cfRule type="cellIs" dxfId="36" priority="28" operator="equal">
      <formula>"Ruim"</formula>
    </cfRule>
    <cfRule type="cellIs" dxfId="35" priority="29" operator="equal">
      <formula>"Médio"</formula>
    </cfRule>
    <cfRule type="cellIs" dxfId="34" priority="30" operator="equal">
      <formula>"Bom"</formula>
    </cfRule>
  </conditionalFormatting>
  <conditionalFormatting sqref="N1915:N1932">
    <cfRule type="expression" dxfId="33" priority="26">
      <formula>$N1915&lt;TODAY()</formula>
    </cfRule>
  </conditionalFormatting>
  <conditionalFormatting sqref="L1933:L1950">
    <cfRule type="cellIs" dxfId="32" priority="22" operator="equal">
      <formula>"Trocar"</formula>
    </cfRule>
    <cfRule type="cellIs" dxfId="31" priority="23" operator="equal">
      <formula>"Ruim"</formula>
    </cfRule>
    <cfRule type="cellIs" dxfId="30" priority="24" operator="equal">
      <formula>"Médio"</formula>
    </cfRule>
    <cfRule type="cellIs" dxfId="29" priority="25" operator="equal">
      <formula>"Bom"</formula>
    </cfRule>
  </conditionalFormatting>
  <conditionalFormatting sqref="N1933:N1950">
    <cfRule type="expression" dxfId="28" priority="21">
      <formula>$N1933&lt;TODAY()</formula>
    </cfRule>
  </conditionalFormatting>
  <conditionalFormatting sqref="L1951:L1968">
    <cfRule type="cellIs" dxfId="27" priority="17" operator="equal">
      <formula>"Trocar"</formula>
    </cfRule>
    <cfRule type="cellIs" dxfId="26" priority="18" operator="equal">
      <formula>"Ruim"</formula>
    </cfRule>
    <cfRule type="cellIs" dxfId="25" priority="19" operator="equal">
      <formula>"Médio"</formula>
    </cfRule>
    <cfRule type="cellIs" dxfId="24" priority="20" operator="equal">
      <formula>"Bom"</formula>
    </cfRule>
  </conditionalFormatting>
  <conditionalFormatting sqref="N1951:N1968">
    <cfRule type="expression" dxfId="23" priority="16">
      <formula>$N1951&lt;TODAY()</formula>
    </cfRule>
  </conditionalFormatting>
  <conditionalFormatting sqref="L1969:L1986">
    <cfRule type="cellIs" dxfId="22" priority="12" operator="equal">
      <formula>"Trocar"</formula>
    </cfRule>
    <cfRule type="cellIs" dxfId="21" priority="13" operator="equal">
      <formula>"Ruim"</formula>
    </cfRule>
    <cfRule type="cellIs" dxfId="20" priority="14" operator="equal">
      <formula>"Médio"</formula>
    </cfRule>
    <cfRule type="cellIs" dxfId="19" priority="15" operator="equal">
      <formula>"Bom"</formula>
    </cfRule>
  </conditionalFormatting>
  <conditionalFormatting sqref="N1969:N1986">
    <cfRule type="expression" dxfId="18" priority="11">
      <formula>$N1969&lt;TODAY()</formula>
    </cfRule>
  </conditionalFormatting>
  <conditionalFormatting sqref="L1987:L2004">
    <cfRule type="cellIs" dxfId="17" priority="7" operator="equal">
      <formula>"Trocar"</formula>
    </cfRule>
    <cfRule type="cellIs" dxfId="16" priority="8" operator="equal">
      <formula>"Ruim"</formula>
    </cfRule>
    <cfRule type="cellIs" dxfId="15" priority="9" operator="equal">
      <formula>"Médio"</formula>
    </cfRule>
    <cfRule type="cellIs" dxfId="14" priority="10" operator="equal">
      <formula>"Bom"</formula>
    </cfRule>
  </conditionalFormatting>
  <conditionalFormatting sqref="N1987:N2004">
    <cfRule type="expression" dxfId="13" priority="6">
      <formula>$N1987&lt;TODAY()</formula>
    </cfRule>
  </conditionalFormatting>
  <conditionalFormatting sqref="L2005:L2022">
    <cfRule type="cellIs" dxfId="12" priority="2" operator="equal">
      <formula>"Trocar"</formula>
    </cfRule>
    <cfRule type="cellIs" dxfId="11" priority="3" operator="equal">
      <formula>"Ruim"</formula>
    </cfRule>
    <cfRule type="cellIs" dxfId="10" priority="4" operator="equal">
      <formula>"Médio"</formula>
    </cfRule>
    <cfRule type="cellIs" dxfId="9" priority="5" operator="equal">
      <formula>"Bom"</formula>
    </cfRule>
  </conditionalFormatting>
  <conditionalFormatting sqref="N2005:N2022">
    <cfRule type="expression" dxfId="8" priority="1">
      <formula>$N2005&lt;TODAY()</formula>
    </cfRule>
  </conditionalFormatting>
  <dataValidations count="3">
    <dataValidation type="list" allowBlank="1" showInputMessage="1" showErrorMessage="1" sqref="B2:B2022" xr:uid="{00000000-0002-0000-0200-000000000000}">
      <formula1>Categoria</formula1>
    </dataValidation>
    <dataValidation type="list" allowBlank="1" showInputMessage="1" showErrorMessage="1" sqref="I2:I2022" xr:uid="{00000000-0002-0000-0200-000001000000}">
      <formula1>Departamento</formula1>
    </dataValidation>
    <dataValidation type="list" allowBlank="1" showInputMessage="1" showErrorMessage="1" sqref="L2:L2022" xr:uid="{00000000-0002-0000-0200-000002000000}">
      <formula1>"Bom,Médio,Ruim,Trocar"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>
    <tabColor theme="8" tint="-0.249977111117893"/>
  </sheetPr>
  <dimension ref="A1:G34"/>
  <sheetViews>
    <sheetView showGridLines="0" zoomScale="96" zoomScaleNormal="81" workbookViewId="0">
      <selection activeCell="J14" sqref="J14"/>
    </sheetView>
  </sheetViews>
  <sheetFormatPr defaultRowHeight="15" x14ac:dyDescent="0.25"/>
  <cols>
    <col min="1" max="1" width="35.7109375" bestFit="1" customWidth="1"/>
    <col min="2" max="2" width="7.7109375" customWidth="1"/>
    <col min="3" max="3" width="12.85546875" customWidth="1"/>
    <col min="4" max="4" width="11" customWidth="1"/>
    <col min="5" max="5" width="8.85546875" customWidth="1"/>
    <col min="6" max="6" width="12.140625" bestFit="1" customWidth="1"/>
    <col min="7" max="7" width="15.7109375" bestFit="1" customWidth="1"/>
  </cols>
  <sheetData>
    <row r="1" spans="1:7" ht="28.5" customHeight="1" x14ac:dyDescent="0.25">
      <c r="A1" s="4" t="s">
        <v>71</v>
      </c>
      <c r="B1" s="17"/>
      <c r="C1" s="17"/>
      <c r="D1" s="17"/>
      <c r="E1" s="17"/>
      <c r="F1" s="17"/>
    </row>
    <row r="2" spans="1:7" x14ac:dyDescent="0.25">
      <c r="B2" s="12" t="s">
        <v>73</v>
      </c>
    </row>
    <row r="3" spans="1:7" x14ac:dyDescent="0.25">
      <c r="A3" s="12" t="s">
        <v>70</v>
      </c>
      <c r="B3" t="s">
        <v>65</v>
      </c>
      <c r="C3" t="s">
        <v>66</v>
      </c>
      <c r="D3" t="s">
        <v>67</v>
      </c>
      <c r="E3" t="s">
        <v>68</v>
      </c>
      <c r="F3" t="s">
        <v>69</v>
      </c>
      <c r="G3" t="s">
        <v>72</v>
      </c>
    </row>
    <row r="4" spans="1:7" x14ac:dyDescent="0.25">
      <c r="A4" s="13" t="s">
        <v>9</v>
      </c>
      <c r="B4">
        <v>1</v>
      </c>
      <c r="C4" s="15">
        <v>2500</v>
      </c>
      <c r="D4" s="16">
        <v>-2063.0136986301368</v>
      </c>
      <c r="E4">
        <v>5</v>
      </c>
      <c r="F4" s="7">
        <v>9.1260273972602732</v>
      </c>
      <c r="G4" s="6">
        <v>45293</v>
      </c>
    </row>
    <row r="5" spans="1:7" x14ac:dyDescent="0.25">
      <c r="A5" s="19" t="s">
        <v>18</v>
      </c>
      <c r="B5">
        <v>1</v>
      </c>
      <c r="C5" s="15">
        <v>2500</v>
      </c>
      <c r="D5" s="16">
        <v>-2063.0136986301368</v>
      </c>
      <c r="E5">
        <v>5</v>
      </c>
      <c r="F5" s="7">
        <v>9.1260273972602732</v>
      </c>
      <c r="G5" s="6">
        <v>45293</v>
      </c>
    </row>
    <row r="6" spans="1:7" x14ac:dyDescent="0.25">
      <c r="A6" s="20" t="s">
        <v>46</v>
      </c>
      <c r="B6">
        <v>1</v>
      </c>
      <c r="C6" s="15">
        <v>2500</v>
      </c>
      <c r="D6" s="16">
        <v>-2063.0136986301368</v>
      </c>
      <c r="E6">
        <v>5</v>
      </c>
      <c r="F6" s="7">
        <v>9.1260273972602732</v>
      </c>
      <c r="G6" s="6">
        <v>45293</v>
      </c>
    </row>
    <row r="7" spans="1:7" x14ac:dyDescent="0.25">
      <c r="A7" s="21" t="s">
        <v>30</v>
      </c>
      <c r="B7">
        <v>1</v>
      </c>
      <c r="C7" s="15">
        <v>2500</v>
      </c>
      <c r="D7" s="16">
        <v>-2063.0136986301368</v>
      </c>
      <c r="E7">
        <v>5</v>
      </c>
      <c r="F7" s="7">
        <v>9.1260273972602732</v>
      </c>
      <c r="G7" s="6">
        <v>45293</v>
      </c>
    </row>
    <row r="8" spans="1:7" x14ac:dyDescent="0.25">
      <c r="A8" s="13" t="s">
        <v>4</v>
      </c>
      <c r="B8">
        <v>1</v>
      </c>
      <c r="C8" s="15">
        <v>1000000</v>
      </c>
      <c r="D8" s="16">
        <v>34520.547945205471</v>
      </c>
      <c r="E8">
        <v>25</v>
      </c>
      <c r="F8" s="7">
        <v>24.136986301369863</v>
      </c>
      <c r="G8" s="6">
        <v>45298</v>
      </c>
    </row>
    <row r="9" spans="1:7" x14ac:dyDescent="0.25">
      <c r="A9" s="19" t="s">
        <v>39</v>
      </c>
      <c r="B9">
        <v>1</v>
      </c>
      <c r="C9" s="15">
        <v>1000000</v>
      </c>
      <c r="D9" s="16">
        <v>34520.547945205471</v>
      </c>
      <c r="E9">
        <v>25</v>
      </c>
      <c r="F9" s="7">
        <v>24.136986301369863</v>
      </c>
      <c r="G9" s="6">
        <v>45298</v>
      </c>
    </row>
    <row r="10" spans="1:7" x14ac:dyDescent="0.25">
      <c r="A10" s="20" t="s">
        <v>46</v>
      </c>
      <c r="B10">
        <v>1</v>
      </c>
      <c r="C10" s="15">
        <v>1000000</v>
      </c>
      <c r="D10" s="16">
        <v>34520.547945205471</v>
      </c>
      <c r="E10">
        <v>25</v>
      </c>
      <c r="F10" s="7">
        <v>24.136986301369863</v>
      </c>
      <c r="G10" s="6">
        <v>45298</v>
      </c>
    </row>
    <row r="11" spans="1:7" x14ac:dyDescent="0.25">
      <c r="A11" s="21" t="s">
        <v>38</v>
      </c>
      <c r="B11">
        <v>1</v>
      </c>
      <c r="C11" s="15">
        <v>1000000</v>
      </c>
      <c r="D11" s="16">
        <v>34520.547945205471</v>
      </c>
      <c r="E11">
        <v>25</v>
      </c>
      <c r="F11" s="7">
        <v>24.136986301369863</v>
      </c>
      <c r="G11" s="6">
        <v>45298</v>
      </c>
    </row>
    <row r="12" spans="1:7" x14ac:dyDescent="0.25">
      <c r="A12" s="13" t="s">
        <v>7</v>
      </c>
      <c r="B12">
        <v>1</v>
      </c>
      <c r="C12" s="15">
        <v>1200</v>
      </c>
      <c r="D12" s="16">
        <v>-1299.6164383561645</v>
      </c>
      <c r="E12">
        <v>10</v>
      </c>
      <c r="F12" s="7">
        <v>20.830136986301369</v>
      </c>
      <c r="G12" s="6">
        <v>45334</v>
      </c>
    </row>
    <row r="13" spans="1:7" x14ac:dyDescent="0.25">
      <c r="A13" s="19" t="s">
        <v>18</v>
      </c>
      <c r="B13">
        <v>1</v>
      </c>
      <c r="C13" s="15">
        <v>1200</v>
      </c>
      <c r="D13" s="16">
        <v>-1299.6164383561645</v>
      </c>
      <c r="E13">
        <v>10</v>
      </c>
      <c r="F13" s="7">
        <v>20.830136986301369</v>
      </c>
      <c r="G13" s="6">
        <v>45334</v>
      </c>
    </row>
    <row r="14" spans="1:7" x14ac:dyDescent="0.25">
      <c r="A14" s="20" t="s">
        <v>47</v>
      </c>
      <c r="B14">
        <v>1</v>
      </c>
      <c r="C14" s="15">
        <v>1200</v>
      </c>
      <c r="D14" s="16">
        <v>-1299.6164383561645</v>
      </c>
      <c r="E14">
        <v>10</v>
      </c>
      <c r="F14" s="7">
        <v>20.830136986301369</v>
      </c>
      <c r="G14" s="6">
        <v>45334</v>
      </c>
    </row>
    <row r="15" spans="1:7" x14ac:dyDescent="0.25">
      <c r="A15" s="21" t="s">
        <v>43</v>
      </c>
      <c r="B15">
        <v>1</v>
      </c>
      <c r="C15" s="15">
        <v>1200</v>
      </c>
      <c r="D15" s="16">
        <v>-1299.6164383561645</v>
      </c>
      <c r="E15">
        <v>10</v>
      </c>
      <c r="F15" s="7">
        <v>20.830136986301369</v>
      </c>
      <c r="G15" s="6">
        <v>45334</v>
      </c>
    </row>
    <row r="16" spans="1:7" x14ac:dyDescent="0.25">
      <c r="A16" s="13" t="s">
        <v>8</v>
      </c>
      <c r="B16">
        <v>2</v>
      </c>
      <c r="C16" s="15">
        <v>44000</v>
      </c>
      <c r="D16" s="16">
        <v>-107512.32876712328</v>
      </c>
      <c r="E16">
        <v>5</v>
      </c>
      <c r="F16" s="7">
        <v>17.243835616438353</v>
      </c>
      <c r="G16" s="6">
        <v>45376</v>
      </c>
    </row>
    <row r="17" spans="1:7" x14ac:dyDescent="0.25">
      <c r="A17" s="19" t="s">
        <v>39</v>
      </c>
      <c r="B17">
        <v>2</v>
      </c>
      <c r="C17" s="15">
        <v>44000</v>
      </c>
      <c r="D17" s="16">
        <v>-107512.32876712328</v>
      </c>
      <c r="E17">
        <v>5</v>
      </c>
      <c r="F17" s="7">
        <v>17.243835616438353</v>
      </c>
      <c r="G17" s="6">
        <v>45376</v>
      </c>
    </row>
    <row r="18" spans="1:7" x14ac:dyDescent="0.25">
      <c r="A18" s="20" t="s">
        <v>55</v>
      </c>
      <c r="B18">
        <v>1</v>
      </c>
      <c r="C18" s="15">
        <v>23000</v>
      </c>
      <c r="D18" s="16">
        <v>-53637.260273972599</v>
      </c>
      <c r="E18">
        <v>5</v>
      </c>
      <c r="F18" s="7">
        <v>16.660273972602738</v>
      </c>
      <c r="G18" s="6">
        <v>45376</v>
      </c>
    </row>
    <row r="19" spans="1:7" x14ac:dyDescent="0.25">
      <c r="A19" s="21" t="s">
        <v>49</v>
      </c>
      <c r="B19">
        <v>1</v>
      </c>
      <c r="C19" s="15">
        <v>23000</v>
      </c>
      <c r="D19" s="16">
        <v>-53637.260273972599</v>
      </c>
      <c r="E19">
        <v>5</v>
      </c>
      <c r="F19" s="7">
        <v>16.660273972602738</v>
      </c>
      <c r="G19" s="6">
        <v>45376</v>
      </c>
    </row>
    <row r="20" spans="1:7" x14ac:dyDescent="0.25">
      <c r="A20" s="20" t="s">
        <v>60</v>
      </c>
      <c r="B20">
        <v>1</v>
      </c>
      <c r="C20" s="15">
        <v>21000</v>
      </c>
      <c r="D20" s="16">
        <v>-53875.068493150684</v>
      </c>
      <c r="E20">
        <v>5</v>
      </c>
      <c r="F20" s="7">
        <v>17.827397260273973</v>
      </c>
      <c r="G20" s="6">
        <v>45377</v>
      </c>
    </row>
    <row r="21" spans="1:7" x14ac:dyDescent="0.25">
      <c r="A21" s="21" t="s">
        <v>56</v>
      </c>
      <c r="B21">
        <v>1</v>
      </c>
      <c r="C21" s="15">
        <v>21000</v>
      </c>
      <c r="D21" s="16">
        <v>-53875.068493150684</v>
      </c>
      <c r="E21">
        <v>5</v>
      </c>
      <c r="F21" s="7">
        <v>17.827397260273973</v>
      </c>
      <c r="G21" s="6">
        <v>45377</v>
      </c>
    </row>
    <row r="22" spans="1:7" x14ac:dyDescent="0.25">
      <c r="A22" s="13" t="s">
        <v>61</v>
      </c>
      <c r="C22" s="15"/>
      <c r="D22" s="16">
        <v>0</v>
      </c>
      <c r="F22" s="7"/>
      <c r="G22" s="6">
        <v>0</v>
      </c>
    </row>
    <row r="23" spans="1:7" x14ac:dyDescent="0.25">
      <c r="A23" s="19" t="s">
        <v>61</v>
      </c>
      <c r="C23" s="15"/>
      <c r="D23" s="16">
        <v>0</v>
      </c>
      <c r="F23" s="7"/>
      <c r="G23" s="6">
        <v>0</v>
      </c>
    </row>
    <row r="24" spans="1:7" x14ac:dyDescent="0.25">
      <c r="A24" s="20" t="s">
        <v>46</v>
      </c>
      <c r="C24" s="15"/>
      <c r="D24" s="16">
        <v>0</v>
      </c>
      <c r="F24" s="7"/>
      <c r="G24" s="6">
        <v>0</v>
      </c>
    </row>
    <row r="25" spans="1:7" x14ac:dyDescent="0.25">
      <c r="A25" s="21" t="s">
        <v>61</v>
      </c>
      <c r="C25" s="15"/>
      <c r="D25" s="16">
        <v>0</v>
      </c>
      <c r="F25" s="7"/>
      <c r="G25" s="6">
        <v>0</v>
      </c>
    </row>
    <row r="26" spans="1:7" x14ac:dyDescent="0.25">
      <c r="A26" s="20" t="s">
        <v>47</v>
      </c>
      <c r="C26" s="15"/>
      <c r="D26" s="16">
        <v>0</v>
      </c>
      <c r="F26" s="7"/>
      <c r="G26" s="6">
        <v>0</v>
      </c>
    </row>
    <row r="27" spans="1:7" x14ac:dyDescent="0.25">
      <c r="A27" s="21" t="s">
        <v>61</v>
      </c>
      <c r="C27" s="15"/>
      <c r="D27" s="16">
        <v>0</v>
      </c>
      <c r="F27" s="7"/>
      <c r="G27" s="6">
        <v>0</v>
      </c>
    </row>
    <row r="28" spans="1:7" x14ac:dyDescent="0.25">
      <c r="A28" s="20" t="s">
        <v>55</v>
      </c>
      <c r="C28" s="15"/>
      <c r="D28" s="16">
        <v>0</v>
      </c>
      <c r="F28" s="7"/>
      <c r="G28" s="6">
        <v>0</v>
      </c>
    </row>
    <row r="29" spans="1:7" x14ac:dyDescent="0.25">
      <c r="A29" s="21" t="s">
        <v>61</v>
      </c>
      <c r="C29" s="15"/>
      <c r="D29" s="16">
        <v>0</v>
      </c>
      <c r="F29" s="7"/>
      <c r="G29" s="6">
        <v>0</v>
      </c>
    </row>
    <row r="30" spans="1:7" x14ac:dyDescent="0.25">
      <c r="A30" s="20" t="s">
        <v>60</v>
      </c>
      <c r="C30" s="15"/>
      <c r="D30" s="16">
        <v>0</v>
      </c>
      <c r="F30" s="7"/>
      <c r="G30" s="6">
        <v>0</v>
      </c>
    </row>
    <row r="31" spans="1:7" x14ac:dyDescent="0.25">
      <c r="A31" s="21" t="s">
        <v>61</v>
      </c>
      <c r="C31" s="15"/>
      <c r="D31" s="16">
        <v>0</v>
      </c>
      <c r="F31" s="7"/>
      <c r="G31" s="6">
        <v>0</v>
      </c>
    </row>
    <row r="32" spans="1:7" x14ac:dyDescent="0.25">
      <c r="A32" s="20" t="s">
        <v>61</v>
      </c>
      <c r="C32" s="15"/>
      <c r="D32" s="16">
        <v>0</v>
      </c>
      <c r="F32" s="7"/>
      <c r="G32" s="6">
        <v>0</v>
      </c>
    </row>
    <row r="33" spans="1:7" x14ac:dyDescent="0.25">
      <c r="A33" s="21" t="s">
        <v>61</v>
      </c>
      <c r="C33" s="15"/>
      <c r="D33" s="16">
        <v>0</v>
      </c>
      <c r="F33" s="7"/>
      <c r="G33" s="6">
        <v>0</v>
      </c>
    </row>
    <row r="34" spans="1:7" x14ac:dyDescent="0.25">
      <c r="A34" s="13" t="s">
        <v>74</v>
      </c>
      <c r="B34">
        <v>5</v>
      </c>
      <c r="C34" s="15">
        <v>1047700</v>
      </c>
      <c r="D34" s="18">
        <v>-76354.410958904104</v>
      </c>
      <c r="E34">
        <v>10</v>
      </c>
      <c r="F34" s="7">
        <v>17.71616438356164</v>
      </c>
      <c r="G34" s="6">
        <v>45293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Menu</vt:lpstr>
      <vt:lpstr>Cadastros</vt:lpstr>
      <vt:lpstr>Imobilizado</vt:lpstr>
      <vt:lpstr>Relatório</vt:lpstr>
      <vt:lpstr>Categoria</vt:lpstr>
      <vt:lpstr>Departamento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Flávio Félix do Nascimento</cp:lastModifiedBy>
  <dcterms:created xsi:type="dcterms:W3CDTF">2016-01-10T11:37:51Z</dcterms:created>
  <dcterms:modified xsi:type="dcterms:W3CDTF">2025-09-26T13:10:58Z</dcterms:modified>
</cp:coreProperties>
</file>